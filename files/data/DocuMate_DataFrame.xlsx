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DocuMateSRC" sheetId="2" state="visible" r:id="rId2"/>
    <sheet xmlns:r="http://schemas.openxmlformats.org/officeDocument/2006/relationships" name="Sheet2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/mm/yyyy;@"/>
  </numFmts>
  <fonts count="10"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  <font>
      <name val="Aptos Display"/>
      <family val="2"/>
      <b val="1"/>
      <color theme="1"/>
      <sz val="11"/>
      <scheme val="major"/>
    </font>
    <font>
      <name val="Aptos Display"/>
      <family val="2"/>
      <b val="1"/>
      <color rgb="FF000000"/>
      <sz val="11"/>
      <scheme val="major"/>
    </font>
    <font>
      <name val="Aptos Narrow"/>
      <family val="2"/>
      <b val="1"/>
      <color rgb="FF000000"/>
      <sz val="11"/>
      <scheme val="minor"/>
    </font>
    <font>
      <name val="Aptos Narrow"/>
      <family val="2"/>
      <b val="1"/>
      <color rgb="FF000000"/>
      <sz val="12"/>
      <scheme val="minor"/>
    </font>
    <font>
      <name val="Aptos Narrow"/>
      <family val="2"/>
      <b val="1"/>
      <color rgb="FF000000"/>
      <sz val="11"/>
      <u val="single"/>
      <scheme val="minor"/>
    </font>
    <font>
      <name val="Aptos Narrow"/>
      <family val="2"/>
      <b val="1"/>
      <color rgb="FF333333"/>
      <sz val="11"/>
      <scheme val="minor"/>
    </font>
    <font>
      <name val="Aptos Narrow"/>
      <family val="2"/>
      <b val="1"/>
      <color theme="1"/>
      <sz val="12"/>
      <scheme val="minor"/>
    </font>
    <font>
      <name val="Aptos Display"/>
      <family val="2"/>
      <b val="1"/>
      <color theme="1"/>
      <sz val="11"/>
      <scheme val="major"/>
    </font>
  </fonts>
  <fills count="7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DDE8CB"/>
        <bgColor rgb="FFFFFFCC"/>
      </patternFill>
    </fill>
    <fill>
      <patternFill patternType="solid">
        <fgColor rgb="FFFFFF00"/>
        <bgColor rgb="FFFFFF00"/>
      </patternFill>
    </fill>
    <fill>
      <patternFill patternType="solid">
        <fgColor rgb="FFED7D31"/>
        <bgColor rgb="FFFF8080"/>
      </patternFill>
    </fill>
    <fill>
      <patternFill patternType="solid">
        <fgColor rgb="FF7F7F7F"/>
        <bgColor rgb="FF808080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medium">
        <color rgb="FF808080"/>
      </bottom>
      <diagonal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pivotButton="0" quotePrefix="0" xfId="0"/>
    <xf numFmtId="1" fontId="1" fillId="0" borderId="0" pivotButton="0" quotePrefix="0" xfId="0"/>
    <xf numFmtId="0" fontId="1" fillId="0" borderId="0" applyAlignment="1" pivotButton="0" quotePrefix="0" xfId="0">
      <alignment wrapText="1"/>
    </xf>
    <xf numFmtId="0" fontId="2" fillId="2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wrapText="1"/>
    </xf>
    <xf numFmtId="0" fontId="3" fillId="0" borderId="0" pivotButton="0" quotePrefix="0" xfId="0"/>
    <xf numFmtId="0" fontId="4" fillId="0" borderId="1" applyAlignment="1" pivotButton="0" quotePrefix="0" xfId="0">
      <alignment horizontal="left" vertical="top" wrapText="1"/>
    </xf>
    <xf numFmtId="1" fontId="4" fillId="0" borderId="0" applyAlignment="1" pivotButton="0" quotePrefix="0" xfId="0">
      <alignment wrapText="1"/>
    </xf>
    <xf numFmtId="1" fontId="4" fillId="0" borderId="0" pivotButton="0" quotePrefix="0" xfId="0"/>
    <xf numFmtId="0" fontId="4" fillId="0" borderId="0" applyAlignment="1" pivotButton="0" quotePrefix="0" xfId="0">
      <alignment wrapText="1"/>
    </xf>
    <xf numFmtId="0" fontId="6" fillId="0" borderId="0" applyAlignment="1" pivotButton="0" quotePrefix="0" xfId="0">
      <alignment wrapText="1"/>
    </xf>
    <xf numFmtId="0" fontId="4" fillId="0" borderId="0" pivotButton="0" quotePrefix="0" xfId="0"/>
    <xf numFmtId="0" fontId="1" fillId="4" borderId="0" pivotButton="0" quotePrefix="0" xfId="0"/>
    <xf numFmtId="0" fontId="1" fillId="4" borderId="0" applyAlignment="1" pivotButton="0" quotePrefix="0" xfId="0">
      <alignment wrapText="1"/>
    </xf>
    <xf numFmtId="0" fontId="4" fillId="3" borderId="0" applyAlignment="1" pivotButton="0" quotePrefix="0" xfId="0">
      <alignment wrapText="1"/>
    </xf>
    <xf numFmtId="0" fontId="4" fillId="3" borderId="0" pivotButton="0" quotePrefix="0" xfId="0"/>
    <xf numFmtId="14" fontId="4" fillId="0" borderId="0" pivotButton="0" quotePrefix="0" xfId="0"/>
    <xf numFmtId="14" fontId="7" fillId="0" borderId="0" pivotButton="0" quotePrefix="0" xfId="0"/>
    <xf numFmtId="14" fontId="4" fillId="5" borderId="0" pivotButton="0" quotePrefix="0" xfId="0"/>
    <xf numFmtId="0" fontId="4" fillId="5" borderId="0" pivotButton="0" quotePrefix="0" xfId="0"/>
    <xf numFmtId="14" fontId="7" fillId="5" borderId="0" pivotButton="0" quotePrefix="0" xfId="0"/>
    <xf numFmtId="1" fontId="4" fillId="5" borderId="0" pivotButton="0" quotePrefix="0" xfId="0"/>
    <xf numFmtId="14" fontId="4" fillId="6" borderId="0" pivotButton="0" quotePrefix="0" xfId="0"/>
    <xf numFmtId="0" fontId="4" fillId="6" borderId="0" pivotButton="0" quotePrefix="0" xfId="0"/>
    <xf numFmtId="14" fontId="7" fillId="6" borderId="0" pivotButton="0" quotePrefix="0" xfId="0"/>
    <xf numFmtId="1" fontId="4" fillId="6" borderId="0" pivotButton="0" quotePrefix="0" xfId="0"/>
    <xf numFmtId="0" fontId="8" fillId="0" borderId="0" pivotButton="0" quotePrefix="0" xfId="0"/>
    <xf numFmtId="14" fontId="4" fillId="0" borderId="0" applyAlignment="1" pivotButton="0" quotePrefix="0" xfId="0">
      <alignment vertical="center" wrapText="1"/>
    </xf>
    <xf numFmtId="14" fontId="1" fillId="0" borderId="0" pivotButton="0" quotePrefix="0" xfId="0"/>
    <xf numFmtId="0" fontId="5" fillId="0" borderId="1" applyAlignment="1" pivotButton="0" quotePrefix="0" xfId="0">
      <alignment horizontal="left" vertical="top" wrapText="1"/>
    </xf>
    <xf numFmtId="14" fontId="4" fillId="0" borderId="1" applyAlignment="1" pivotButton="0" quotePrefix="0" xfId="0">
      <alignment horizontal="left" vertical="top" wrapText="1"/>
    </xf>
    <xf numFmtId="14" fontId="4" fillId="0" borderId="0" applyAlignment="1" pivotButton="0" quotePrefix="0" xfId="0">
      <alignment wrapText="1"/>
    </xf>
    <xf numFmtId="14" fontId="4" fillId="3" borderId="0" applyAlignment="1" pivotButton="0" quotePrefix="0" xfId="0">
      <alignment wrapText="1"/>
    </xf>
    <xf numFmtId="14" fontId="1" fillId="0" borderId="0" applyAlignment="1" pivotButton="0" quotePrefix="0" xfId="0">
      <alignment wrapText="1"/>
    </xf>
    <xf numFmtId="14" fontId="1" fillId="4" borderId="0" applyAlignment="1" pivotButton="0" quotePrefix="0" xfId="0">
      <alignment wrapText="1"/>
    </xf>
    <xf numFmtId="164" fontId="1" fillId="0" borderId="0" pivotButton="0" quotePrefix="0" xfId="0"/>
    <xf numFmtId="0" fontId="9" fillId="0" borderId="0" pivotButton="0" quotePrefix="0" xfId="0"/>
    <xf numFmtId="14" fontId="4" fillId="3" borderId="0" pivotButton="0" quotePrefix="0" xfId="0"/>
    <xf numFmtId="0" fontId="4" fillId="4" borderId="0" pivotButton="0" quotePrefix="0" xfId="0"/>
    <xf numFmtId="14" fontId="1" fillId="4" borderId="0" pivotButton="0" quotePrefix="0" xfId="0"/>
    <xf numFmtId="14" fontId="4" fillId="0" borderId="0" applyAlignment="1" pivotButton="0" quotePrefix="0" xfId="0">
      <alignment horizontal="right"/>
    </xf>
    <xf numFmtId="14" fontId="4" fillId="0" borderId="2" applyAlignment="1" pivotButton="0" quotePrefix="0" xfId="0">
      <alignment wrapText="1"/>
    </xf>
    <xf numFmtId="14" fontId="1" fillId="0" borderId="2" applyAlignment="1" pivotButton="0" quotePrefix="0" xfId="0">
      <alignment wrapText="1"/>
    </xf>
    <xf numFmtId="14" fontId="3" fillId="0" borderId="0" pivotButton="0" quotePrefix="0" xfId="0"/>
  </cellXfs>
  <cellStyles count="1">
    <cellStyle name="Normal" xfId="0" builtinId="0"/>
  </cellStyles>
  <dxfs count="23">
    <dxf>
      <font>
        <b val="1"/>
        <color theme="0" tint="-0.0499893185216834"/>
      </font>
      <fill>
        <patternFill>
          <bgColor theme="9" tint="-0.249946592608417"/>
        </patternFill>
      </fill>
    </dxf>
    <dxf>
      <font>
        <b val="1"/>
        <color theme="0" tint="-0.0499893185216834"/>
      </font>
      <fill>
        <patternFill>
          <bgColor rgb="FFCC33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165" formatCode="d/mm/yyyy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165" formatCode="d/mm/yyyy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165" formatCode="d/mm/yyyy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165" formatCode="d/mm/yyyy"/>
    </dxf>
    <dxf>
      <font>
        <b val="1"/>
      </font>
      <numFmt numFmtId="165" formatCode="d/mm/yyyy"/>
    </dxf>
    <dxf>
      <font>
        <b val="1"/>
      </font>
    </dxf>
    <dxf>
      <font>
        <b val="1"/>
      </font>
      <numFmt numFmtId="0" formatCode="General"/>
    </dxf>
    <dxf>
      <font>
        <b val="1"/>
      </font>
      <numFmt numFmtId="166" formatCode="dd/mm/yy"/>
    </dxf>
    <dxf>
      <font>
        <name val="Aptos Display"/>
        <b val="1"/>
        <strike val="0"/>
        <outline val="0"/>
        <shadow val="0"/>
        <condense val="0"/>
        <color theme="1"/>
        <extend val="0"/>
        <sz val="11"/>
        <vertAlign val="baseline"/>
        <scheme val="major"/>
      </font>
      <numFmt numFmtId="0" formatCode="General"/>
    </dxf>
    <dxf>
      <font>
        <name val="Aptos Display"/>
        <family val="2"/>
        <b val="1"/>
        <strike val="0"/>
        <outline val="0"/>
        <shadow val="0"/>
        <condense val="0"/>
        <color rgb="FF000000"/>
        <extend val="0"/>
        <sz val="11"/>
        <vertAlign val="baseline"/>
        <scheme val="major"/>
      </font>
      <alignment horizontal="general" vertical="bottom" wrapText="1"/>
    </dxf>
    <dxf>
      <font>
        <b val="1"/>
      </font>
    </dxf>
    <dxf>
      <font>
        <b val="1"/>
      </font>
      <numFmt numFmtId="0" formatCode="General"/>
    </dxf>
    <dxf>
      <font>
        <b val="1"/>
      </font>
    </dxf>
    <dxf>
      <font>
        <b val="1"/>
      </font>
    </dxf>
    <dxf>
      <font>
        <name val="Aptos Display"/>
        <family val="2"/>
        <b val="1"/>
        <strike val="0"/>
        <outline val="0"/>
        <shadow val="0"/>
        <color theme="1"/>
        <sz val="11"/>
        <vertAlign val="baseline"/>
        <scheme val="major"/>
      </font>
      <numFmt numFmtId="0" formatCode="General"/>
    </dxf>
    <dxf>
      <font>
        <b val="1"/>
      </font>
    </dxf>
    <dxf>
      <font>
        <b val="1"/>
      </font>
    </dxf>
    <dxf>
      <font>
        <b val="1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DocuMate Time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Sheet2!$A$2:$A$8</f>
              <strCache>
                <ptCount val="7"/>
                <pt idx="0">
                  <v>V2</v>
                </pt>
                <pt idx="1">
                  <v>O</v>
                </pt>
                <pt idx="2">
                  <v>Z</v>
                </pt>
                <pt idx="3">
                  <v>X</v>
                </pt>
                <pt idx="4">
                  <v>V3</v>
                </pt>
                <pt idx="5">
                  <v>Y</v>
                </pt>
                <pt idx="6">
                  <v>V1</v>
                </pt>
              </strCache>
            </strRef>
          </cat>
          <val>
            <numRef>
              <f>Sheet2!$B$2:$B$8</f>
              <numCache>
                <formatCode>General</formatCode>
                <ptCount val="7"/>
                <pt idx="0">
                  <v>9.960000000000001</v>
                </pt>
                <pt idx="1">
                  <v>16.1</v>
                </pt>
                <pt idx="2">
                  <v>23.06</v>
                </pt>
                <pt idx="3">
                  <v>27.82</v>
                </pt>
                <pt idx="4">
                  <v>28.6</v>
                </pt>
                <pt idx="5">
                  <v>37.85</v>
                </pt>
                <pt idx="6">
                  <v>50.6</v>
                </pt>
              </numCache>
            </numRef>
          </val>
          <smooth val="0"/>
        </ser>
        <dLbls>
          <dLblPos val="t"/>
          <showLegendKey val="0"/>
          <showVal val="1"/>
          <showCatName val="0"/>
          <showSerName val="0"/>
          <showPercent val="0"/>
          <showBubbleSize val="0"/>
        </dLbls>
        <marker val="1"/>
        <smooth val="0"/>
        <axId val="899232336"/>
        <axId val="899195376"/>
      </lineChart>
      <catAx>
        <axId val="899232336"/>
        <scaling>
          <orientation val="minMax"/>
        </scaling>
        <delete val="0"/>
        <axPos val="b"/>
        <title>
          <tx>
            <rich>
              <a:bodyPr xmlns:a="http://schemas.openxmlformats.org/drawingml/2006/main" rot="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Version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899195376"/>
        <crosses val="autoZero"/>
        <auto val="1"/>
        <lblAlgn val="ctr"/>
        <lblOffset val="100"/>
        <noMultiLvlLbl val="0"/>
      </catAx>
      <valAx>
        <axId val="899195376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Time (In</a:t>
                </a:r>
                <a:r>
                  <a:rPr lang="en-IN" baseline="0"/>
                  <a:t xml:space="preserve"> Secs)</a:t>
                </a:r>
                <a:endParaRPr lang="en-IN"/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899232336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DocuMate Efficiency (%)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cked"/>
        <varyColors val="0"/>
        <ser>
          <idx val="0"/>
          <order val="0"/>
          <tx>
            <strRef>
              <f>Sheet2!$E$1</f>
              <strCache>
                <ptCount val="1"/>
                <pt idx="0">
                  <v>Efficiency (%)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Sheet2!$A$2:$A$8</f>
              <strCache>
                <ptCount val="7"/>
                <pt idx="0">
                  <v>V2</v>
                </pt>
                <pt idx="1">
                  <v>O</v>
                </pt>
                <pt idx="2">
                  <v>Z</v>
                </pt>
                <pt idx="3">
                  <v>X</v>
                </pt>
                <pt idx="4">
                  <v>V3</v>
                </pt>
                <pt idx="5">
                  <v>Y</v>
                </pt>
                <pt idx="6">
                  <v>V1</v>
                </pt>
              </strCache>
            </strRef>
          </cat>
          <val>
            <numRef>
              <f>Sheet2!$E$2:$E$8</f>
              <numCache>
                <formatCode>General</formatCode>
                <ptCount val="7"/>
                <pt idx="0">
                  <v>99.97072310405643</v>
                </pt>
                <pt idx="1">
                  <v>99.95267489711934</v>
                </pt>
                <pt idx="2">
                  <v>99.93221634332747</v>
                </pt>
                <pt idx="3">
                  <v>99.91822457378014</v>
                </pt>
                <pt idx="4">
                  <v>99.9159318048207</v>
                </pt>
                <pt idx="5">
                  <v>99.88874191651969</v>
                </pt>
                <pt idx="6">
                  <v>99.85126396237509</v>
                </pt>
              </numCache>
            </numRef>
          </val>
          <smooth val="0"/>
        </ser>
        <dLbls>
          <dLblPos val="t"/>
          <showLegendKey val="0"/>
          <showVal val="1"/>
          <showCatName val="0"/>
          <showSerName val="0"/>
          <showPercent val="0"/>
          <showBubbleSize val="0"/>
        </dLbls>
        <marker val="1"/>
        <smooth val="0"/>
        <axId val="1224268127"/>
        <axId val="1224281087"/>
      </lineChart>
      <catAx>
        <axId val="1224268127"/>
        <scaling>
          <orientation val="minMax"/>
        </scaling>
        <delete val="0"/>
        <axPos val="b"/>
        <title>
          <tx>
            <rich>
              <a:bodyPr xmlns:a="http://schemas.openxmlformats.org/drawingml/2006/main" rot="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Version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1224281087"/>
        <crosses val="autoZero"/>
        <auto val="1"/>
        <lblAlgn val="ctr"/>
        <lblOffset val="100"/>
        <noMultiLvlLbl val="0"/>
      </catAx>
      <valAx>
        <axId val="1224281087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Efficiency</a:t>
                </a:r>
                <a:r>
                  <a:rPr lang="en-IN" baseline="0"/>
                  <a:t xml:space="preserve"> (%)</a:t>
                </a:r>
              </a:p>
              <a:p xmlns:a="http://schemas.openxmlformats.org/drawingml/2006/main"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en-IN"/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1224268127"/>
        <crosses val="autoZero"/>
        <crossBetween val="between"/>
      </valAx>
    </plotArea>
    <plotVisOnly val="1"/>
    <dispBlanksAs val="zero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DocuMate</a:t>
            </a:r>
            <a:r>
              <a:rPr lang="en-US" baseline="0"/>
              <a:t xml:space="preserve"> Speed</a:t>
            </a:r>
            <a:endParaRPr lang="en-US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Sheet2!$F$1</f>
              <strCache>
                <ptCount val="1"/>
                <pt idx="0">
                  <v>Speed (Mach)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strRef>
              <f>Sheet2!$A$2:$A$8</f>
              <strCache>
                <ptCount val="7"/>
                <pt idx="0">
                  <v>V2</v>
                </pt>
                <pt idx="1">
                  <v>O</v>
                </pt>
                <pt idx="2">
                  <v>Z</v>
                </pt>
                <pt idx="3">
                  <v>X</v>
                </pt>
                <pt idx="4">
                  <v>V3</v>
                </pt>
                <pt idx="5">
                  <v>Y</v>
                </pt>
                <pt idx="6">
                  <v>V1</v>
                </pt>
              </strCache>
            </strRef>
          </cat>
          <val>
            <numRef>
              <f>Sheet2!$F$2:$F$8</f>
              <numCache>
                <formatCode>General</formatCode>
                <ptCount val="7"/>
                <pt idx="0">
                  <v>3415.662650602409</v>
                </pt>
                <pt idx="1">
                  <v>2113.04347826087</v>
                </pt>
                <pt idx="2">
                  <v>1475.281873373807</v>
                </pt>
                <pt idx="3">
                  <v>1222.861250898634</v>
                </pt>
                <pt idx="4">
                  <v>1189.510489510489</v>
                </pt>
                <pt idx="5">
                  <v>898.8110964332893</v>
                </pt>
                <pt idx="6">
                  <v>672.3320158102766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224278207"/>
        <axId val="1224268607"/>
      </lineChart>
      <catAx>
        <axId val="1224278207"/>
        <scaling>
          <orientation val="minMax"/>
        </scaling>
        <delete val="0"/>
        <axPos val="b"/>
        <title>
          <tx>
            <rich>
              <a:bodyPr xmlns:a="http://schemas.openxmlformats.org/drawingml/2006/main" rot="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Version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1224268607"/>
        <crosses val="autoZero"/>
        <auto val="1"/>
        <lblAlgn val="ctr"/>
        <lblOffset val="100"/>
        <noMultiLvlLbl val="0"/>
      </catAx>
      <valAx>
        <axId val="1224268607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Speed</a:t>
                </a:r>
                <a:r>
                  <a:rPr lang="en-IN" baseline="0"/>
                  <a:t xml:space="preserve"> (Mach)</a:t>
                </a:r>
                <a:endParaRPr lang="en-IN"/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1224278207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twoCellAnchor>
    <from>
      <col>7</col>
      <colOff>12700</colOff>
      <row>2</row>
      <rowOff>12700</rowOff>
    </from>
    <to>
      <col>14</col>
      <colOff>603250</colOff>
      <row>15</row>
      <rowOff>152400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15</col>
      <colOff>123824</colOff>
      <row>2</row>
      <rowOff>6350</rowOff>
    </from>
    <to>
      <col>22</col>
      <colOff>603249</colOff>
      <row>15</row>
      <rowOff>152400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>
    <from>
      <col>7</col>
      <colOff>3174</colOff>
      <row>16</row>
      <rowOff>82550</rowOff>
    </from>
    <to>
      <col>22</col>
      <colOff>590549</colOff>
      <row>31</row>
      <rowOff>63500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</wsDr>
</file>

<file path=xl/tables/table1.xml><?xml version="1.0" encoding="utf-8"?>
<table xmlns="http://schemas.openxmlformats.org/spreadsheetml/2006/main" id="1" name="Table2" displayName="Table2" ref="A1:L1441" headerRowCount="1" totalsRowShown="0" headerRowDxfId="22" dataDxfId="21">
  <autoFilter ref="A1:L1441"/>
  <tableColumns count="12">
    <tableColumn id="1" name="Serial" dataDxfId="20">
      <calculatedColumnFormula>Sheet1!A2 &amp; "/" &amp; "2025"</calculatedColumnFormula>
    </tableColumn>
    <tableColumn id="2" name="File_Number" dataDxfId="19">
      <calculatedColumnFormula>Sheet1!E2</calculatedColumnFormula>
    </tableColumn>
    <tableColumn id="3" name="Name" dataDxfId="18">
      <calculatedColumnFormula>UPPER(Sheet1!B2)</calculatedColumnFormula>
    </tableColumn>
    <tableColumn id="4" name="Sex" dataDxfId="17">
      <calculatedColumnFormula>IF(Sheet1!F2="F","FEMALE","MALE")</calculatedColumnFormula>
    </tableColumn>
    <tableColumn id="5" name="Name_of_the_Father" dataDxfId="16">
      <calculatedColumnFormula>UPPER(Sheet1!G2)</calculatedColumnFormula>
    </tableColumn>
    <tableColumn id="6" name="Name_of_the_Mother" dataDxfId="15">
      <calculatedColumnFormula>UPPER(Sheet1!H2)</calculatedColumnFormula>
    </tableColumn>
    <tableColumn id="7" name="When_and_where_born" dataDxfId="14">
      <calculatedColumnFormula>TEXT(Sheet1!C2,"dd/mm/yyyy") &amp; "," &amp; Sheet1!D2</calculatedColumnFormula>
    </tableColumn>
    <tableColumn id="12" name="Description_and_residence_of_informant" dataDxfId="13">
      <calculatedColumnFormula>UPPER(Sheet1!J2 &amp; "," &amp; Sheet1!K2 &amp; "," &amp; Sheet1!L2)</calculatedColumnFormula>
    </tableColumn>
    <tableColumn id="8" name="Registration_date" dataDxfId="12">
      <calculatedColumnFormula>Sheet1!I2</calculatedColumnFormula>
    </tableColumn>
    <tableColumn id="9" name="MHA_File_And_date" dataDxfId="11">
      <calculatedColumnFormula>Sheet1!M2 &amp; "," &amp; TEXT(Sheet1!N2,"dd/mm/yy")</calculatedColumnFormula>
    </tableColumn>
    <tableColumn id="10" name="STATUS" dataDxfId="10"/>
    <tableColumn id="11" name="Date_Printed" dataDxfId="9"/>
  </tableColumns>
  <tableStyleInfo name="TableStyleMedium16" showFirstColumn="0" showLastColumn="0" showRowStripes="1" showColumnStripes="0"/>
</table>
</file>

<file path=xl/tables/table2.xml><?xml version="1.0" encoding="utf-8"?>
<table xmlns="http://schemas.openxmlformats.org/spreadsheetml/2006/main" id="2" name="Table4" displayName="Table4" ref="M1:N1441" headerRowCount="1" totalsRowShown="0" headerRowDxfId="8" dataDxfId="7">
  <autoFilter ref="M1:N1441"/>
  <tableColumns count="2">
    <tableColumn id="2" name="Signing_Authority_Name" dataDxfId="6"/>
    <tableColumn id="1" name="Date_Issued" dataDxfId="5"/>
  </tableColumns>
  <tableStyleInfo name="TableStyleMedium16" showFirstColumn="0" showLastColumn="0" showRowStripes="1" showColumnStripes="0"/>
</table>
</file>

<file path=xl/tables/table3.xml><?xml version="1.0" encoding="utf-8"?>
<table xmlns="http://schemas.openxmlformats.org/spreadsheetml/2006/main" id="3" name="Table3" displayName="Table3" ref="A1:F8" headerRowCount="1" totalsRowShown="0">
  <autoFilter ref="A1:F8"/>
  <sortState ref="A2:C8">
    <sortCondition ref="B1:B8"/>
  </sortState>
  <tableColumns count="6">
    <tableColumn id="1" name="Version"/>
    <tableColumn id="2" name="DocuMate (In secs)"/>
    <tableColumn id="3" name="Manual (In Secs)" dataDxfId="4">
      <calculatedColumnFormula>315*Table3[[#This Row],[Files]]</calculatedColumnFormula>
    </tableColumn>
    <tableColumn id="4" name="Files"/>
    <tableColumn id="5" name="Efficiency (%)" dataDxfId="3">
      <calculatedColumnFormula>((Table3[[#This Row],[Manual (In Secs)]]-Table3[[#This Row],[DocuMate (In secs)]])/Table3[[#This Row],[Manual (In Secs)]])*100</calculatedColumnFormula>
    </tableColumn>
    <tableColumn id="6" name="Speed (Mach)" dataDxfId="2">
      <calculatedColumnFormula>Table3[[#This Row],[Manual (In Secs)]]/Table3[[#This Row],[DocuMate (In secs)]]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2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3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4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5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6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7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8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9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0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1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2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3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4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5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6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7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8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9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20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21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22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23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24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25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26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27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28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29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30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31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32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33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34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35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36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37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38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39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40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41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42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43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44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45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46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47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48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49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50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51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52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53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54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55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56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57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58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59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60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61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62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63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64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65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66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67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68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69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70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71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72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73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74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75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76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77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78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79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80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81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82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83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84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85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86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87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88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89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90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91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92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93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94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95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96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97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98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99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00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01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02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03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04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05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06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07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08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09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10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11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12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13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14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15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16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17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18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19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20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21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22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23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24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25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26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27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28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29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30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31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32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33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34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35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36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37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38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39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40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41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42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43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44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45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46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47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48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49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50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51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52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53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54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55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56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57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58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59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60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61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62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63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64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65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66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67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68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69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70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71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72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73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74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75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76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77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78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79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80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81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82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83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84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85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86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87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88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89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90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91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92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93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94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95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96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97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98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99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200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201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202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203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204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205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206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207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208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209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210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211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212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213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214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215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216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217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218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219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220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221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222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223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224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225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226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227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228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229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230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231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232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233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234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235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236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237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238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239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240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241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242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243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244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245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246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247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248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249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250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251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252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253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254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255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256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257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258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259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260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261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262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263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264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265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266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267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268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269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270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271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272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273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274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275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276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277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278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279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280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281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282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283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284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285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286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287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288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289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290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291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292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293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294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295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296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297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298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299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300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301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302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303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304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305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306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307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308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309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310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311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312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313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314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315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316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317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318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319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320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321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322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323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324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325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326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327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328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329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330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331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332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333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334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335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336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337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338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339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340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341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342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343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344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345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346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347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348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349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350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351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352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353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354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355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356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357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358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359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360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361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362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363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364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365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366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367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368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369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370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371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372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373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374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375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376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377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378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379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380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381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382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383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384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385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386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387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388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389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390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391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392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393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394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395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396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397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398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399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400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401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402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403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404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405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406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407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408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409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410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411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412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413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414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415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416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417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418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419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420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421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422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423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424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425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426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427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428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429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430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431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432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433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434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435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436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437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438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439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440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441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442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443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444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445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446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447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448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449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450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451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452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453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454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455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456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457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458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459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460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461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462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463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464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465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466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467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468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469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470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471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472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473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474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475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476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477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478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479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480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481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482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483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484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485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486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487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488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489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490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491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492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493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494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495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496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497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498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499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500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501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502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503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504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505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506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507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508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509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510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511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512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513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514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515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516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517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518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519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520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521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522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523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524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525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526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527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528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529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530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531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532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533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534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535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536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537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538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539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540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541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542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543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544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545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546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547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548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549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550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551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552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553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554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555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556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557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558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559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560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561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562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563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564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565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566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567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568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569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570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571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572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573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574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575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576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577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578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579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580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581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582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583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584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585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586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587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588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589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590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591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592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593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594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595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596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597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598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599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600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601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602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603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604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605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606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607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608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609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610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611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612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613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614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615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616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617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618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619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620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621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622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623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624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625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626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627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628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629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630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631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632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633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634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635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636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637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638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639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640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641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642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643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644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645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646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647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648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649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650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651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652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653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654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655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656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657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658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659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660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661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662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663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664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665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666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667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668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669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670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671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672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673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674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675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676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677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678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679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680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681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682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683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684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685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686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687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688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689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690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691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692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693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694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695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696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697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698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699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700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701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702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703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704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705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706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707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708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709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710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711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712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713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714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715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716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717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718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719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720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721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722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723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724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725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726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727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728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729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730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731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732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733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734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735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736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737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738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739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740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741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742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743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744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745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746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747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748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749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750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751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752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753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754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755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756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757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758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759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760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761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762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763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764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765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766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767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768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769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770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771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772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773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774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775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776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777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778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779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780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781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782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783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784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785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786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787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788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789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790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791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792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793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794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795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796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797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798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799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800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801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802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803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804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805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806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807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808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809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810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811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812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813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814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815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816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817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818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819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820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821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822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823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824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825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826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827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828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829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830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831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832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833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834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835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836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837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838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839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840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841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842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843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844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845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846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847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848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849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850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851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852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853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854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855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856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857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858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859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860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861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862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863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864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865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866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867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868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869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870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871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872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873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874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875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876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877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878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879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880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881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882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883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884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885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886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887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888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889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890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891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892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893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894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895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896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897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898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899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900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901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902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903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904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905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906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907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908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909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910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911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912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913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914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915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916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917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918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919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920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921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922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923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924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925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926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927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928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929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930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931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932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933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934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935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936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937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938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939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940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941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942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943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944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945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946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947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948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949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950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951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952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953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954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955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956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957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958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959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960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961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962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963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964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965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966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967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968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969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970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971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972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973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974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975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976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977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978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979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980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981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982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983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984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985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986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987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988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989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990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991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992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993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994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995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996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997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998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999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000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001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002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003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004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005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006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007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008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009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010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011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012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013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014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015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016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017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018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019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020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021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022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023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024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025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026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027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028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029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030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031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032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033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034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035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036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037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038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039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040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041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042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043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044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045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046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047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048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049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050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051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052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053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054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055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056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057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058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059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060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061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062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063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064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065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066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067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068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069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070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071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072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073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074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075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076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077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078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079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080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081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082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083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084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085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086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087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088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089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090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091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092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093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094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095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096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097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098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099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100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101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102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103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104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105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106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107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108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109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110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111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112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113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114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115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116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117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118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119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120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121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122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123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124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125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126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127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128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129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130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131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132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133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134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135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136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137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138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139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140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141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142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143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144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145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146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147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148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149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150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151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152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153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154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155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156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157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158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159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160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161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162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163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164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165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166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167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168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169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170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171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172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173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174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175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176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177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178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179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180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181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182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183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184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185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186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187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188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189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190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191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192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193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194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195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196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197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198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199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200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201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202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203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204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205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206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207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208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209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210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211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212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213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214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215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216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217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218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219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220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221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222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223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224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225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226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227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228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229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230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231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232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233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234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235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236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237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238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239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240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241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242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243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244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245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246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247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248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249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250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251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252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253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254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255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256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257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258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259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260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261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262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263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264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265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266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267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268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269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270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271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272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273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274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275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276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277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278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279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280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281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282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283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284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285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286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287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288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289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290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291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292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293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294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295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296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297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298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299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300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301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302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303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304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305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306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307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308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309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310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311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312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313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314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315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316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317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318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319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320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321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322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323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324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325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326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327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328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329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330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331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332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333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334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335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336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337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338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339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340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341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342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343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344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345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346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347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348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349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350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351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352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353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354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355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356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357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358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359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360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361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362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363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364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365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366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367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368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369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370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371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372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373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374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375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376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377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378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379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380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381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382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383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384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385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386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387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388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389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390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391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392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393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394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395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396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397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398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399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400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401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402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403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404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405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406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407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408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409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410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411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412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413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414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415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416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417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418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419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420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421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422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423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424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425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426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427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428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429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430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431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432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433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434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435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436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437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438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439"/><Relationship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 Id="rId1440"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table" Target="/xl/tables/table2.xml" Id="rId2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table" Target="/xl/tables/table3.xml" Id="rId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441"/>
  <sheetViews>
    <sheetView topLeftCell="E1" workbookViewId="0">
      <selection activeCell="O1" sqref="O1:O1048576"/>
    </sheetView>
  </sheetViews>
  <sheetFormatPr baseColWidth="8" defaultRowHeight="16"/>
  <cols>
    <col width="6.453125" bestFit="1" customWidth="1" style="28" min="1" max="1"/>
    <col width="24.1796875" bestFit="1" customWidth="1" style="1" min="2" max="2"/>
    <col width="12.54296875" bestFit="1" customWidth="1" style="30" min="3" max="3"/>
    <col width="30.54296875" bestFit="1" customWidth="1" style="1" min="4" max="4"/>
    <col width="16.81640625" bestFit="1" customWidth="1" style="1" min="5" max="5"/>
    <col width="3.1796875" bestFit="1" customWidth="1" style="1" min="6" max="6"/>
    <col width="29.26953125" customWidth="1" style="1" min="7" max="7"/>
    <col width="21.54296875" bestFit="1" customWidth="1" style="1" min="8" max="8"/>
    <col width="12.1796875" bestFit="1" customWidth="1" style="30" min="9" max="9"/>
    <col width="53.26953125" bestFit="1" customWidth="1" style="1" min="10" max="10"/>
    <col width="52.81640625" bestFit="1" customWidth="1" style="1" min="11" max="11"/>
    <col width="34.1796875" bestFit="1" customWidth="1" style="1" min="12" max="12"/>
    <col width="16.1796875" bestFit="1" customWidth="1" style="30" min="13" max="13"/>
    <col width="11.81640625" bestFit="1" customWidth="1" style="37" min="14" max="14"/>
  </cols>
  <sheetData>
    <row r="1" ht="31.5" customHeight="1">
      <c r="A1" s="31" t="inlineStr">
        <is>
          <t>S No.</t>
        </is>
      </c>
      <c r="B1" s="8" t="inlineStr">
        <is>
          <t>Name</t>
        </is>
      </c>
      <c r="C1" s="32" t="inlineStr">
        <is>
          <t>Date of birth</t>
        </is>
      </c>
      <c r="D1" s="8" t="inlineStr">
        <is>
          <t>Place of birth</t>
        </is>
      </c>
      <c r="E1" s="8" t="inlineStr">
        <is>
          <t>File No</t>
        </is>
      </c>
      <c r="F1" s="8" t="inlineStr">
        <is>
          <t>Sex</t>
        </is>
      </c>
      <c r="G1" s="8" t="inlineStr">
        <is>
          <t>Name of Father</t>
        </is>
      </c>
      <c r="H1" s="8" t="inlineStr">
        <is>
          <t>Name of Mother</t>
        </is>
      </c>
      <c r="I1" s="32" t="inlineStr">
        <is>
          <t>Registration date</t>
        </is>
      </c>
      <c r="J1" s="1" t="inlineStr">
        <is>
          <t>ADD 1</t>
        </is>
      </c>
      <c r="K1" s="1" t="inlineStr">
        <is>
          <t>ADD 2</t>
        </is>
      </c>
      <c r="L1" s="1" t="inlineStr">
        <is>
          <t>ADD 3</t>
        </is>
      </c>
      <c r="M1" s="30" t="inlineStr">
        <is>
          <t>MHA_File_No</t>
        </is>
      </c>
      <c r="N1" s="37" t="inlineStr">
        <is>
          <t>MHA_Date</t>
        </is>
      </c>
    </row>
    <row r="2" ht="30" customHeight="1">
      <c r="A2" s="28" t="n">
        <v>1</v>
      </c>
      <c r="B2" s="1" t="inlineStr">
        <is>
          <t>ALYA RAO</t>
        </is>
      </c>
      <c r="C2" s="33" t="n">
        <v>45953</v>
      </c>
      <c r="D2" s="11" t="inlineStr">
        <is>
          <t>PENRITH</t>
        </is>
      </c>
      <c r="E2" s="12" t="inlineStr">
        <is>
          <t>IND/MEL/00001</t>
        </is>
      </c>
      <c r="F2" s="13" t="inlineStr">
        <is>
          <t>F</t>
        </is>
      </c>
      <c r="G2" s="11" t="inlineStr">
        <is>
          <t>Neil Rao</t>
        </is>
      </c>
      <c r="H2" s="11" t="inlineStr">
        <is>
          <t>Mira Rao</t>
        </is>
      </c>
      <c r="I2" s="33" t="n">
        <v>45959</v>
      </c>
      <c r="J2" s="11" t="inlineStr">
        <is>
          <t>159 Birchwood Lane</t>
        </is>
      </c>
      <c r="K2" s="11" t="inlineStr">
        <is>
          <t>Emerald Road</t>
        </is>
      </c>
      <c r="L2" s="11" t="inlineStr">
        <is>
          <t>PIN:895389 PENRITH</t>
        </is>
      </c>
      <c r="M2" s="13" t="inlineStr">
        <is>
          <t>MHA/IND/00001</t>
        </is>
      </c>
      <c r="N2" s="18" t="n">
        <v>45845</v>
      </c>
    </row>
    <row r="3" ht="30" customHeight="1">
      <c r="A3" s="28" t="n">
        <v>2</v>
      </c>
      <c r="B3" s="1" t="inlineStr">
        <is>
          <t>DIYA KALEON</t>
        </is>
      </c>
      <c r="C3" s="34" t="n">
        <v>45774</v>
      </c>
      <c r="D3" s="17" t="inlineStr">
        <is>
          <t>WODONGA</t>
        </is>
      </c>
      <c r="E3" s="12" t="inlineStr">
        <is>
          <t>IND/MEL/00002</t>
        </is>
      </c>
      <c r="F3" s="17" t="inlineStr">
        <is>
          <t>F</t>
        </is>
      </c>
      <c r="G3" s="16" t="inlineStr">
        <is>
          <t>Ishan Kaleon</t>
        </is>
      </c>
      <c r="H3" s="16" t="inlineStr">
        <is>
          <t>Alya Kaleon</t>
        </is>
      </c>
      <c r="I3" s="34" t="n">
        <v>45805</v>
      </c>
      <c r="J3" s="16" t="inlineStr">
        <is>
          <t>21 Birchwood Lane</t>
        </is>
      </c>
      <c r="K3" s="16" t="inlineStr">
        <is>
          <t>Emerald Road</t>
        </is>
      </c>
      <c r="L3" s="16" t="inlineStr">
        <is>
          <t>PIN:899035 WODONGA</t>
        </is>
      </c>
      <c r="M3" s="17" t="inlineStr">
        <is>
          <t>MHA/IND/00002</t>
        </is>
      </c>
      <c r="N3" s="39" t="n">
        <v>45898</v>
      </c>
    </row>
    <row r="4">
      <c r="A4" s="28" t="n">
        <v>3</v>
      </c>
      <c r="B4" s="1" t="inlineStr">
        <is>
          <t>ANYA RAO</t>
        </is>
      </c>
      <c r="C4" s="33" t="n">
        <v>45936</v>
      </c>
      <c r="D4" s="11" t="inlineStr">
        <is>
          <t>IPSWICH</t>
        </is>
      </c>
      <c r="E4" s="12" t="inlineStr">
        <is>
          <t>IND/MEL/00003</t>
        </is>
      </c>
      <c r="F4" s="13" t="inlineStr">
        <is>
          <t>F</t>
        </is>
      </c>
      <c r="G4" s="11" t="inlineStr">
        <is>
          <t>Neil Rao</t>
        </is>
      </c>
      <c r="H4" s="11" t="inlineStr">
        <is>
          <t>Diya Rao</t>
        </is>
      </c>
      <c r="I4" s="33" t="n">
        <v>45992</v>
      </c>
      <c r="J4" s="11" t="inlineStr">
        <is>
          <t>125 Birchwood Lane</t>
        </is>
      </c>
      <c r="K4" s="11" t="inlineStr">
        <is>
          <t>Emerald Road</t>
        </is>
      </c>
      <c r="L4" s="11" t="inlineStr">
        <is>
          <t>PIN:344922 IPSWICH</t>
        </is>
      </c>
      <c r="M4" s="13" t="inlineStr">
        <is>
          <t>MHA/IND/00003</t>
        </is>
      </c>
      <c r="N4" s="18" t="n">
        <v>45877</v>
      </c>
    </row>
    <row r="5" ht="30" customHeight="1">
      <c r="A5" s="28" t="n">
        <v>4</v>
      </c>
      <c r="B5" s="1" t="inlineStr">
        <is>
          <t>NINA KALEON</t>
        </is>
      </c>
      <c r="C5" s="33" t="n">
        <v>45743</v>
      </c>
      <c r="D5" s="11" t="inlineStr">
        <is>
          <t>BERWICK</t>
        </is>
      </c>
      <c r="E5" s="12" t="inlineStr">
        <is>
          <t>IND/MEL/00004</t>
        </is>
      </c>
      <c r="F5" s="13" t="inlineStr">
        <is>
          <t>F</t>
        </is>
      </c>
      <c r="G5" s="11" t="inlineStr">
        <is>
          <t>Arjun Kaleon</t>
        </is>
      </c>
      <c r="H5" s="11" t="inlineStr">
        <is>
          <t>Anya Kaleon</t>
        </is>
      </c>
      <c r="I5" s="33" t="n">
        <v>45754</v>
      </c>
      <c r="J5" s="11" t="inlineStr">
        <is>
          <t>68 Birchwood Lane</t>
        </is>
      </c>
      <c r="K5" s="11" t="inlineStr">
        <is>
          <t>Emerald Road</t>
        </is>
      </c>
      <c r="L5" s="11" t="inlineStr">
        <is>
          <t>PIN:360661 BERWICK</t>
        </is>
      </c>
      <c r="M5" s="13" t="inlineStr">
        <is>
          <t>MHA/IND/00004</t>
        </is>
      </c>
      <c r="N5" s="18" t="n">
        <v>45872</v>
      </c>
    </row>
    <row r="6">
      <c r="A6" s="28" t="n">
        <v>5</v>
      </c>
      <c r="B6" s="1" t="inlineStr">
        <is>
          <t>ANYA MYRTHOS</t>
        </is>
      </c>
      <c r="C6" s="33" t="n">
        <v>45950</v>
      </c>
      <c r="D6" s="11" t="inlineStr">
        <is>
          <t>CANBERRA</t>
        </is>
      </c>
      <c r="E6" s="12" t="inlineStr">
        <is>
          <t>IND/MEL/00005</t>
        </is>
      </c>
      <c r="F6" s="13" t="inlineStr">
        <is>
          <t>F</t>
        </is>
      </c>
      <c r="G6" s="11" t="inlineStr">
        <is>
          <t>Arjun Myrthos</t>
        </is>
      </c>
      <c r="H6" s="11" t="inlineStr">
        <is>
          <t>Nina Myrthos</t>
        </is>
      </c>
      <c r="I6" s="33" t="n">
        <v>45969</v>
      </c>
      <c r="J6" s="11" t="inlineStr">
        <is>
          <t>196 Birchwood Lane</t>
        </is>
      </c>
      <c r="K6" s="11" t="inlineStr">
        <is>
          <t>Emerald Road</t>
        </is>
      </c>
      <c r="L6" s="11" t="inlineStr">
        <is>
          <t>PIN:308984 CANBERRA</t>
        </is>
      </c>
      <c r="M6" s="13" t="inlineStr">
        <is>
          <t>MHA/IND/00005</t>
        </is>
      </c>
      <c r="N6" s="18" t="n">
        <v>45840</v>
      </c>
    </row>
    <row r="7" ht="30" customHeight="1">
      <c r="A7" s="28" t="n">
        <v>6</v>
      </c>
      <c r="B7" s="1" t="inlineStr">
        <is>
          <t>ANYA KALEON</t>
        </is>
      </c>
      <c r="C7" s="33" t="n">
        <v>45659</v>
      </c>
      <c r="D7" s="11" t="inlineStr">
        <is>
          <t>CLAYTON</t>
        </is>
      </c>
      <c r="E7" s="12" t="inlineStr">
        <is>
          <t>IND/MEL/00006</t>
        </is>
      </c>
      <c r="F7" s="13" t="inlineStr">
        <is>
          <t>F</t>
        </is>
      </c>
      <c r="G7" s="11" t="inlineStr">
        <is>
          <t>Aren Kaleon</t>
        </is>
      </c>
      <c r="H7" s="11" t="inlineStr">
        <is>
          <t>Alya Kaleon</t>
        </is>
      </c>
      <c r="I7" s="33" t="n">
        <v>45686</v>
      </c>
      <c r="J7" s="11" t="inlineStr">
        <is>
          <t>37 Birchwood Lane</t>
        </is>
      </c>
      <c r="K7" s="11" t="inlineStr">
        <is>
          <t>Emerald Road</t>
        </is>
      </c>
      <c r="L7" s="11" t="inlineStr">
        <is>
          <t>PIN:907143 CLAYTON</t>
        </is>
      </c>
      <c r="M7" s="13" t="inlineStr">
        <is>
          <t>MHA/IND/00006</t>
        </is>
      </c>
      <c r="N7" s="18" t="n">
        <v>45858</v>
      </c>
    </row>
    <row r="8">
      <c r="A8" s="28" t="n">
        <v>7</v>
      </c>
      <c r="B8" s="1" t="inlineStr">
        <is>
          <t>RIYA MYRTHOS</t>
        </is>
      </c>
      <c r="C8" s="33" t="n">
        <v>45841</v>
      </c>
      <c r="D8" s="11" t="inlineStr">
        <is>
          <t>BRISBANE</t>
        </is>
      </c>
      <c r="E8" s="12" t="inlineStr">
        <is>
          <t>IND/MEL/00007</t>
        </is>
      </c>
      <c r="F8" s="13" t="inlineStr">
        <is>
          <t>F</t>
        </is>
      </c>
      <c r="G8" s="11" t="inlineStr">
        <is>
          <t>Aren Myrthos</t>
        </is>
      </c>
      <c r="H8" s="11" t="inlineStr">
        <is>
          <t>Sara Myrthos</t>
        </is>
      </c>
      <c r="I8" s="33" t="n">
        <v>45924</v>
      </c>
      <c r="J8" s="11" t="inlineStr">
        <is>
          <t>78 Birchwood Lane</t>
        </is>
      </c>
      <c r="K8" s="13" t="inlineStr">
        <is>
          <t>Emerald Road</t>
        </is>
      </c>
      <c r="L8" s="13" t="inlineStr">
        <is>
          <t>PIN:350260 BRISBANE</t>
        </is>
      </c>
      <c r="M8" s="13" t="inlineStr">
        <is>
          <t>MHA/IND/00007</t>
        </is>
      </c>
      <c r="N8" s="18" t="n">
        <v>45859</v>
      </c>
    </row>
    <row r="9" ht="30" customHeight="1">
      <c r="A9" s="28" t="n">
        <v>8</v>
      </c>
      <c r="B9" s="1" t="inlineStr">
        <is>
          <t>NEIL KALEON</t>
        </is>
      </c>
      <c r="C9" s="33" t="n">
        <v>45835</v>
      </c>
      <c r="D9" s="11" t="inlineStr">
        <is>
          <t>KINGSWOOD</t>
        </is>
      </c>
      <c r="E9" s="12" t="inlineStr">
        <is>
          <t>IND/MEL/00008</t>
        </is>
      </c>
      <c r="F9" s="13" t="inlineStr">
        <is>
          <t>M</t>
        </is>
      </c>
      <c r="G9" s="11" t="inlineStr">
        <is>
          <t>Kiran Kaleon</t>
        </is>
      </c>
      <c r="H9" s="11" t="inlineStr">
        <is>
          <t>Diya Kaleon</t>
        </is>
      </c>
      <c r="I9" s="33" t="n">
        <v>45893</v>
      </c>
      <c r="J9" s="11" t="inlineStr">
        <is>
          <t>112 Birchwood Lane</t>
        </is>
      </c>
      <c r="K9" s="13" t="inlineStr">
        <is>
          <t>Emerald Road</t>
        </is>
      </c>
      <c r="L9" s="13" t="inlineStr">
        <is>
          <t>PIN:337234 KINGSWOOD</t>
        </is>
      </c>
      <c r="M9" s="13" t="inlineStr">
        <is>
          <t>MHA/IND/00008</t>
        </is>
      </c>
      <c r="N9" s="18" t="n">
        <v>45846</v>
      </c>
    </row>
    <row r="10" ht="30" customHeight="1">
      <c r="A10" s="28" t="n">
        <v>9</v>
      </c>
      <c r="B10" s="1" t="inlineStr">
        <is>
          <t>KABIR SHARMA</t>
        </is>
      </c>
      <c r="C10" s="33" t="n">
        <v>45926</v>
      </c>
      <c r="D10" s="11" t="inlineStr">
        <is>
          <t>CAMPBELLTOWN</t>
        </is>
      </c>
      <c r="E10" s="12" t="inlineStr">
        <is>
          <t>IND/MEL/00009</t>
        </is>
      </c>
      <c r="F10" s="13" t="inlineStr">
        <is>
          <t>M</t>
        </is>
      </c>
      <c r="G10" s="11" t="inlineStr">
        <is>
          <t>Arjun Sharma</t>
        </is>
      </c>
      <c r="H10" s="11" t="inlineStr">
        <is>
          <t>Mira Sharma</t>
        </is>
      </c>
      <c r="I10" s="33" t="n">
        <v>45969</v>
      </c>
      <c r="J10" s="11" t="inlineStr">
        <is>
          <t>84 Birchwood Lane</t>
        </is>
      </c>
      <c r="K10" s="13" t="inlineStr">
        <is>
          <t>Emerald Road</t>
        </is>
      </c>
      <c r="L10" s="13" t="inlineStr">
        <is>
          <t>PIN:403707 CAMPBELLTOWN</t>
        </is>
      </c>
      <c r="M10" s="13" t="inlineStr">
        <is>
          <t>MHA/IND/00009</t>
        </is>
      </c>
      <c r="N10" s="18" t="n">
        <v>45896</v>
      </c>
    </row>
    <row r="11">
      <c r="A11" s="28" t="n">
        <v>10</v>
      </c>
      <c r="B11" s="1" t="inlineStr">
        <is>
          <t>ANYA RISHKAN</t>
        </is>
      </c>
      <c r="C11" s="33" t="n">
        <v>45663</v>
      </c>
      <c r="D11" s="11" t="inlineStr">
        <is>
          <t>BERWICK</t>
        </is>
      </c>
      <c r="E11" s="12" t="inlineStr">
        <is>
          <t>IND/MEL/00010</t>
        </is>
      </c>
      <c r="F11" s="13" t="inlineStr">
        <is>
          <t>F</t>
        </is>
      </c>
      <c r="G11" s="11" t="inlineStr">
        <is>
          <t>Arjun Rishkan</t>
        </is>
      </c>
      <c r="H11" s="11" t="inlineStr">
        <is>
          <t>Mira Rishkan</t>
        </is>
      </c>
      <c r="I11" s="33" t="n">
        <v>45730</v>
      </c>
      <c r="J11" s="11" t="inlineStr">
        <is>
          <t>61 Birchwood Lane</t>
        </is>
      </c>
      <c r="K11" s="13" t="inlineStr">
        <is>
          <t>Emerald Road</t>
        </is>
      </c>
      <c r="L11" s="13" t="inlineStr">
        <is>
          <t>PIN:379882 BERWICK</t>
        </is>
      </c>
      <c r="M11" s="13" t="inlineStr">
        <is>
          <t>MHA/IND/00010</t>
        </is>
      </c>
      <c r="N11" s="18" t="n">
        <v>45848</v>
      </c>
    </row>
    <row r="12">
      <c r="A12" s="28" t="n">
        <v>11</v>
      </c>
      <c r="B12" s="1" t="inlineStr">
        <is>
          <t>ISHAN RAO</t>
        </is>
      </c>
      <c r="C12" s="33" t="n">
        <v>45706</v>
      </c>
      <c r="D12" s="11" t="inlineStr">
        <is>
          <t>PERTH</t>
        </is>
      </c>
      <c r="E12" s="12" t="inlineStr">
        <is>
          <t>IND/MEL/00011</t>
        </is>
      </c>
      <c r="F12" s="13" t="inlineStr">
        <is>
          <t>M</t>
        </is>
      </c>
      <c r="G12" s="11" t="inlineStr">
        <is>
          <t>Arjun Rao</t>
        </is>
      </c>
      <c r="H12" s="11" t="inlineStr">
        <is>
          <t>Mira Rao</t>
        </is>
      </c>
      <c r="I12" s="33" t="n">
        <v>45815</v>
      </c>
      <c r="J12" s="13" t="inlineStr">
        <is>
          <t>15 Birchwood Lane</t>
        </is>
      </c>
      <c r="K12" s="13" t="inlineStr">
        <is>
          <t>Emerald Road</t>
        </is>
      </c>
      <c r="L12" s="13" t="inlineStr">
        <is>
          <t>PIN:909065 PERTH</t>
        </is>
      </c>
      <c r="M12" s="13" t="inlineStr">
        <is>
          <t>MHA/IND/00011</t>
        </is>
      </c>
      <c r="N12" s="18" t="n">
        <v>45884</v>
      </c>
    </row>
    <row r="13">
      <c r="A13" s="28" t="n">
        <v>12</v>
      </c>
      <c r="B13" s="1" t="inlineStr">
        <is>
          <t>DIYA SHARMA</t>
        </is>
      </c>
      <c r="C13" s="33" t="n">
        <v>45854</v>
      </c>
      <c r="D13" s="11" t="inlineStr">
        <is>
          <t>TRARALGON</t>
        </is>
      </c>
      <c r="E13" s="12" t="inlineStr">
        <is>
          <t>IND/MEL/00012</t>
        </is>
      </c>
      <c r="F13" s="13" t="inlineStr">
        <is>
          <t>F</t>
        </is>
      </c>
      <c r="G13" s="11" t="inlineStr">
        <is>
          <t>Rohit Sharma</t>
        </is>
      </c>
      <c r="H13" s="11" t="inlineStr">
        <is>
          <t>Anya Sharma</t>
        </is>
      </c>
      <c r="I13" s="33" t="n">
        <v>45971</v>
      </c>
      <c r="J13" s="11" t="inlineStr">
        <is>
          <t>105 Birchwood Lane</t>
        </is>
      </c>
      <c r="K13" s="13" t="inlineStr">
        <is>
          <t>Emerald Road</t>
        </is>
      </c>
      <c r="L13" s="13" t="inlineStr">
        <is>
          <t>PIN:749689 TRARALGON</t>
        </is>
      </c>
      <c r="M13" s="13" t="inlineStr">
        <is>
          <t>MHA/IND/00012</t>
        </is>
      </c>
      <c r="N13" s="18" t="n">
        <v>45872</v>
      </c>
    </row>
    <row r="14">
      <c r="A14" s="28" t="n">
        <v>13</v>
      </c>
      <c r="B14" s="1" t="inlineStr">
        <is>
          <t>SARA KALEON</t>
        </is>
      </c>
      <c r="C14" s="33" t="n">
        <v>45946</v>
      </c>
      <c r="D14" s="11" t="inlineStr">
        <is>
          <t>BRISBANE</t>
        </is>
      </c>
      <c r="E14" s="12" t="inlineStr">
        <is>
          <t>IND/MEL/00013</t>
        </is>
      </c>
      <c r="F14" s="13" t="inlineStr">
        <is>
          <t>F</t>
        </is>
      </c>
      <c r="G14" s="11" t="inlineStr">
        <is>
          <t>Ishan Kaleon</t>
        </is>
      </c>
      <c r="H14" s="11" t="inlineStr">
        <is>
          <t>Nina Kaleon</t>
        </is>
      </c>
      <c r="I14" s="33" t="n">
        <v>46009</v>
      </c>
      <c r="J14" s="11" t="inlineStr">
        <is>
          <t>151 Birchwood Lane</t>
        </is>
      </c>
      <c r="K14" s="13" t="inlineStr">
        <is>
          <t>Emerald Road</t>
        </is>
      </c>
      <c r="L14" s="13" t="inlineStr">
        <is>
          <t>PIN:690803 BRISBANE</t>
        </is>
      </c>
      <c r="M14" s="13" t="inlineStr">
        <is>
          <t>MHA/IND/00013</t>
        </is>
      </c>
      <c r="N14" s="18" t="n">
        <v>45841</v>
      </c>
    </row>
    <row r="15">
      <c r="A15" s="28" t="n">
        <v>14</v>
      </c>
      <c r="B15" s="1" t="inlineStr">
        <is>
          <t>KABIR RAO</t>
        </is>
      </c>
      <c r="C15" s="33" t="n">
        <v>45940</v>
      </c>
      <c r="D15" s="11" t="inlineStr">
        <is>
          <t>GEELONG</t>
        </is>
      </c>
      <c r="E15" s="12" t="inlineStr">
        <is>
          <t>IND/MEL/00014</t>
        </is>
      </c>
      <c r="F15" s="13" t="inlineStr">
        <is>
          <t>M</t>
        </is>
      </c>
      <c r="G15" s="11" t="inlineStr">
        <is>
          <t>Neil Rao</t>
        </is>
      </c>
      <c r="H15" s="11" t="inlineStr">
        <is>
          <t>Riya Rao</t>
        </is>
      </c>
      <c r="I15" s="18" t="n">
        <v>46053</v>
      </c>
      <c r="J15" s="13" t="inlineStr">
        <is>
          <t>28 Birchwood Lane</t>
        </is>
      </c>
      <c r="K15" s="13" t="inlineStr">
        <is>
          <t>Emerald Road</t>
        </is>
      </c>
      <c r="L15" s="13" t="inlineStr">
        <is>
          <t>PIN:862049 GEELONG</t>
        </is>
      </c>
      <c r="M15" s="13" t="inlineStr">
        <is>
          <t>MHA/IND/00014</t>
        </is>
      </c>
      <c r="N15" s="18" t="n">
        <v>45845</v>
      </c>
    </row>
    <row r="16">
      <c r="A16" s="28" t="n">
        <v>15</v>
      </c>
      <c r="B16" s="1" t="inlineStr">
        <is>
          <t>NEIL SHARMA</t>
        </is>
      </c>
      <c r="C16" s="33" t="n">
        <v>45698</v>
      </c>
      <c r="D16" s="11" t="inlineStr">
        <is>
          <t>WONTHAGGI</t>
        </is>
      </c>
      <c r="E16" s="12" t="inlineStr">
        <is>
          <t>IND/MEL/00015</t>
        </is>
      </c>
      <c r="F16" s="13" t="inlineStr">
        <is>
          <t>M</t>
        </is>
      </c>
      <c r="G16" s="11" t="inlineStr">
        <is>
          <t>Aren Sharma</t>
        </is>
      </c>
      <c r="H16" s="11" t="inlineStr">
        <is>
          <t>Tara Sharma</t>
        </is>
      </c>
      <c r="I16" s="33" t="n">
        <v>45746</v>
      </c>
      <c r="J16" s="13" t="inlineStr">
        <is>
          <t>49 Birchwood Lane</t>
        </is>
      </c>
      <c r="K16" s="13" t="inlineStr">
        <is>
          <t>Emerald Road</t>
        </is>
      </c>
      <c r="L16" s="13" t="inlineStr">
        <is>
          <t>PIN:481640 WONTHAGGI</t>
        </is>
      </c>
      <c r="M16" s="13" t="inlineStr">
        <is>
          <t>MHA/IND/00015</t>
        </is>
      </c>
      <c r="N16" s="18" t="n">
        <v>45876</v>
      </c>
    </row>
    <row r="17">
      <c r="A17" s="28" t="n">
        <v>16</v>
      </c>
      <c r="B17" s="1" t="inlineStr">
        <is>
          <t>NINA RAO</t>
        </is>
      </c>
      <c r="C17" s="33" t="n">
        <v>45786</v>
      </c>
      <c r="D17" s="11" t="inlineStr">
        <is>
          <t>BELCONNEN</t>
        </is>
      </c>
      <c r="E17" s="12" t="inlineStr">
        <is>
          <t>IND/MEL/00016</t>
        </is>
      </c>
      <c r="F17" s="13" t="inlineStr">
        <is>
          <t>F</t>
        </is>
      </c>
      <c r="G17" s="11" t="inlineStr">
        <is>
          <t>Neil Rao</t>
        </is>
      </c>
      <c r="H17" s="11" t="inlineStr">
        <is>
          <t>Anya Rao</t>
        </is>
      </c>
      <c r="I17" s="33" t="n">
        <v>45815</v>
      </c>
      <c r="J17" s="13" t="inlineStr">
        <is>
          <t>139 Birchwood Lane</t>
        </is>
      </c>
      <c r="K17" s="13" t="inlineStr">
        <is>
          <t>Emerald Road</t>
        </is>
      </c>
      <c r="L17" s="13" t="inlineStr">
        <is>
          <t>PIN:562907 BELCONNEN</t>
        </is>
      </c>
      <c r="M17" s="13" t="inlineStr">
        <is>
          <t>MHA/IND/00016</t>
        </is>
      </c>
      <c r="N17" s="18" t="n">
        <v>45890</v>
      </c>
    </row>
    <row r="18">
      <c r="A18" s="28" t="n">
        <v>17</v>
      </c>
      <c r="B18" s="1" t="inlineStr">
        <is>
          <t>ANYA VALZARI</t>
        </is>
      </c>
      <c r="C18" s="33" t="n">
        <v>45828</v>
      </c>
      <c r="D18" s="11" t="inlineStr">
        <is>
          <t>ST ALBANS</t>
        </is>
      </c>
      <c r="E18" s="12" t="inlineStr">
        <is>
          <t>IND/MEL/00017</t>
        </is>
      </c>
      <c r="F18" s="13" t="inlineStr">
        <is>
          <t>F</t>
        </is>
      </c>
      <c r="G18" s="11" t="inlineStr">
        <is>
          <t>Dev Valzari</t>
        </is>
      </c>
      <c r="H18" s="11" t="inlineStr">
        <is>
          <t>Tara Valzari</t>
        </is>
      </c>
      <c r="I18" s="33" t="n">
        <v>45852</v>
      </c>
      <c r="J18" s="13" t="inlineStr">
        <is>
          <t>121 Birchwood Lane</t>
        </is>
      </c>
      <c r="K18" s="13" t="inlineStr">
        <is>
          <t>Emerald Road</t>
        </is>
      </c>
      <c r="L18" s="13" t="inlineStr">
        <is>
          <t>PIN:447933 ST ALBANS</t>
        </is>
      </c>
      <c r="M18" s="13" t="inlineStr">
        <is>
          <t>MHA/IND/00017</t>
        </is>
      </c>
      <c r="N18" s="18" t="n">
        <v>45898</v>
      </c>
    </row>
    <row r="19">
      <c r="A19" s="28" t="n">
        <v>18</v>
      </c>
      <c r="B19" s="1" t="inlineStr">
        <is>
          <t>NINA RISHKAN</t>
        </is>
      </c>
      <c r="C19" s="33" t="n">
        <v>45699</v>
      </c>
      <c r="D19" s="11" t="inlineStr">
        <is>
          <t>TOWNSVILLE</t>
        </is>
      </c>
      <c r="E19" s="12" t="inlineStr">
        <is>
          <t>IND/MEL/00018</t>
        </is>
      </c>
      <c r="F19" s="13" t="inlineStr">
        <is>
          <t>F</t>
        </is>
      </c>
      <c r="G19" s="11" t="inlineStr">
        <is>
          <t>Rohit Rishkan</t>
        </is>
      </c>
      <c r="H19" s="11" t="inlineStr">
        <is>
          <t>Diya Rishkan</t>
        </is>
      </c>
      <c r="I19" s="33" t="n">
        <v>45809</v>
      </c>
      <c r="J19" s="13" t="inlineStr">
        <is>
          <t>13 Birchwood Lane</t>
        </is>
      </c>
      <c r="K19" s="13" t="inlineStr">
        <is>
          <t>Emerald Road</t>
        </is>
      </c>
      <c r="L19" s="13" t="inlineStr">
        <is>
          <t>PIN:803740 TOWNSVILLE</t>
        </is>
      </c>
      <c r="M19" s="13" t="inlineStr">
        <is>
          <t>MHA/IND/00018</t>
        </is>
      </c>
      <c r="N19" s="18" t="n">
        <v>45866</v>
      </c>
    </row>
    <row r="20" ht="30" customHeight="1">
      <c r="A20" s="28" t="n">
        <v>19</v>
      </c>
      <c r="B20" s="1" t="inlineStr">
        <is>
          <t>MIRA KALEON</t>
        </is>
      </c>
      <c r="C20" s="33" t="n">
        <v>45703</v>
      </c>
      <c r="D20" s="11" t="inlineStr">
        <is>
          <t>WOLLONGONG</t>
        </is>
      </c>
      <c r="E20" s="12" t="inlineStr">
        <is>
          <t>IND/MEL/00019</t>
        </is>
      </c>
      <c r="F20" s="13" t="inlineStr">
        <is>
          <t>F</t>
        </is>
      </c>
      <c r="G20" s="11" t="inlineStr">
        <is>
          <t>Kabir Kaleon</t>
        </is>
      </c>
      <c r="H20" s="11" t="inlineStr">
        <is>
          <t>Riya Kaleon</t>
        </is>
      </c>
      <c r="I20" s="33" t="n">
        <v>45820</v>
      </c>
      <c r="J20" s="13" t="inlineStr">
        <is>
          <t>31 Birchwood Lane</t>
        </is>
      </c>
      <c r="K20" s="13" t="inlineStr">
        <is>
          <t>Emerald Road</t>
        </is>
      </c>
      <c r="L20" s="13" t="inlineStr">
        <is>
          <t>PIN:595547 WOLLONGONG</t>
        </is>
      </c>
      <c r="M20" s="13" t="inlineStr">
        <is>
          <t>MHA/IND/00019</t>
        </is>
      </c>
      <c r="N20" s="18" t="n">
        <v>45897</v>
      </c>
    </row>
    <row r="21">
      <c r="A21" s="28" t="n">
        <v>20</v>
      </c>
      <c r="B21" s="1" t="inlineStr">
        <is>
          <t>ROHIT MYRTHOS</t>
        </is>
      </c>
      <c r="C21" s="33" t="n">
        <v>45737</v>
      </c>
      <c r="D21" s="11" t="inlineStr">
        <is>
          <t>CAMPBELLTOWN</t>
        </is>
      </c>
      <c r="E21" s="12" t="inlineStr">
        <is>
          <t>IND/MEL/00020</t>
        </is>
      </c>
      <c r="F21" s="13" t="inlineStr">
        <is>
          <t>M</t>
        </is>
      </c>
      <c r="G21" s="11" t="inlineStr">
        <is>
          <t>Rohit Myrthos</t>
        </is>
      </c>
      <c r="H21" s="11" t="inlineStr">
        <is>
          <t>Alya Myrthos</t>
        </is>
      </c>
      <c r="I21" s="33" t="n">
        <v>45800</v>
      </c>
      <c r="J21" s="13" t="inlineStr">
        <is>
          <t>59 Birchwood Lane</t>
        </is>
      </c>
      <c r="K21" s="13" t="inlineStr">
        <is>
          <t>Emerald Road</t>
        </is>
      </c>
      <c r="L21" s="13" t="inlineStr">
        <is>
          <t>PIN:475285 CAMPBELLTOWN</t>
        </is>
      </c>
      <c r="M21" s="13" t="inlineStr">
        <is>
          <t>MHA/IND/00020</t>
        </is>
      </c>
      <c r="N21" s="18" t="n">
        <v>45885</v>
      </c>
    </row>
    <row r="22">
      <c r="A22" s="28" t="n">
        <v>21</v>
      </c>
      <c r="B22" s="1" t="inlineStr">
        <is>
          <t>ISHAN SHARMA</t>
        </is>
      </c>
      <c r="C22" s="33" t="n">
        <v>45955</v>
      </c>
      <c r="D22" s="11" t="inlineStr">
        <is>
          <t>LENAH VALLEY</t>
        </is>
      </c>
      <c r="E22" s="12" t="inlineStr">
        <is>
          <t>IND/MEL/00021</t>
        </is>
      </c>
      <c r="F22" s="13" t="inlineStr">
        <is>
          <t>M</t>
        </is>
      </c>
      <c r="G22" s="11" t="inlineStr">
        <is>
          <t>Dev Sharma</t>
        </is>
      </c>
      <c r="H22" s="11" t="inlineStr">
        <is>
          <t>Riya Sharma</t>
        </is>
      </c>
      <c r="I22" s="33" t="n">
        <v>45983</v>
      </c>
      <c r="J22" s="13" t="inlineStr">
        <is>
          <t>55 Birchwood Lane</t>
        </is>
      </c>
      <c r="K22" s="13" t="inlineStr">
        <is>
          <t>Emerald Road</t>
        </is>
      </c>
      <c r="L22" s="13" t="inlineStr">
        <is>
          <t>PIN:883192 LENAH VALLEY</t>
        </is>
      </c>
      <c r="M22" s="13" t="inlineStr">
        <is>
          <t>MHA/IND/00021</t>
        </is>
      </c>
      <c r="N22" s="18" t="n">
        <v>45868</v>
      </c>
    </row>
    <row r="23">
      <c r="A23" s="28" t="n">
        <v>22</v>
      </c>
      <c r="B23" s="1" t="inlineStr">
        <is>
          <t>DEV VALZARI</t>
        </is>
      </c>
      <c r="C23" s="33" t="n">
        <v>45826</v>
      </c>
      <c r="D23" s="11" t="inlineStr">
        <is>
          <t>PARRAMATTA</t>
        </is>
      </c>
      <c r="E23" s="12" t="inlineStr">
        <is>
          <t>IND/MEL/00022</t>
        </is>
      </c>
      <c r="F23" s="13" t="inlineStr">
        <is>
          <t>M</t>
        </is>
      </c>
      <c r="G23" s="11" t="inlineStr">
        <is>
          <t>Kabir Valzari</t>
        </is>
      </c>
      <c r="H23" s="11" t="inlineStr">
        <is>
          <t>Anya Valzari</t>
        </is>
      </c>
      <c r="I23" s="33" t="n">
        <v>45840</v>
      </c>
      <c r="J23" s="13" t="inlineStr">
        <is>
          <t>18 Birchwood Lane</t>
        </is>
      </c>
      <c r="K23" s="13" t="inlineStr">
        <is>
          <t>Emerald Road</t>
        </is>
      </c>
      <c r="L23" s="13" t="inlineStr">
        <is>
          <t>PIN:623840 PARRAMATTA</t>
        </is>
      </c>
      <c r="M23" s="13" t="inlineStr">
        <is>
          <t>MHA/IND/00022</t>
        </is>
      </c>
      <c r="N23" s="18" t="n">
        <v>45858</v>
      </c>
    </row>
    <row r="24" ht="30" customHeight="1">
      <c r="A24" s="28" t="n">
        <v>23</v>
      </c>
      <c r="B24" s="1" t="inlineStr">
        <is>
          <t>ANYA RAO</t>
        </is>
      </c>
      <c r="C24" s="33" t="n">
        <v>45782</v>
      </c>
      <c r="D24" s="11" t="inlineStr">
        <is>
          <t>GEELONG</t>
        </is>
      </c>
      <c r="E24" s="12" t="inlineStr">
        <is>
          <t>IND/MEL/00023</t>
        </is>
      </c>
      <c r="F24" s="13" t="inlineStr">
        <is>
          <t>F</t>
        </is>
      </c>
      <c r="G24" s="11" t="inlineStr">
        <is>
          <t>Rohit Rao</t>
        </is>
      </c>
      <c r="H24" s="11" t="inlineStr">
        <is>
          <t>Alya Rao</t>
        </is>
      </c>
      <c r="I24" s="33" t="n">
        <v>45787</v>
      </c>
      <c r="J24" s="13" t="inlineStr">
        <is>
          <t>112 Birchwood Lane</t>
        </is>
      </c>
      <c r="K24" s="13" t="inlineStr">
        <is>
          <t>Emerald Road</t>
        </is>
      </c>
      <c r="L24" s="13" t="inlineStr">
        <is>
          <t>PIN:153426 GEELONG</t>
        </is>
      </c>
      <c r="M24" s="13" t="inlineStr">
        <is>
          <t>MHA/IND/00023</t>
        </is>
      </c>
      <c r="N24" s="18" t="n">
        <v>45852</v>
      </c>
    </row>
    <row r="25">
      <c r="A25" s="28" t="n">
        <v>24</v>
      </c>
      <c r="B25" s="1" t="inlineStr">
        <is>
          <t>ROHIT VALZARI</t>
        </is>
      </c>
      <c r="C25" s="33" t="n">
        <v>45754</v>
      </c>
      <c r="D25" s="11" t="inlineStr">
        <is>
          <t>PALMERSTON</t>
        </is>
      </c>
      <c r="E25" s="12" t="inlineStr">
        <is>
          <t>IND/MEL/00024</t>
        </is>
      </c>
      <c r="F25" s="13" t="inlineStr">
        <is>
          <t>M</t>
        </is>
      </c>
      <c r="G25" s="11" t="inlineStr">
        <is>
          <t>Aren Valzari</t>
        </is>
      </c>
      <c r="H25" s="11" t="inlineStr">
        <is>
          <t>Anya Valzari</t>
        </is>
      </c>
      <c r="I25" s="33" t="n">
        <v>45765</v>
      </c>
      <c r="J25" s="13" t="inlineStr">
        <is>
          <t>20 Birchwood Lane</t>
        </is>
      </c>
      <c r="K25" s="13" t="inlineStr">
        <is>
          <t>Emerald Road</t>
        </is>
      </c>
      <c r="L25" s="13" t="inlineStr">
        <is>
          <t>PIN:548726 PALMERSTON</t>
        </is>
      </c>
      <c r="M25" s="13" t="inlineStr">
        <is>
          <t>MHA/IND/00024</t>
        </is>
      </c>
      <c r="N25" s="18" t="n">
        <v>45855</v>
      </c>
    </row>
    <row r="26" ht="30" customHeight="1">
      <c r="A26" s="28" t="n">
        <v>25</v>
      </c>
      <c r="B26" s="1" t="inlineStr">
        <is>
          <t>ARJUN KALEON</t>
        </is>
      </c>
      <c r="C26" s="35" t="n">
        <v>45951</v>
      </c>
      <c r="D26" s="11" t="inlineStr">
        <is>
          <t>LENAH VALLEY</t>
        </is>
      </c>
      <c r="E26" s="12" t="inlineStr">
        <is>
          <t>IND/MEL/00025</t>
        </is>
      </c>
      <c r="F26" s="1" t="inlineStr">
        <is>
          <t>M</t>
        </is>
      </c>
      <c r="G26" s="3" t="inlineStr">
        <is>
          <t>Kabir Kaleon</t>
        </is>
      </c>
      <c r="H26" s="3" t="inlineStr">
        <is>
          <t>Riya Kaleon</t>
        </is>
      </c>
      <c r="I26" s="35" t="n">
        <v>46031</v>
      </c>
      <c r="J26" s="1" t="inlineStr">
        <is>
          <t>163 Birchwood Lane</t>
        </is>
      </c>
      <c r="K26" s="1" t="inlineStr">
        <is>
          <t>Emerald Road</t>
        </is>
      </c>
      <c r="L26" s="1" t="inlineStr">
        <is>
          <t>PIN:398774 LENAH VALLEY</t>
        </is>
      </c>
      <c r="M26" s="13" t="inlineStr">
        <is>
          <t>MHA/IND/00025</t>
        </is>
      </c>
      <c r="N26" s="18" t="n">
        <v>45880</v>
      </c>
    </row>
    <row r="27">
      <c r="A27" s="28" t="n">
        <v>26</v>
      </c>
      <c r="B27" s="1" t="inlineStr">
        <is>
          <t>AREN MYRTHOS</t>
        </is>
      </c>
      <c r="C27" s="35" t="n">
        <v>45804</v>
      </c>
      <c r="D27" s="11" t="inlineStr">
        <is>
          <t>MIDLAND</t>
        </is>
      </c>
      <c r="E27" s="12" t="inlineStr">
        <is>
          <t>IND/MEL/00026</t>
        </is>
      </c>
      <c r="F27" s="1" t="inlineStr">
        <is>
          <t>M</t>
        </is>
      </c>
      <c r="G27" s="3" t="inlineStr">
        <is>
          <t>Kabir Myrthos</t>
        </is>
      </c>
      <c r="H27" s="3" t="inlineStr">
        <is>
          <t>Nina Myrthos</t>
        </is>
      </c>
      <c r="I27" s="35" t="n">
        <v>45918</v>
      </c>
      <c r="J27" s="1" t="inlineStr">
        <is>
          <t>179 Birchwood Lane</t>
        </is>
      </c>
      <c r="K27" s="1" t="inlineStr">
        <is>
          <t>Emerald Road</t>
        </is>
      </c>
      <c r="L27" s="1" t="inlineStr">
        <is>
          <t>PIN:688803 MIDLAND</t>
        </is>
      </c>
      <c r="M27" s="13" t="inlineStr">
        <is>
          <t>MHA/IND/00026</t>
        </is>
      </c>
      <c r="N27" s="18" t="n">
        <v>45859</v>
      </c>
    </row>
    <row r="28">
      <c r="A28" s="28" t="n">
        <v>27</v>
      </c>
      <c r="B28" s="1" t="inlineStr">
        <is>
          <t>MIRA SINDALE</t>
        </is>
      </c>
      <c r="C28" s="35" t="n">
        <v>45908</v>
      </c>
      <c r="D28" s="11" t="inlineStr">
        <is>
          <t>ROCKHAMPTON</t>
        </is>
      </c>
      <c r="E28" s="12" t="inlineStr">
        <is>
          <t>IND/MEL/00027</t>
        </is>
      </c>
      <c r="F28" s="1" t="inlineStr">
        <is>
          <t>F</t>
        </is>
      </c>
      <c r="G28" s="3" t="inlineStr">
        <is>
          <t>Ishan Sindale</t>
        </is>
      </c>
      <c r="H28" s="3" t="inlineStr">
        <is>
          <t>Anya Sindale</t>
        </is>
      </c>
      <c r="I28" s="35" t="n">
        <v>45915</v>
      </c>
      <c r="J28" s="1" t="inlineStr">
        <is>
          <t>11 Birchwood Lane</t>
        </is>
      </c>
      <c r="K28" s="1" t="inlineStr">
        <is>
          <t>Emerald Road</t>
        </is>
      </c>
      <c r="L28" s="1" t="inlineStr">
        <is>
          <t>PIN:572879 ROCKHAMPTON</t>
        </is>
      </c>
      <c r="M28" s="13" t="inlineStr">
        <is>
          <t>MHA/IND/00027</t>
        </is>
      </c>
      <c r="N28" s="18" t="n">
        <v>45842</v>
      </c>
    </row>
    <row r="29">
      <c r="A29" s="28" t="n">
        <v>28</v>
      </c>
      <c r="B29" s="1" t="inlineStr">
        <is>
          <t>ALYA VALZARI</t>
        </is>
      </c>
      <c r="C29" s="35" t="n">
        <v>45692</v>
      </c>
      <c r="D29" s="11" t="inlineStr">
        <is>
          <t>MANDURAH</t>
        </is>
      </c>
      <c r="E29" s="12" t="inlineStr">
        <is>
          <t>IND/MEL/00028</t>
        </is>
      </c>
      <c r="F29" s="1" t="inlineStr">
        <is>
          <t>F</t>
        </is>
      </c>
      <c r="G29" s="3" t="inlineStr">
        <is>
          <t>Dev Valzari</t>
        </is>
      </c>
      <c r="H29" s="3" t="inlineStr">
        <is>
          <t>Alya Valzari</t>
        </is>
      </c>
      <c r="I29" s="35" t="n">
        <v>45717</v>
      </c>
      <c r="J29" s="1" t="inlineStr">
        <is>
          <t>69 Birchwood Lane</t>
        </is>
      </c>
      <c r="K29" s="1" t="inlineStr">
        <is>
          <t>Emerald Road</t>
        </is>
      </c>
      <c r="L29" s="1" t="inlineStr">
        <is>
          <t>PIN:775685 MANDURAH</t>
        </is>
      </c>
      <c r="M29" s="13" t="inlineStr">
        <is>
          <t>MHA/IND/00028</t>
        </is>
      </c>
      <c r="N29" s="18" t="n">
        <v>45886</v>
      </c>
    </row>
    <row r="30">
      <c r="A30" s="28" t="n">
        <v>29</v>
      </c>
      <c r="B30" s="1" t="inlineStr">
        <is>
          <t>ARJUN RISHKAN</t>
        </is>
      </c>
      <c r="C30" s="35" t="n">
        <v>45695</v>
      </c>
      <c r="D30" s="11" t="inlineStr">
        <is>
          <t>DALBY</t>
        </is>
      </c>
      <c r="E30" s="12" t="inlineStr">
        <is>
          <t>IND/MEL/00029</t>
        </is>
      </c>
      <c r="F30" s="1" t="inlineStr">
        <is>
          <t>M</t>
        </is>
      </c>
      <c r="G30" s="3" t="inlineStr">
        <is>
          <t>Arjun Rishkan</t>
        </is>
      </c>
      <c r="H30" s="3" t="inlineStr">
        <is>
          <t>Riya Rishkan</t>
        </is>
      </c>
      <c r="I30" s="35" t="n">
        <v>45747</v>
      </c>
      <c r="J30" s="1" t="inlineStr">
        <is>
          <t>16 Birchwood Lane</t>
        </is>
      </c>
      <c r="K30" s="1" t="inlineStr">
        <is>
          <t>Emerald Road</t>
        </is>
      </c>
      <c r="L30" s="1" t="inlineStr">
        <is>
          <t>PIN:294333 DALBY</t>
        </is>
      </c>
      <c r="M30" s="13" t="inlineStr">
        <is>
          <t>MHA/IND/00029</t>
        </is>
      </c>
      <c r="N30" s="18" t="n">
        <v>45892</v>
      </c>
    </row>
    <row r="31">
      <c r="A31" s="28" t="n">
        <v>30</v>
      </c>
      <c r="B31" s="1" t="inlineStr">
        <is>
          <t>ANYA RAO</t>
        </is>
      </c>
      <c r="C31" s="35" t="n">
        <v>45833</v>
      </c>
      <c r="D31" s="11" t="inlineStr">
        <is>
          <t>PARKVILLE</t>
        </is>
      </c>
      <c r="E31" s="12" t="inlineStr">
        <is>
          <t>IND/MEL/00030</t>
        </is>
      </c>
      <c r="F31" s="1" t="inlineStr">
        <is>
          <t>F</t>
        </is>
      </c>
      <c r="G31" s="3" t="inlineStr">
        <is>
          <t>Ishan Rao</t>
        </is>
      </c>
      <c r="H31" s="3" t="inlineStr">
        <is>
          <t>Riya Rao</t>
        </is>
      </c>
      <c r="I31" s="35" t="n">
        <v>45856</v>
      </c>
      <c r="J31" s="1" t="inlineStr">
        <is>
          <t>89 Birchwood Lane</t>
        </is>
      </c>
      <c r="K31" s="1" t="inlineStr">
        <is>
          <t>Emerald Road</t>
        </is>
      </c>
      <c r="L31" s="1" t="inlineStr">
        <is>
          <t>PIN:778480 PARKVILLE</t>
        </is>
      </c>
      <c r="M31" s="13" t="inlineStr">
        <is>
          <t>MHA/IND/00030</t>
        </is>
      </c>
      <c r="N31" s="18" t="n">
        <v>45893</v>
      </c>
    </row>
    <row r="32">
      <c r="A32" s="28" t="n">
        <v>31</v>
      </c>
      <c r="B32" s="1" t="inlineStr">
        <is>
          <t>TARA RISHKAN</t>
        </is>
      </c>
      <c r="C32" s="35" t="n">
        <v>45812</v>
      </c>
      <c r="D32" s="1" t="inlineStr">
        <is>
          <t>ADELAIDE</t>
        </is>
      </c>
      <c r="E32" s="12" t="inlineStr">
        <is>
          <t>IND/MEL/00031</t>
        </is>
      </c>
      <c r="F32" s="1" t="inlineStr">
        <is>
          <t>F</t>
        </is>
      </c>
      <c r="G32" s="3" t="inlineStr">
        <is>
          <t>Kabir Rishkan</t>
        </is>
      </c>
      <c r="H32" s="3" t="inlineStr">
        <is>
          <t>Sara Rishkan</t>
        </is>
      </c>
      <c r="I32" s="35" t="n">
        <v>45931</v>
      </c>
      <c r="J32" s="1" t="inlineStr">
        <is>
          <t>77 Birchwood Lane</t>
        </is>
      </c>
      <c r="K32" s="1" t="inlineStr">
        <is>
          <t>Emerald Road</t>
        </is>
      </c>
      <c r="L32" s="1" t="inlineStr">
        <is>
          <t>PIN:952963 ADELAIDE</t>
        </is>
      </c>
      <c r="M32" s="13" t="inlineStr">
        <is>
          <t>MHA/IND/00031</t>
        </is>
      </c>
      <c r="N32" s="18" t="n">
        <v>45877</v>
      </c>
    </row>
    <row r="33" ht="30" customHeight="1">
      <c r="A33" s="28" t="n">
        <v>32</v>
      </c>
      <c r="B33" s="1" t="inlineStr">
        <is>
          <t>ISHAN RAO</t>
        </is>
      </c>
      <c r="C33" s="35" t="n">
        <v>45833</v>
      </c>
      <c r="D33" s="11" t="inlineStr">
        <is>
          <t>LOGAN</t>
        </is>
      </c>
      <c r="E33" s="12" t="inlineStr">
        <is>
          <t>IND/MEL/00032</t>
        </is>
      </c>
      <c r="F33" s="1" t="inlineStr">
        <is>
          <t>M</t>
        </is>
      </c>
      <c r="G33" s="3" t="inlineStr">
        <is>
          <t>Arjun Rao</t>
        </is>
      </c>
      <c r="H33" s="3" t="inlineStr">
        <is>
          <t>Nina Rao</t>
        </is>
      </c>
      <c r="I33" s="35" t="n">
        <v>45935</v>
      </c>
      <c r="J33" s="1" t="inlineStr">
        <is>
          <t>190 Birchwood Lane</t>
        </is>
      </c>
      <c r="K33" s="1" t="inlineStr">
        <is>
          <t>Emerald Road</t>
        </is>
      </c>
      <c r="L33" s="1" t="inlineStr">
        <is>
          <t>PIN:921501 LOGAN</t>
        </is>
      </c>
      <c r="M33" s="13" t="inlineStr">
        <is>
          <t>MHA/IND/00032</t>
        </is>
      </c>
      <c r="N33" s="18" t="n">
        <v>45848</v>
      </c>
    </row>
    <row r="34">
      <c r="A34" s="28" t="n">
        <v>33</v>
      </c>
      <c r="B34" s="1" t="inlineStr">
        <is>
          <t>NEIL RISHKAN</t>
        </is>
      </c>
      <c r="C34" s="35" t="n">
        <v>45834</v>
      </c>
      <c r="D34" s="11" t="inlineStr">
        <is>
          <t>FRANKSTON</t>
        </is>
      </c>
      <c r="E34" s="12" t="inlineStr">
        <is>
          <t>IND/MEL/00033</t>
        </is>
      </c>
      <c r="F34" s="1" t="inlineStr">
        <is>
          <t>M</t>
        </is>
      </c>
      <c r="G34" s="3" t="inlineStr">
        <is>
          <t>Neil Rishkan</t>
        </is>
      </c>
      <c r="H34" s="3" t="inlineStr">
        <is>
          <t>Tara Rishkan</t>
        </is>
      </c>
      <c r="I34" s="35" t="n">
        <v>45866</v>
      </c>
      <c r="J34" s="1" t="inlineStr">
        <is>
          <t>135 Birchwood Lane</t>
        </is>
      </c>
      <c r="K34" s="1" t="inlineStr">
        <is>
          <t>Emerald Road</t>
        </is>
      </c>
      <c r="L34" s="1" t="inlineStr">
        <is>
          <t>PIN:461997 FRANKSTON</t>
        </is>
      </c>
      <c r="M34" s="13" t="inlineStr">
        <is>
          <t>MHA/IND/00033</t>
        </is>
      </c>
      <c r="N34" s="18" t="n">
        <v>45881</v>
      </c>
    </row>
    <row r="35" ht="30" customHeight="1">
      <c r="A35" s="28" t="n">
        <v>34</v>
      </c>
      <c r="B35" s="1" t="inlineStr">
        <is>
          <t>KIRAN MYRTHOS</t>
        </is>
      </c>
      <c r="C35" s="35" t="n">
        <v>45787</v>
      </c>
      <c r="D35" s="11" t="inlineStr">
        <is>
          <t>ST ALBANS</t>
        </is>
      </c>
      <c r="E35" s="12" t="inlineStr">
        <is>
          <t>IND/MEL/00034</t>
        </is>
      </c>
      <c r="F35" s="1" t="inlineStr">
        <is>
          <t>M</t>
        </is>
      </c>
      <c r="G35" s="3" t="inlineStr">
        <is>
          <t>Arjun Myrthos</t>
        </is>
      </c>
      <c r="H35" s="3" t="inlineStr">
        <is>
          <t>Sara Myrthos</t>
        </is>
      </c>
      <c r="I35" s="35" t="n">
        <v>45833</v>
      </c>
      <c r="J35" s="1" t="inlineStr">
        <is>
          <t>118 Birchwood Lane</t>
        </is>
      </c>
      <c r="K35" s="1" t="inlineStr">
        <is>
          <t>Emerald Road</t>
        </is>
      </c>
      <c r="L35" s="1" t="inlineStr">
        <is>
          <t>PIN:541304 ST ALBANS</t>
        </is>
      </c>
      <c r="M35" s="13" t="inlineStr">
        <is>
          <t>MHA/IND/00034</t>
        </is>
      </c>
      <c r="N35" s="18" t="n">
        <v>45878</v>
      </c>
    </row>
    <row r="36">
      <c r="A36" s="28" t="n">
        <v>35</v>
      </c>
      <c r="B36" s="1" t="inlineStr">
        <is>
          <t>DEV RISHKAN</t>
        </is>
      </c>
      <c r="C36" s="35" t="n">
        <v>45667</v>
      </c>
      <c r="D36" s="11" t="inlineStr">
        <is>
          <t>MANDURAH</t>
        </is>
      </c>
      <c r="E36" s="12" t="inlineStr">
        <is>
          <t>IND/MEL/00035</t>
        </is>
      </c>
      <c r="F36" s="1" t="inlineStr">
        <is>
          <t>M</t>
        </is>
      </c>
      <c r="G36" s="3" t="inlineStr">
        <is>
          <t>Arjun Rishkan</t>
        </is>
      </c>
      <c r="H36" s="3" t="inlineStr">
        <is>
          <t>Sara Rishkan</t>
        </is>
      </c>
      <c r="I36" s="35" t="n">
        <v>45721</v>
      </c>
      <c r="J36" s="1" t="inlineStr">
        <is>
          <t>10 Birchwood Lane</t>
        </is>
      </c>
      <c r="K36" s="1" t="inlineStr">
        <is>
          <t>Emerald Road</t>
        </is>
      </c>
      <c r="L36" s="1" t="inlineStr">
        <is>
          <t>PIN:613365 MANDURAH</t>
        </is>
      </c>
      <c r="M36" s="13" t="inlineStr">
        <is>
          <t>MHA/IND/00035</t>
        </is>
      </c>
      <c r="N36" s="18" t="n">
        <v>45877</v>
      </c>
    </row>
    <row r="37">
      <c r="A37" s="28" t="n">
        <v>36</v>
      </c>
      <c r="B37" s="1" t="inlineStr">
        <is>
          <t>SARA VALZARI</t>
        </is>
      </c>
      <c r="C37" s="35" t="n">
        <v>45956</v>
      </c>
      <c r="D37" s="11" t="inlineStr">
        <is>
          <t>BEDFORD PARK</t>
        </is>
      </c>
      <c r="E37" s="12" t="inlineStr">
        <is>
          <t>IND/MEL/00036</t>
        </is>
      </c>
      <c r="F37" s="1" t="inlineStr">
        <is>
          <t>F</t>
        </is>
      </c>
      <c r="G37" s="3" t="inlineStr">
        <is>
          <t>Arjun Valzari</t>
        </is>
      </c>
      <c r="H37" s="3" t="inlineStr">
        <is>
          <t>Diya Valzari</t>
        </is>
      </c>
      <c r="I37" s="35" t="n">
        <v>45962</v>
      </c>
      <c r="J37" s="1" t="inlineStr">
        <is>
          <t>184 Birchwood Lane</t>
        </is>
      </c>
      <c r="K37" s="1" t="inlineStr">
        <is>
          <t>Emerald Road</t>
        </is>
      </c>
      <c r="L37" s="1" t="inlineStr">
        <is>
          <t>PIN:462170 BEDFORD PARK</t>
        </is>
      </c>
      <c r="M37" s="13" t="inlineStr">
        <is>
          <t>MHA/IND/00036</t>
        </is>
      </c>
      <c r="N37" s="18" t="n">
        <v>45864</v>
      </c>
    </row>
    <row r="38">
      <c r="A38" s="28" t="n">
        <v>37</v>
      </c>
      <c r="B38" s="1" t="inlineStr">
        <is>
          <t>ROHIT MYRTHOS</t>
        </is>
      </c>
      <c r="C38" s="35" t="n">
        <v>45901</v>
      </c>
      <c r="D38" s="11" t="inlineStr">
        <is>
          <t>WERRIBEE</t>
        </is>
      </c>
      <c r="E38" s="12" t="inlineStr">
        <is>
          <t>IND/MEL/00037</t>
        </is>
      </c>
      <c r="F38" s="1" t="inlineStr">
        <is>
          <t>M</t>
        </is>
      </c>
      <c r="G38" s="3" t="inlineStr">
        <is>
          <t>Arjun Myrthos</t>
        </is>
      </c>
      <c r="H38" s="3" t="inlineStr">
        <is>
          <t>Nina Myrthos</t>
        </is>
      </c>
      <c r="I38" s="35" t="n">
        <v>45941</v>
      </c>
      <c r="J38" s="1" t="inlineStr">
        <is>
          <t>35 Birchwood Lane</t>
        </is>
      </c>
      <c r="K38" s="1" t="inlineStr">
        <is>
          <t>Emerald Road</t>
        </is>
      </c>
      <c r="L38" s="1" t="inlineStr">
        <is>
          <t>PIN:345085 WERRIBEE</t>
        </is>
      </c>
      <c r="M38" s="13" t="inlineStr">
        <is>
          <t>MHA/IND/00037</t>
        </is>
      </c>
      <c r="N38" s="30" t="n">
        <v>45857</v>
      </c>
    </row>
    <row r="39">
      <c r="A39" s="28" t="n">
        <v>38</v>
      </c>
      <c r="B39" s="1" t="inlineStr">
        <is>
          <t>KABIR RAO</t>
        </is>
      </c>
      <c r="C39" s="35" t="n">
        <v>45860</v>
      </c>
      <c r="D39" s="11" t="inlineStr">
        <is>
          <t>BUNDABERG</t>
        </is>
      </c>
      <c r="E39" s="12" t="inlineStr">
        <is>
          <t>IND/MEL/00038</t>
        </is>
      </c>
      <c r="F39" s="1" t="inlineStr">
        <is>
          <t>M</t>
        </is>
      </c>
      <c r="G39" s="3" t="inlineStr">
        <is>
          <t>Neil Rao</t>
        </is>
      </c>
      <c r="H39" s="3" t="inlineStr">
        <is>
          <t>Sara Rao</t>
        </is>
      </c>
      <c r="I39" s="35" t="n">
        <v>45905</v>
      </c>
      <c r="J39" s="3" t="inlineStr">
        <is>
          <t>131 Birchwood Lane</t>
        </is>
      </c>
      <c r="K39" s="1" t="inlineStr">
        <is>
          <t>Emerald Road</t>
        </is>
      </c>
      <c r="L39" s="1" t="inlineStr">
        <is>
          <t>PIN:834366 BUNDABERG</t>
        </is>
      </c>
      <c r="M39" s="13" t="inlineStr">
        <is>
          <t>MHA/IND/00038</t>
        </is>
      </c>
      <c r="N39" s="30" t="n">
        <v>45844</v>
      </c>
    </row>
    <row r="40">
      <c r="A40" s="28" t="n">
        <v>39</v>
      </c>
      <c r="B40" s="1" t="inlineStr">
        <is>
          <t>DIYA RAO</t>
        </is>
      </c>
      <c r="C40" s="35" t="n">
        <v>45828</v>
      </c>
      <c r="D40" s="11" t="inlineStr">
        <is>
          <t>PERTH</t>
        </is>
      </c>
      <c r="E40" s="12" t="inlineStr">
        <is>
          <t>IND/MEL/00039</t>
        </is>
      </c>
      <c r="F40" s="1" t="inlineStr">
        <is>
          <t>F</t>
        </is>
      </c>
      <c r="G40" s="3" t="inlineStr">
        <is>
          <t>Neil Rao</t>
        </is>
      </c>
      <c r="H40" s="3" t="inlineStr">
        <is>
          <t>Riya Rao</t>
        </is>
      </c>
      <c r="I40" s="35" t="n">
        <v>45872</v>
      </c>
      <c r="J40" s="3" t="inlineStr">
        <is>
          <t>32 Birchwood Lane</t>
        </is>
      </c>
      <c r="K40" s="1" t="inlineStr">
        <is>
          <t>Emerald Road</t>
        </is>
      </c>
      <c r="L40" s="1" t="inlineStr">
        <is>
          <t>PIN:127602 PERTH</t>
        </is>
      </c>
      <c r="M40" s="13" t="inlineStr">
        <is>
          <t>MHA/IND/00039</t>
        </is>
      </c>
      <c r="N40" s="30" t="n">
        <v>45864</v>
      </c>
    </row>
    <row r="41">
      <c r="A41" s="28" t="n">
        <v>40</v>
      </c>
      <c r="B41" s="1" t="inlineStr">
        <is>
          <t>KIRAN MYRTHOS</t>
        </is>
      </c>
      <c r="C41" s="35" t="n">
        <v>45775</v>
      </c>
      <c r="D41" s="1" t="inlineStr">
        <is>
          <t>NEWCASTLE</t>
        </is>
      </c>
      <c r="E41" s="12" t="inlineStr">
        <is>
          <t>IND/MEL/00040</t>
        </is>
      </c>
      <c r="F41" s="1" t="inlineStr">
        <is>
          <t>M</t>
        </is>
      </c>
      <c r="G41" s="3" t="inlineStr">
        <is>
          <t>Ishan Myrthos</t>
        </is>
      </c>
      <c r="H41" s="3" t="inlineStr">
        <is>
          <t>Anya Myrthos</t>
        </is>
      </c>
      <c r="I41" s="35" t="n">
        <v>45873</v>
      </c>
      <c r="J41" s="1" t="inlineStr">
        <is>
          <t>139 Birchwood Lane</t>
        </is>
      </c>
      <c r="K41" s="1" t="inlineStr">
        <is>
          <t>Emerald Road</t>
        </is>
      </c>
      <c r="L41" s="1" t="inlineStr">
        <is>
          <t>PIN:884260 NEWCASTLE</t>
        </is>
      </c>
      <c r="M41" s="13" t="inlineStr">
        <is>
          <t>MHA/IND/00040</t>
        </is>
      </c>
      <c r="N41" s="30" t="n">
        <v>45840</v>
      </c>
    </row>
    <row r="42">
      <c r="A42" s="28" t="n">
        <v>41</v>
      </c>
      <c r="B42" s="1" t="inlineStr">
        <is>
          <t>NEIL SINDALE</t>
        </is>
      </c>
      <c r="C42" s="35" t="n">
        <v>45733</v>
      </c>
      <c r="D42" s="11" t="inlineStr">
        <is>
          <t>PARKVILLE</t>
        </is>
      </c>
      <c r="E42" s="12" t="inlineStr">
        <is>
          <t>IND/MEL/00041</t>
        </is>
      </c>
      <c r="F42" s="1" t="inlineStr">
        <is>
          <t>M</t>
        </is>
      </c>
      <c r="G42" s="3" t="inlineStr">
        <is>
          <t>Kabir Sindale</t>
        </is>
      </c>
      <c r="H42" s="3" t="inlineStr">
        <is>
          <t>Sara Sindale</t>
        </is>
      </c>
      <c r="I42" s="35" t="n">
        <v>45786</v>
      </c>
      <c r="J42" s="1" t="inlineStr">
        <is>
          <t>164 Birchwood Lane</t>
        </is>
      </c>
      <c r="K42" s="1" t="inlineStr">
        <is>
          <t>Emerald Road</t>
        </is>
      </c>
      <c r="L42" s="1" t="inlineStr">
        <is>
          <t>PIN:603548 PARKVILLE</t>
        </is>
      </c>
      <c r="M42" s="13" t="inlineStr">
        <is>
          <t>MHA/IND/00041</t>
        </is>
      </c>
      <c r="N42" s="30" t="n">
        <v>45868</v>
      </c>
    </row>
    <row r="43">
      <c r="A43" s="28" t="n">
        <v>42</v>
      </c>
      <c r="B43" s="1" t="inlineStr">
        <is>
          <t>ANYA RISHKAN</t>
        </is>
      </c>
      <c r="C43" s="35" t="n">
        <v>45813</v>
      </c>
      <c r="D43" s="11" t="inlineStr">
        <is>
          <t>CLAYTON</t>
        </is>
      </c>
      <c r="E43" s="12" t="inlineStr">
        <is>
          <t>IND/MEL/00042</t>
        </is>
      </c>
      <c r="F43" s="1" t="inlineStr">
        <is>
          <t>F</t>
        </is>
      </c>
      <c r="G43" s="3" t="inlineStr">
        <is>
          <t>Arjun Rishkan</t>
        </is>
      </c>
      <c r="H43" s="3" t="inlineStr">
        <is>
          <t>Riya Rishkan</t>
        </is>
      </c>
      <c r="I43" s="35" t="n">
        <v>45881</v>
      </c>
      <c r="J43" s="1" t="inlineStr">
        <is>
          <t>115 Birchwood Lane</t>
        </is>
      </c>
      <c r="K43" s="1" t="inlineStr">
        <is>
          <t>Emerald Road</t>
        </is>
      </c>
      <c r="L43" s="1" t="inlineStr">
        <is>
          <t>PIN:420167 CLAYTON</t>
        </is>
      </c>
      <c r="M43" s="13" t="inlineStr">
        <is>
          <t>MHA/IND/00042</t>
        </is>
      </c>
      <c r="N43" s="30" t="n">
        <v>45849</v>
      </c>
    </row>
    <row r="44" ht="30" customHeight="1">
      <c r="A44" s="28" t="n">
        <v>43</v>
      </c>
      <c r="B44" s="1" t="inlineStr">
        <is>
          <t>ISHAN MYRTHOS</t>
        </is>
      </c>
      <c r="C44" s="35" t="n">
        <v>45884</v>
      </c>
      <c r="D44" s="11" t="inlineStr">
        <is>
          <t>SYDNEY</t>
        </is>
      </c>
      <c r="E44" s="12" t="inlineStr">
        <is>
          <t>IND/MEL/00043</t>
        </is>
      </c>
      <c r="F44" s="1" t="inlineStr">
        <is>
          <t>M</t>
        </is>
      </c>
      <c r="G44" s="3" t="inlineStr">
        <is>
          <t>Rohit Myrthos</t>
        </is>
      </c>
      <c r="H44" s="3" t="inlineStr">
        <is>
          <t>Sara Myrthos</t>
        </is>
      </c>
      <c r="I44" s="35" t="n">
        <v>45929</v>
      </c>
      <c r="J44" s="1" t="inlineStr">
        <is>
          <t>87 Birchwood Lane</t>
        </is>
      </c>
      <c r="K44" s="1" t="inlineStr">
        <is>
          <t>Emerald Road</t>
        </is>
      </c>
      <c r="L44" s="1" t="inlineStr">
        <is>
          <t>PIN:467770 SYDNEY</t>
        </is>
      </c>
      <c r="M44" s="13" t="inlineStr">
        <is>
          <t>MHA/IND/00043</t>
        </is>
      </c>
      <c r="N44" s="30" t="n">
        <v>45855</v>
      </c>
    </row>
    <row r="45">
      <c r="A45" s="28" t="n">
        <v>44</v>
      </c>
      <c r="B45" s="1" t="inlineStr">
        <is>
          <t>ROHIT KALEON</t>
        </is>
      </c>
      <c r="C45" s="35" t="n">
        <v>45922</v>
      </c>
      <c r="D45" s="11" t="inlineStr">
        <is>
          <t>SHEPPARTON</t>
        </is>
      </c>
      <c r="E45" s="12" t="inlineStr">
        <is>
          <t>IND/MEL/00044</t>
        </is>
      </c>
      <c r="F45" s="1" t="inlineStr">
        <is>
          <t>M</t>
        </is>
      </c>
      <c r="G45" s="3" t="inlineStr">
        <is>
          <t>Arjun Kaleon</t>
        </is>
      </c>
      <c r="H45" s="3" t="inlineStr">
        <is>
          <t>Nina Kaleon</t>
        </is>
      </c>
      <c r="I45" s="35" t="n">
        <v>46024</v>
      </c>
      <c r="J45" s="1" t="inlineStr">
        <is>
          <t>77 Birchwood Lane</t>
        </is>
      </c>
      <c r="K45" s="1" t="inlineStr">
        <is>
          <t>Emerald Road</t>
        </is>
      </c>
      <c r="L45" s="1" t="inlineStr">
        <is>
          <t>PIN:757926 SHEPPARTON</t>
        </is>
      </c>
      <c r="M45" s="13" t="inlineStr">
        <is>
          <t>MHA/IND/00044</t>
        </is>
      </c>
      <c r="N45" s="30" t="n">
        <v>45879</v>
      </c>
    </row>
    <row r="46">
      <c r="A46" s="28" t="n">
        <v>45</v>
      </c>
      <c r="B46" s="1" t="inlineStr">
        <is>
          <t>NEIL KALEON</t>
        </is>
      </c>
      <c r="C46" s="35" t="n">
        <v>45768</v>
      </c>
      <c r="D46" s="1" t="inlineStr">
        <is>
          <t>WERRIBEE</t>
        </is>
      </c>
      <c r="E46" s="12" t="inlineStr">
        <is>
          <t>IND/MEL/00045</t>
        </is>
      </c>
      <c r="F46" s="1" t="inlineStr">
        <is>
          <t>M</t>
        </is>
      </c>
      <c r="G46" s="3" t="inlineStr">
        <is>
          <t>Rohit Kaleon</t>
        </is>
      </c>
      <c r="H46" s="3" t="inlineStr">
        <is>
          <t>Diya Kaleon</t>
        </is>
      </c>
      <c r="I46" s="35" t="n">
        <v>45776</v>
      </c>
      <c r="J46" s="1" t="inlineStr">
        <is>
          <t>59 Birchwood Lane</t>
        </is>
      </c>
      <c r="K46" s="1" t="inlineStr">
        <is>
          <t>Emerald Road</t>
        </is>
      </c>
      <c r="L46" s="1" t="inlineStr">
        <is>
          <t>PIN:445229 WERRIBEE</t>
        </is>
      </c>
      <c r="M46" s="13" t="inlineStr">
        <is>
          <t>MHA/IND/00045</t>
        </is>
      </c>
      <c r="N46" s="30" t="n">
        <v>45897</v>
      </c>
    </row>
    <row r="47">
      <c r="A47" s="28" t="n">
        <v>46</v>
      </c>
      <c r="B47" s="1" t="inlineStr">
        <is>
          <t>MIRA KALEON</t>
        </is>
      </c>
      <c r="C47" s="35" t="n">
        <v>45957</v>
      </c>
      <c r="D47" s="1" t="inlineStr">
        <is>
          <t>MOUNT WAVERLEY</t>
        </is>
      </c>
      <c r="E47" s="12" t="inlineStr">
        <is>
          <t>IND/MEL/00046</t>
        </is>
      </c>
      <c r="F47" s="1" t="inlineStr">
        <is>
          <t>F</t>
        </is>
      </c>
      <c r="G47" s="3" t="inlineStr">
        <is>
          <t>Arjun Kaleon</t>
        </is>
      </c>
      <c r="H47" s="3" t="inlineStr">
        <is>
          <t>Diya Kaleon</t>
        </is>
      </c>
      <c r="I47" s="35" t="n">
        <v>45976</v>
      </c>
      <c r="J47" s="1" t="inlineStr">
        <is>
          <t>97 Birchwood Lane</t>
        </is>
      </c>
      <c r="K47" s="1" t="inlineStr">
        <is>
          <t>Emerald Road</t>
        </is>
      </c>
      <c r="L47" s="1" t="inlineStr">
        <is>
          <t>PIN:563405 MOUNT WAVERLEY</t>
        </is>
      </c>
      <c r="M47" s="13" t="inlineStr">
        <is>
          <t>MHA/IND/00046</t>
        </is>
      </c>
      <c r="N47" s="30" t="n">
        <v>45839</v>
      </c>
    </row>
    <row r="48">
      <c r="A48" s="28" t="n">
        <v>47</v>
      </c>
      <c r="B48" s="1" t="inlineStr">
        <is>
          <t>DIYA KALEON</t>
        </is>
      </c>
      <c r="C48" s="35" t="n">
        <v>45849</v>
      </c>
      <c r="D48" s="11" t="inlineStr">
        <is>
          <t>BRISBANE</t>
        </is>
      </c>
      <c r="E48" s="12" t="inlineStr">
        <is>
          <t>IND/MEL/00047</t>
        </is>
      </c>
      <c r="F48" s="1" t="inlineStr">
        <is>
          <t>F</t>
        </is>
      </c>
      <c r="G48" s="3" t="inlineStr">
        <is>
          <t>Dev Kaleon</t>
        </is>
      </c>
      <c r="H48" s="3" t="inlineStr">
        <is>
          <t>Anya Kaleon</t>
        </is>
      </c>
      <c r="I48" s="35" t="n">
        <v>45956</v>
      </c>
      <c r="J48" s="1" t="inlineStr">
        <is>
          <t>27 Birchwood Lane</t>
        </is>
      </c>
      <c r="K48" s="1" t="inlineStr">
        <is>
          <t>Emerald Road</t>
        </is>
      </c>
      <c r="L48" s="1" t="inlineStr">
        <is>
          <t>PIN:220650 BRISBANE</t>
        </is>
      </c>
      <c r="M48" s="13" t="inlineStr">
        <is>
          <t>MHA/IND/00047</t>
        </is>
      </c>
      <c r="N48" s="30" t="n">
        <v>45893</v>
      </c>
    </row>
    <row r="49" ht="30" customHeight="1">
      <c r="A49" s="28" t="n">
        <v>48</v>
      </c>
      <c r="B49" s="1" t="inlineStr">
        <is>
          <t>KABIR MYRTHOS</t>
        </is>
      </c>
      <c r="C49" s="35" t="n">
        <v>45704</v>
      </c>
      <c r="D49" s="11" t="inlineStr">
        <is>
          <t>MILDURA</t>
        </is>
      </c>
      <c r="E49" s="12" t="inlineStr">
        <is>
          <t>IND/MEL/00048</t>
        </is>
      </c>
      <c r="F49" s="1" t="inlineStr">
        <is>
          <t>M</t>
        </is>
      </c>
      <c r="G49" s="3" t="inlineStr">
        <is>
          <t>Kiran Myrthos</t>
        </is>
      </c>
      <c r="H49" s="3" t="inlineStr">
        <is>
          <t>Sara Myrthos</t>
        </is>
      </c>
      <c r="I49" s="35" t="n">
        <v>45773</v>
      </c>
      <c r="J49" s="1" t="inlineStr">
        <is>
          <t>198 Birchwood Lane</t>
        </is>
      </c>
      <c r="K49" s="1" t="inlineStr">
        <is>
          <t>Emerald Road</t>
        </is>
      </c>
      <c r="L49" s="1" t="inlineStr">
        <is>
          <t>PIN:462004 MILDURA</t>
        </is>
      </c>
      <c r="M49" s="13" t="inlineStr">
        <is>
          <t>MHA/IND/00048</t>
        </is>
      </c>
      <c r="N49" s="30" t="n">
        <v>45881</v>
      </c>
    </row>
    <row r="50" ht="30" customHeight="1">
      <c r="A50" s="28" t="n">
        <v>49</v>
      </c>
      <c r="B50" s="1" t="inlineStr">
        <is>
          <t>ROHIT RISHKAN</t>
        </is>
      </c>
      <c r="C50" s="35" t="n">
        <v>45702</v>
      </c>
      <c r="D50" s="11" t="inlineStr">
        <is>
          <t>KINGSWOOD</t>
        </is>
      </c>
      <c r="E50" s="12" t="inlineStr">
        <is>
          <t>IND/MEL/00049</t>
        </is>
      </c>
      <c r="F50" s="1" t="inlineStr">
        <is>
          <t>M</t>
        </is>
      </c>
      <c r="G50" s="3" t="inlineStr">
        <is>
          <t>Arjun Rishkan</t>
        </is>
      </c>
      <c r="H50" s="3" t="inlineStr">
        <is>
          <t>Anya Rishkan</t>
        </is>
      </c>
      <c r="I50" s="35" t="n">
        <v>45741</v>
      </c>
      <c r="J50" s="1" t="inlineStr">
        <is>
          <t>83 Birchwood Lane</t>
        </is>
      </c>
      <c r="K50" s="1" t="inlineStr">
        <is>
          <t>Emerald Road</t>
        </is>
      </c>
      <c r="L50" s="1" t="inlineStr">
        <is>
          <t>PIN:270087 KINGSWOOD</t>
        </is>
      </c>
      <c r="M50" s="13" t="inlineStr">
        <is>
          <t>MHA/IND/00049</t>
        </is>
      </c>
      <c r="N50" s="18" t="n">
        <v>45862</v>
      </c>
    </row>
    <row r="51" ht="30" customHeight="1">
      <c r="A51" s="28" t="n">
        <v>50</v>
      </c>
      <c r="B51" s="1" t="inlineStr">
        <is>
          <t>ROHIT MYRTHOS</t>
        </is>
      </c>
      <c r="C51" s="35" t="n">
        <v>45917</v>
      </c>
      <c r="D51" s="11" t="inlineStr">
        <is>
          <t>TUGGERANONG</t>
        </is>
      </c>
      <c r="E51" s="12" t="inlineStr">
        <is>
          <t>IND/MEL/00050</t>
        </is>
      </c>
      <c r="F51" s="1" t="inlineStr">
        <is>
          <t>M</t>
        </is>
      </c>
      <c r="G51" s="3" t="inlineStr">
        <is>
          <t>Neil Myrthos</t>
        </is>
      </c>
      <c r="H51" s="3" t="inlineStr">
        <is>
          <t>Riya Myrthos</t>
        </is>
      </c>
      <c r="I51" s="35" t="n">
        <v>45969</v>
      </c>
      <c r="J51" s="1" t="inlineStr">
        <is>
          <t>97 Birchwood Lane</t>
        </is>
      </c>
      <c r="K51" s="1" t="inlineStr">
        <is>
          <t>Emerald Road</t>
        </is>
      </c>
      <c r="L51" s="1" t="inlineStr">
        <is>
          <t>PIN:639992 TUGGERANONG</t>
        </is>
      </c>
      <c r="M51" s="13" t="inlineStr">
        <is>
          <t>MHA/IND/00050</t>
        </is>
      </c>
      <c r="N51" s="30" t="n">
        <v>45886</v>
      </c>
    </row>
    <row r="52">
      <c r="A52" s="28" t="n">
        <v>51</v>
      </c>
      <c r="B52" s="1" t="inlineStr">
        <is>
          <t>ALYA RAO</t>
        </is>
      </c>
      <c r="C52" s="35" t="n">
        <v>45671</v>
      </c>
      <c r="D52" s="1" t="inlineStr">
        <is>
          <t>HEIDELBERG</t>
        </is>
      </c>
      <c r="E52" s="12" t="inlineStr">
        <is>
          <t>IND/MEL/00051</t>
        </is>
      </c>
      <c r="F52" s="1" t="inlineStr">
        <is>
          <t>F</t>
        </is>
      </c>
      <c r="G52" s="3" t="inlineStr">
        <is>
          <t>Rohit Rao</t>
        </is>
      </c>
      <c r="H52" s="3" t="inlineStr">
        <is>
          <t>Alya Rao</t>
        </is>
      </c>
      <c r="I52" s="35" t="n">
        <v>45780</v>
      </c>
      <c r="J52" s="1" t="inlineStr">
        <is>
          <t>140 Birchwood Lane</t>
        </is>
      </c>
      <c r="K52" s="1" t="inlineStr">
        <is>
          <t>Emerald Road</t>
        </is>
      </c>
      <c r="L52" s="1" t="inlineStr">
        <is>
          <t>PIN:499471 HEIDELBERG</t>
        </is>
      </c>
      <c r="M52" s="13" t="inlineStr">
        <is>
          <t>MHA/IND/00051</t>
        </is>
      </c>
      <c r="N52" s="30" t="n">
        <v>45866</v>
      </c>
    </row>
    <row r="53">
      <c r="A53" s="28" t="n">
        <v>52</v>
      </c>
      <c r="B53" s="1" t="inlineStr">
        <is>
          <t>NEIL RISHKAN</t>
        </is>
      </c>
      <c r="C53" s="35" t="n">
        <v>45800</v>
      </c>
      <c r="D53" s="11" t="inlineStr">
        <is>
          <t>BALLARAT CENTRAL</t>
        </is>
      </c>
      <c r="E53" s="12" t="inlineStr">
        <is>
          <t>IND/MEL/00052</t>
        </is>
      </c>
      <c r="F53" s="1" t="inlineStr">
        <is>
          <t>M</t>
        </is>
      </c>
      <c r="G53" s="3" t="inlineStr">
        <is>
          <t>Neil Rishkan</t>
        </is>
      </c>
      <c r="H53" s="3" t="inlineStr">
        <is>
          <t>Nina Rishkan</t>
        </is>
      </c>
      <c r="I53" s="35" t="n">
        <v>45822</v>
      </c>
      <c r="J53" s="1" t="inlineStr">
        <is>
          <t>80 Birchwood Lane</t>
        </is>
      </c>
      <c r="K53" s="1" t="inlineStr">
        <is>
          <t>Emerald Road</t>
        </is>
      </c>
      <c r="L53" s="1" t="inlineStr">
        <is>
          <t>PIN:295625 BALLARAT CENTRAL</t>
        </is>
      </c>
      <c r="M53" s="13" t="inlineStr">
        <is>
          <t>MHA/IND/00052</t>
        </is>
      </c>
      <c r="N53" s="30" t="n">
        <v>45851</v>
      </c>
    </row>
    <row r="54">
      <c r="A54" s="28" t="n">
        <v>53</v>
      </c>
      <c r="B54" s="1" t="inlineStr">
        <is>
          <t>RIYA SHARMA</t>
        </is>
      </c>
      <c r="C54" s="35" t="n">
        <v>45932</v>
      </c>
      <c r="D54" s="11" t="inlineStr">
        <is>
          <t>BUNDABERG</t>
        </is>
      </c>
      <c r="E54" s="12" t="inlineStr">
        <is>
          <t>IND/MEL/00053</t>
        </is>
      </c>
      <c r="F54" s="1" t="inlineStr">
        <is>
          <t>F</t>
        </is>
      </c>
      <c r="G54" s="3" t="inlineStr">
        <is>
          <t>Kabir Sharma</t>
        </is>
      </c>
      <c r="H54" s="3" t="inlineStr">
        <is>
          <t>Alya Sharma</t>
        </is>
      </c>
      <c r="I54" s="35" t="n">
        <v>45950</v>
      </c>
      <c r="J54" s="1" t="inlineStr">
        <is>
          <t>164 Birchwood Lane</t>
        </is>
      </c>
      <c r="K54" s="1" t="inlineStr">
        <is>
          <t>Emerald Road</t>
        </is>
      </c>
      <c r="L54" s="1" t="inlineStr">
        <is>
          <t>PIN:842372 BUNDABERG</t>
        </is>
      </c>
      <c r="M54" s="13" t="inlineStr">
        <is>
          <t>MHA/IND/00053</t>
        </is>
      </c>
      <c r="N54" s="30" t="n">
        <v>45885</v>
      </c>
    </row>
    <row r="55" ht="30" customHeight="1">
      <c r="A55" s="28" t="n">
        <v>54</v>
      </c>
      <c r="B55" s="1" t="inlineStr">
        <is>
          <t>ALYA SHARMA</t>
        </is>
      </c>
      <c r="C55" s="35" t="n">
        <v>45775</v>
      </c>
      <c r="D55" s="11" t="inlineStr">
        <is>
          <t>LAUNCESTON</t>
        </is>
      </c>
      <c r="E55" s="12" t="inlineStr">
        <is>
          <t>IND/MEL/00054</t>
        </is>
      </c>
      <c r="F55" s="1" t="inlineStr">
        <is>
          <t>F</t>
        </is>
      </c>
      <c r="G55" s="3" t="inlineStr">
        <is>
          <t>Kabir Sharma</t>
        </is>
      </c>
      <c r="H55" s="3" t="inlineStr">
        <is>
          <t>Alya Sharma</t>
        </is>
      </c>
      <c r="I55" s="35" t="n">
        <v>45864</v>
      </c>
      <c r="J55" s="1" t="inlineStr">
        <is>
          <t>15 Birchwood Lane</t>
        </is>
      </c>
      <c r="K55" s="1" t="inlineStr">
        <is>
          <t>Emerald Road</t>
        </is>
      </c>
      <c r="L55" s="1" t="inlineStr">
        <is>
          <t>PIN:931268 LAUNCESTON</t>
        </is>
      </c>
      <c r="M55" s="13" t="inlineStr">
        <is>
          <t>MHA/IND/00054</t>
        </is>
      </c>
      <c r="N55" s="30" t="n">
        <v>45897</v>
      </c>
    </row>
    <row r="56" ht="30" customHeight="1">
      <c r="A56" s="28" t="n">
        <v>55</v>
      </c>
      <c r="B56" s="1" t="inlineStr">
        <is>
          <t>SARA KALEON</t>
        </is>
      </c>
      <c r="C56" s="35" t="n">
        <v>45942</v>
      </c>
      <c r="D56" s="11" t="inlineStr">
        <is>
          <t>BUNDOORA</t>
        </is>
      </c>
      <c r="E56" s="12" t="inlineStr">
        <is>
          <t>IND/MEL/00055</t>
        </is>
      </c>
      <c r="F56" s="1" t="inlineStr">
        <is>
          <t>F</t>
        </is>
      </c>
      <c r="G56" s="3" t="inlineStr">
        <is>
          <t>Kabir Kaleon</t>
        </is>
      </c>
      <c r="H56" s="3" t="inlineStr">
        <is>
          <t>Mira Kaleon</t>
        </is>
      </c>
      <c r="I56" s="35" t="n">
        <v>45975</v>
      </c>
      <c r="J56" s="1" t="inlineStr">
        <is>
          <t>100 Birchwood Lane</t>
        </is>
      </c>
      <c r="K56" s="1" t="inlineStr">
        <is>
          <t>Emerald Road</t>
        </is>
      </c>
      <c r="L56" s="1" t="inlineStr">
        <is>
          <t>PIN:115514 BUNDOORA</t>
        </is>
      </c>
      <c r="M56" s="13" t="inlineStr">
        <is>
          <t>MHA/IND/00055</t>
        </is>
      </c>
      <c r="N56" s="30" t="n">
        <v>45858</v>
      </c>
    </row>
    <row r="57">
      <c r="A57" s="28" t="n">
        <v>56</v>
      </c>
      <c r="B57" s="1" t="inlineStr">
        <is>
          <t>ARJUN VALZARI</t>
        </is>
      </c>
      <c r="C57" s="35" t="n">
        <v>45664</v>
      </c>
      <c r="D57" s="11" t="inlineStr">
        <is>
          <t>ST ALBANS</t>
        </is>
      </c>
      <c r="E57" s="12" t="inlineStr">
        <is>
          <t>IND/MEL/00056</t>
        </is>
      </c>
      <c r="F57" s="1" t="inlineStr">
        <is>
          <t>M</t>
        </is>
      </c>
      <c r="G57" s="3" t="inlineStr">
        <is>
          <t>Arjun Valzari</t>
        </is>
      </c>
      <c r="H57" s="3" t="inlineStr">
        <is>
          <t>Alya Valzari</t>
        </is>
      </c>
      <c r="I57" s="35" t="n">
        <v>45725</v>
      </c>
      <c r="J57" s="1" t="inlineStr">
        <is>
          <t>140 Birchwood Lane</t>
        </is>
      </c>
      <c r="K57" s="1" t="inlineStr">
        <is>
          <t>Emerald Road</t>
        </is>
      </c>
      <c r="L57" s="1" t="inlineStr">
        <is>
          <t>PIN:979619 ST ALBANS</t>
        </is>
      </c>
      <c r="M57" s="13" t="inlineStr">
        <is>
          <t>MHA/IND/00056</t>
        </is>
      </c>
      <c r="N57" s="30" t="n">
        <v>45859</v>
      </c>
    </row>
    <row r="58">
      <c r="A58" s="28" t="n">
        <v>57</v>
      </c>
      <c r="B58" s="1" t="inlineStr">
        <is>
          <t>NEIL VALZARI</t>
        </is>
      </c>
      <c r="C58" s="35" t="n">
        <v>45894</v>
      </c>
      <c r="D58" s="11" t="inlineStr">
        <is>
          <t>BLACKTOWN</t>
        </is>
      </c>
      <c r="E58" s="12" t="inlineStr">
        <is>
          <t>IND/MEL/00057</t>
        </is>
      </c>
      <c r="F58" s="1" t="inlineStr">
        <is>
          <t>M</t>
        </is>
      </c>
      <c r="G58" s="3" t="inlineStr">
        <is>
          <t>Ishan Valzari</t>
        </is>
      </c>
      <c r="H58" s="3" t="inlineStr">
        <is>
          <t>Sara Valzari</t>
        </is>
      </c>
      <c r="I58" s="35" t="n">
        <v>45951</v>
      </c>
      <c r="J58" s="1" t="inlineStr">
        <is>
          <t>59 Birchwood Lane</t>
        </is>
      </c>
      <c r="K58" s="1" t="inlineStr">
        <is>
          <t>Emerald Road</t>
        </is>
      </c>
      <c r="L58" s="1" t="inlineStr">
        <is>
          <t>PIN:338900 BLACKTOWN</t>
        </is>
      </c>
      <c r="M58" s="13" t="inlineStr">
        <is>
          <t>MHA/IND/00057</t>
        </is>
      </c>
      <c r="N58" s="30" t="n">
        <v>45895</v>
      </c>
    </row>
    <row r="59">
      <c r="A59" s="28" t="n">
        <v>58</v>
      </c>
      <c r="B59" s="1" t="inlineStr">
        <is>
          <t>ANYA RISHKAN</t>
        </is>
      </c>
      <c r="C59" s="35" t="n">
        <v>45891</v>
      </c>
      <c r="D59" s="1" t="inlineStr">
        <is>
          <t>DARWIN</t>
        </is>
      </c>
      <c r="E59" s="12" t="inlineStr">
        <is>
          <t>IND/MEL/00058</t>
        </is>
      </c>
      <c r="F59" s="1" t="inlineStr">
        <is>
          <t>F</t>
        </is>
      </c>
      <c r="G59" s="3" t="inlineStr">
        <is>
          <t>Rohit Rishkan</t>
        </is>
      </c>
      <c r="H59" s="3" t="inlineStr">
        <is>
          <t>Mira Rishkan</t>
        </is>
      </c>
      <c r="I59" s="35" t="n">
        <v>45934</v>
      </c>
      <c r="J59" s="1" t="inlineStr">
        <is>
          <t>125 Birchwood Lane</t>
        </is>
      </c>
      <c r="K59" s="1" t="inlineStr">
        <is>
          <t>Emerald Road</t>
        </is>
      </c>
      <c r="L59" s="1" t="inlineStr">
        <is>
          <t>PIN:311709 DARWIN</t>
        </is>
      </c>
      <c r="M59" s="13" t="inlineStr">
        <is>
          <t>MHA/IND/00058</t>
        </is>
      </c>
      <c r="N59" s="30" t="n">
        <v>45884</v>
      </c>
    </row>
    <row r="60">
      <c r="A60" s="28" t="n">
        <v>59</v>
      </c>
      <c r="B60" s="1" t="inlineStr">
        <is>
          <t>RIYA VALZARI</t>
        </is>
      </c>
      <c r="C60" s="35" t="n">
        <v>45681</v>
      </c>
      <c r="D60" s="11" t="inlineStr">
        <is>
          <t>TOWNSVILLE</t>
        </is>
      </c>
      <c r="E60" s="12" t="inlineStr">
        <is>
          <t>IND/MEL/00059</t>
        </is>
      </c>
      <c r="F60" s="1" t="inlineStr">
        <is>
          <t>F</t>
        </is>
      </c>
      <c r="G60" s="3" t="inlineStr">
        <is>
          <t>Kiran Valzari</t>
        </is>
      </c>
      <c r="H60" s="3" t="inlineStr">
        <is>
          <t>Riya Valzari</t>
        </is>
      </c>
      <c r="I60" s="35" t="n">
        <v>45731</v>
      </c>
      <c r="J60" s="1" t="inlineStr">
        <is>
          <t>66 Birchwood Lane</t>
        </is>
      </c>
      <c r="K60" s="1" t="inlineStr">
        <is>
          <t>Emerald Road</t>
        </is>
      </c>
      <c r="L60" s="1" t="inlineStr">
        <is>
          <t>PIN:614427 TOWNSVILLE</t>
        </is>
      </c>
      <c r="M60" s="13" t="inlineStr">
        <is>
          <t>MHA/IND/00059</t>
        </is>
      </c>
      <c r="N60" s="30" t="n">
        <v>45857</v>
      </c>
    </row>
    <row r="61">
      <c r="A61" s="28" t="n">
        <v>60</v>
      </c>
      <c r="B61" s="1" t="inlineStr">
        <is>
          <t>NINA MYRTHOS</t>
        </is>
      </c>
      <c r="C61" s="35" t="n">
        <v>45792</v>
      </c>
      <c r="D61" s="1" t="inlineStr">
        <is>
          <t>MANDURAH</t>
        </is>
      </c>
      <c r="E61" s="12" t="inlineStr">
        <is>
          <t>IND/MEL/00060</t>
        </is>
      </c>
      <c r="F61" s="1" t="inlineStr">
        <is>
          <t>F</t>
        </is>
      </c>
      <c r="G61" s="3" t="inlineStr">
        <is>
          <t>Neil Myrthos</t>
        </is>
      </c>
      <c r="H61" s="3" t="inlineStr">
        <is>
          <t>Mira Myrthos</t>
        </is>
      </c>
      <c r="I61" s="35" t="n">
        <v>45804</v>
      </c>
      <c r="J61" s="1" t="inlineStr">
        <is>
          <t>141 Birchwood Lane</t>
        </is>
      </c>
      <c r="K61" s="1" t="inlineStr">
        <is>
          <t>Emerald Road</t>
        </is>
      </c>
      <c r="L61" s="1" t="inlineStr">
        <is>
          <t>PIN:221704 MANDURAH</t>
        </is>
      </c>
      <c r="M61" s="13" t="inlineStr">
        <is>
          <t>MHA/IND/00060</t>
        </is>
      </c>
      <c r="N61" s="30" t="n">
        <v>45856</v>
      </c>
    </row>
    <row r="62">
      <c r="A62" s="28" t="n">
        <v>61</v>
      </c>
      <c r="B62" s="1" t="inlineStr">
        <is>
          <t>KABIR KALEON</t>
        </is>
      </c>
      <c r="C62" s="35" t="n">
        <v>45720</v>
      </c>
      <c r="D62" s="1" t="inlineStr">
        <is>
          <t>CLAYTON</t>
        </is>
      </c>
      <c r="E62" s="12" t="inlineStr">
        <is>
          <t>IND/MEL/00061</t>
        </is>
      </c>
      <c r="F62" s="1" t="inlineStr">
        <is>
          <t>M</t>
        </is>
      </c>
      <c r="G62" s="3" t="inlineStr">
        <is>
          <t>Kabir Kaleon</t>
        </is>
      </c>
      <c r="H62" s="3" t="inlineStr">
        <is>
          <t>Tara Kaleon</t>
        </is>
      </c>
      <c r="I62" s="35" t="n">
        <v>45828</v>
      </c>
      <c r="J62" s="1" t="inlineStr">
        <is>
          <t>185 Birchwood Lane</t>
        </is>
      </c>
      <c r="K62" s="1" t="inlineStr">
        <is>
          <t>Emerald Road</t>
        </is>
      </c>
      <c r="L62" s="1" t="inlineStr">
        <is>
          <t>PIN:746995 CLAYTON</t>
        </is>
      </c>
      <c r="M62" s="13" t="inlineStr">
        <is>
          <t>MHA/IND/00061</t>
        </is>
      </c>
      <c r="N62" s="30" t="n">
        <v>45870</v>
      </c>
    </row>
    <row r="63">
      <c r="A63" s="28" t="n">
        <v>62</v>
      </c>
      <c r="B63" s="1" t="inlineStr">
        <is>
          <t>MIRA MYRTHOS</t>
        </is>
      </c>
      <c r="C63" s="35" t="n">
        <v>45902</v>
      </c>
      <c r="D63" s="1" t="inlineStr">
        <is>
          <t>WAGGA WAGGA</t>
        </is>
      </c>
      <c r="E63" s="12" t="inlineStr">
        <is>
          <t>IND/MEL/00062</t>
        </is>
      </c>
      <c r="F63" s="1" t="inlineStr">
        <is>
          <t>F</t>
        </is>
      </c>
      <c r="G63" s="3" t="inlineStr">
        <is>
          <t>Kiran Myrthos</t>
        </is>
      </c>
      <c r="H63" s="3" t="inlineStr">
        <is>
          <t>Sara Myrthos</t>
        </is>
      </c>
      <c r="I63" s="35" t="n">
        <v>45948</v>
      </c>
      <c r="J63" s="1" t="inlineStr">
        <is>
          <t>91 Birchwood Lane</t>
        </is>
      </c>
      <c r="K63" s="1" t="inlineStr">
        <is>
          <t>Emerald Road</t>
        </is>
      </c>
      <c r="L63" s="1" t="inlineStr">
        <is>
          <t>PIN:224333 WAGGA WAGGA</t>
        </is>
      </c>
      <c r="M63" s="13" t="inlineStr">
        <is>
          <t>MHA/IND/00062</t>
        </is>
      </c>
      <c r="N63" s="30" t="n">
        <v>45885</v>
      </c>
    </row>
    <row r="64">
      <c r="A64" s="28" t="n">
        <v>63</v>
      </c>
      <c r="B64" s="1" t="inlineStr">
        <is>
          <t>KIRAN SHARMA</t>
        </is>
      </c>
      <c r="C64" s="35" t="n">
        <v>45772</v>
      </c>
      <c r="D64" s="1" t="inlineStr">
        <is>
          <t>BOX HILL</t>
        </is>
      </c>
      <c r="E64" s="12" t="inlineStr">
        <is>
          <t>IND/MEL/00063</t>
        </is>
      </c>
      <c r="F64" s="1" t="inlineStr">
        <is>
          <t>M</t>
        </is>
      </c>
      <c r="G64" s="3" t="inlineStr">
        <is>
          <t>Rohit Sharma</t>
        </is>
      </c>
      <c r="H64" s="3" t="inlineStr">
        <is>
          <t>Anya Sharma</t>
        </is>
      </c>
      <c r="I64" s="35" t="n">
        <v>45866</v>
      </c>
      <c r="J64" s="1" t="inlineStr">
        <is>
          <t>177 Birchwood Lane</t>
        </is>
      </c>
      <c r="K64" s="1" t="inlineStr">
        <is>
          <t>Emerald Road</t>
        </is>
      </c>
      <c r="L64" s="1" t="inlineStr">
        <is>
          <t>PIN:240679 BOX HILL</t>
        </is>
      </c>
      <c r="M64" s="13" t="inlineStr">
        <is>
          <t>MHA/IND/00063</t>
        </is>
      </c>
      <c r="N64" s="30" t="n">
        <v>45871</v>
      </c>
    </row>
    <row r="65">
      <c r="A65" s="28" t="n">
        <v>64</v>
      </c>
      <c r="B65" s="1" t="inlineStr">
        <is>
          <t>KIRAN KALEON</t>
        </is>
      </c>
      <c r="C65" s="35" t="n">
        <v>45877</v>
      </c>
      <c r="D65" s="1" t="inlineStr">
        <is>
          <t>ARMADALE</t>
        </is>
      </c>
      <c r="E65" s="12" t="inlineStr">
        <is>
          <t>IND/MEL/00064</t>
        </is>
      </c>
      <c r="F65" s="1" t="inlineStr">
        <is>
          <t>M</t>
        </is>
      </c>
      <c r="G65" s="3" t="inlineStr">
        <is>
          <t>Neil Kaleon</t>
        </is>
      </c>
      <c r="H65" s="3" t="inlineStr">
        <is>
          <t>Alya Kaleon</t>
        </is>
      </c>
      <c r="I65" s="35" t="n">
        <v>45911</v>
      </c>
      <c r="J65" s="1" t="inlineStr">
        <is>
          <t>129 Birchwood Lane</t>
        </is>
      </c>
      <c r="K65" s="1" t="inlineStr">
        <is>
          <t>Emerald Road</t>
        </is>
      </c>
      <c r="L65" s="1" t="inlineStr">
        <is>
          <t>PIN:586924 ARMADALE</t>
        </is>
      </c>
      <c r="M65" s="13" t="inlineStr">
        <is>
          <t>MHA/IND/00064</t>
        </is>
      </c>
      <c r="N65" s="30" t="n">
        <v>45861</v>
      </c>
    </row>
    <row r="66" ht="30" customHeight="1">
      <c r="A66" s="28" t="n">
        <v>65</v>
      </c>
      <c r="B66" s="1" t="inlineStr">
        <is>
          <t>TARA SINDALE</t>
        </is>
      </c>
      <c r="C66" s="36" t="n">
        <v>45719</v>
      </c>
      <c r="D66" s="14" t="inlineStr">
        <is>
          <t>BUNDABERG</t>
        </is>
      </c>
      <c r="E66" s="12" t="inlineStr">
        <is>
          <t>IND/MEL/00065</t>
        </is>
      </c>
      <c r="F66" s="14" t="inlineStr">
        <is>
          <t>F</t>
        </is>
      </c>
      <c r="G66" s="15" t="inlineStr">
        <is>
          <t>Kiran Sindale</t>
        </is>
      </c>
      <c r="H66" s="15" t="inlineStr">
        <is>
          <t>Riya Sindale</t>
        </is>
      </c>
      <c r="I66" s="36" t="n">
        <v>45770</v>
      </c>
      <c r="J66" s="14" t="inlineStr">
        <is>
          <t>16 Birchwood Lane</t>
        </is>
      </c>
      <c r="K66" s="14" t="inlineStr">
        <is>
          <t>Emerald Road</t>
        </is>
      </c>
      <c r="L66" s="14" t="inlineStr">
        <is>
          <t>PIN:282096 BUNDABERG</t>
        </is>
      </c>
      <c r="M66" s="40" t="inlineStr">
        <is>
          <t>MHA/IND/00065</t>
        </is>
      </c>
      <c r="N66" s="41" t="n">
        <v>45873</v>
      </c>
    </row>
    <row r="67" ht="30" customHeight="1">
      <c r="A67" s="28" t="n">
        <v>66</v>
      </c>
      <c r="B67" s="1" t="inlineStr">
        <is>
          <t>DEV RAO</t>
        </is>
      </c>
      <c r="C67" s="35" t="n">
        <v>45744</v>
      </c>
      <c r="D67" s="1" t="inlineStr">
        <is>
          <t>CANBERRA</t>
        </is>
      </c>
      <c r="E67" s="12" t="inlineStr">
        <is>
          <t>IND/MEL/00066</t>
        </is>
      </c>
      <c r="F67" s="13" t="inlineStr">
        <is>
          <t>M</t>
        </is>
      </c>
      <c r="G67" s="3" t="inlineStr">
        <is>
          <t>Arjun Rao</t>
        </is>
      </c>
      <c r="H67" s="3" t="inlineStr">
        <is>
          <t>Sara Rao</t>
        </is>
      </c>
      <c r="I67" s="35" t="n">
        <v>45788</v>
      </c>
      <c r="J67" s="1" t="inlineStr">
        <is>
          <t>41 Birchwood Lane</t>
        </is>
      </c>
      <c r="K67" s="1" t="inlineStr">
        <is>
          <t>Emerald Road</t>
        </is>
      </c>
      <c r="L67" s="1" t="inlineStr">
        <is>
          <t>PIN:342753 CANBERRA</t>
        </is>
      </c>
      <c r="M67" s="10" t="inlineStr">
        <is>
          <t>MHA/IND/00066</t>
        </is>
      </c>
      <c r="N67" s="42" t="n">
        <v>45853</v>
      </c>
    </row>
    <row r="68">
      <c r="A68" s="28" t="n">
        <v>67</v>
      </c>
      <c r="B68" s="1" t="inlineStr">
        <is>
          <t>ISHAN RISHKAN</t>
        </is>
      </c>
      <c r="C68" s="18" t="n">
        <v>45825</v>
      </c>
      <c r="D68" s="13" t="inlineStr">
        <is>
          <t>DALBY</t>
        </is>
      </c>
      <c r="E68" s="12" t="inlineStr">
        <is>
          <t>IND/MEL/00067</t>
        </is>
      </c>
      <c r="F68" s="13" t="inlineStr">
        <is>
          <t>M</t>
        </is>
      </c>
      <c r="G68" s="13" t="inlineStr">
        <is>
          <t>Arjun Rishkan</t>
        </is>
      </c>
      <c r="H68" s="13" t="inlineStr">
        <is>
          <t>Sara Rishkan</t>
        </is>
      </c>
      <c r="I68" s="19" t="n">
        <v>45852</v>
      </c>
      <c r="J68" s="13" t="inlineStr">
        <is>
          <t>153 Birchwood Lane</t>
        </is>
      </c>
      <c r="K68" s="13" t="inlineStr">
        <is>
          <t>Emerald Road</t>
        </is>
      </c>
      <c r="L68" s="13" t="inlineStr">
        <is>
          <t>PIN:321233 DALBY</t>
        </is>
      </c>
      <c r="M68" s="10" t="inlineStr">
        <is>
          <t>MHA/IND/00067</t>
        </is>
      </c>
      <c r="N68" s="18" t="n">
        <v>45865</v>
      </c>
    </row>
    <row r="69">
      <c r="A69" s="28" t="n">
        <v>68</v>
      </c>
      <c r="B69" s="1" t="inlineStr">
        <is>
          <t>KABIR SINDALE</t>
        </is>
      </c>
      <c r="C69" s="29" t="n">
        <v>45917</v>
      </c>
      <c r="D69" s="13" t="inlineStr">
        <is>
          <t>FREMANTLE</t>
        </is>
      </c>
      <c r="E69" s="12" t="inlineStr">
        <is>
          <t>IND/MEL/00068</t>
        </is>
      </c>
      <c r="F69" s="13" t="inlineStr">
        <is>
          <t>M</t>
        </is>
      </c>
      <c r="G69" s="13" t="inlineStr">
        <is>
          <t>Dev Sindale</t>
        </is>
      </c>
      <c r="H69" s="13" t="inlineStr">
        <is>
          <t>Mira Sindale</t>
        </is>
      </c>
      <c r="I69" s="19" t="n">
        <v>46021</v>
      </c>
      <c r="J69" s="13" t="inlineStr">
        <is>
          <t>85 Birchwood Lane</t>
        </is>
      </c>
      <c r="K69" s="13" t="inlineStr">
        <is>
          <t>Emerald Road</t>
        </is>
      </c>
      <c r="L69" s="13" t="inlineStr">
        <is>
          <t>PIN:895271 FREMANTLE</t>
        </is>
      </c>
      <c r="M69" s="10" t="inlineStr">
        <is>
          <t>MHA/IND/00068</t>
        </is>
      </c>
      <c r="N69" s="18" t="n">
        <v>45840</v>
      </c>
    </row>
    <row r="70">
      <c r="A70" s="28" t="n">
        <v>69</v>
      </c>
      <c r="B70" s="1" t="inlineStr">
        <is>
          <t>KABIR SINDALE</t>
        </is>
      </c>
      <c r="C70" s="18" t="n">
        <v>45872</v>
      </c>
      <c r="D70" s="13" t="inlineStr">
        <is>
          <t>MILDURA</t>
        </is>
      </c>
      <c r="E70" s="12" t="inlineStr">
        <is>
          <t>IND/MEL/00069</t>
        </is>
      </c>
      <c r="F70" s="13" t="inlineStr">
        <is>
          <t>M</t>
        </is>
      </c>
      <c r="G70" s="13" t="inlineStr">
        <is>
          <t>Rohit Sindale</t>
        </is>
      </c>
      <c r="H70" s="13" t="inlineStr">
        <is>
          <t>Riya Sindale</t>
        </is>
      </c>
      <c r="I70" s="19" t="n">
        <v>45939</v>
      </c>
      <c r="J70" s="13" t="inlineStr">
        <is>
          <t>79 Birchwood Lane</t>
        </is>
      </c>
      <c r="K70" s="13" t="inlineStr">
        <is>
          <t>Emerald Road</t>
        </is>
      </c>
      <c r="L70" s="13" t="inlineStr">
        <is>
          <t>PIN:922144 MILDURA</t>
        </is>
      </c>
      <c r="M70" s="10" t="inlineStr">
        <is>
          <t>MHA/IND/00069</t>
        </is>
      </c>
      <c r="N70" s="18" t="n">
        <v>45878</v>
      </c>
    </row>
    <row r="71">
      <c r="A71" s="28" t="n">
        <v>70</v>
      </c>
      <c r="B71" s="1" t="inlineStr">
        <is>
          <t>AREN RAO</t>
        </is>
      </c>
      <c r="C71" s="18" t="n">
        <v>45678</v>
      </c>
      <c r="D71" s="13" t="inlineStr">
        <is>
          <t>BENDIGO</t>
        </is>
      </c>
      <c r="E71" s="12" t="inlineStr">
        <is>
          <t>IND/MEL/00070</t>
        </is>
      </c>
      <c r="F71" s="13" t="inlineStr">
        <is>
          <t>M</t>
        </is>
      </c>
      <c r="G71" s="13" t="inlineStr">
        <is>
          <t>Rohit Rao</t>
        </is>
      </c>
      <c r="H71" s="13" t="inlineStr">
        <is>
          <t>Alya Rao</t>
        </is>
      </c>
      <c r="I71" s="19" t="n">
        <v>45741</v>
      </c>
      <c r="J71" s="13" t="inlineStr">
        <is>
          <t>196 Birchwood Lane</t>
        </is>
      </c>
      <c r="K71" s="13" t="inlineStr">
        <is>
          <t>Emerald Road</t>
        </is>
      </c>
      <c r="L71" s="13" t="inlineStr">
        <is>
          <t>PIN:670585 BENDIGO</t>
        </is>
      </c>
      <c r="M71" s="10" t="inlineStr">
        <is>
          <t>MHA/IND/00070</t>
        </is>
      </c>
      <c r="N71" s="18" t="n">
        <v>45845</v>
      </c>
    </row>
    <row r="72">
      <c r="A72" s="28" t="n">
        <v>71</v>
      </c>
      <c r="B72" s="1" t="inlineStr">
        <is>
          <t>ANYA KALEON</t>
        </is>
      </c>
      <c r="C72" s="29" t="n">
        <v>45871</v>
      </c>
      <c r="D72" s="13" t="inlineStr">
        <is>
          <t>ELIZABETH VALE</t>
        </is>
      </c>
      <c r="E72" s="12" t="inlineStr">
        <is>
          <t>IND/MEL/00071</t>
        </is>
      </c>
      <c r="F72" s="13" t="inlineStr">
        <is>
          <t>F</t>
        </is>
      </c>
      <c r="G72" s="13" t="inlineStr">
        <is>
          <t>Arjun Kaleon</t>
        </is>
      </c>
      <c r="H72" s="13" t="inlineStr">
        <is>
          <t>Diya Kaleon</t>
        </is>
      </c>
      <c r="I72" s="19" t="n">
        <v>45877</v>
      </c>
      <c r="J72" s="13" t="inlineStr">
        <is>
          <t>21 Birchwood Lane</t>
        </is>
      </c>
      <c r="K72" s="13" t="inlineStr">
        <is>
          <t>Emerald Road</t>
        </is>
      </c>
      <c r="L72" s="13" t="inlineStr">
        <is>
          <t>PIN:270043 ELIZABETH VALE</t>
        </is>
      </c>
      <c r="M72" s="10" t="inlineStr">
        <is>
          <t>MHA/IND/00071</t>
        </is>
      </c>
      <c r="N72" s="18" t="n">
        <v>45858</v>
      </c>
    </row>
    <row r="73">
      <c r="A73" s="28" t="n">
        <v>72</v>
      </c>
      <c r="B73" s="1" t="inlineStr">
        <is>
          <t>TARA SHARMA</t>
        </is>
      </c>
      <c r="C73" s="18" t="n">
        <v>45678</v>
      </c>
      <c r="D73" s="13" t="inlineStr">
        <is>
          <t>ROCKHAMPTON</t>
        </is>
      </c>
      <c r="E73" s="12" t="inlineStr">
        <is>
          <t>IND/MEL/00072</t>
        </is>
      </c>
      <c r="F73" s="13" t="inlineStr">
        <is>
          <t>F</t>
        </is>
      </c>
      <c r="G73" s="13" t="inlineStr">
        <is>
          <t>Ishan Sharma</t>
        </is>
      </c>
      <c r="H73" s="13" t="inlineStr">
        <is>
          <t>Alya Sharma</t>
        </is>
      </c>
      <c r="I73" s="19" t="n">
        <v>45723</v>
      </c>
      <c r="J73" s="13" t="inlineStr">
        <is>
          <t>18 Birchwood Lane</t>
        </is>
      </c>
      <c r="K73" s="13" t="inlineStr">
        <is>
          <t>Emerald Road</t>
        </is>
      </c>
      <c r="L73" s="13" t="inlineStr">
        <is>
          <t>PIN:303591 ROCKHAMPTON</t>
        </is>
      </c>
      <c r="M73" s="10" t="inlineStr">
        <is>
          <t>MHA/IND/00072</t>
        </is>
      </c>
      <c r="N73" s="18" t="n">
        <v>45865</v>
      </c>
    </row>
    <row r="74">
      <c r="A74" s="28" t="n">
        <v>73</v>
      </c>
      <c r="B74" s="1" t="inlineStr">
        <is>
          <t>NINA RISHKAN</t>
        </is>
      </c>
      <c r="C74" s="20" t="n">
        <v>45759</v>
      </c>
      <c r="D74" s="21" t="inlineStr">
        <is>
          <t>PENRITH</t>
        </is>
      </c>
      <c r="E74" s="12" t="inlineStr">
        <is>
          <t>IND/MEL/00073</t>
        </is>
      </c>
      <c r="F74" s="21" t="inlineStr">
        <is>
          <t>F</t>
        </is>
      </c>
      <c r="G74" s="21" t="inlineStr">
        <is>
          <t>Rohit Rishkan</t>
        </is>
      </c>
      <c r="H74" s="21" t="inlineStr">
        <is>
          <t>Diya Rishkan</t>
        </is>
      </c>
      <c r="I74" s="22" t="n">
        <v>45784</v>
      </c>
      <c r="J74" s="21" t="inlineStr">
        <is>
          <t>15 Birchwood Lane</t>
        </is>
      </c>
      <c r="K74" s="21" t="inlineStr">
        <is>
          <t>Emerald Road</t>
        </is>
      </c>
      <c r="L74" s="21" t="inlineStr">
        <is>
          <t>PIN:224030 PENRITH</t>
        </is>
      </c>
      <c r="M74" s="23" t="inlineStr">
        <is>
          <t>MHA/IND/00073</t>
        </is>
      </c>
      <c r="N74" s="20" t="n">
        <v>45885</v>
      </c>
    </row>
    <row r="75">
      <c r="A75" s="28" t="n">
        <v>74</v>
      </c>
      <c r="B75" s="1" t="inlineStr">
        <is>
          <t>ISHAN SHARMA</t>
        </is>
      </c>
      <c r="C75" s="18" t="n">
        <v>45922</v>
      </c>
      <c r="D75" s="13" t="inlineStr">
        <is>
          <t>SHEPPARTON</t>
        </is>
      </c>
      <c r="E75" s="12" t="inlineStr">
        <is>
          <t>IND/MEL/00074</t>
        </is>
      </c>
      <c r="F75" s="13" t="inlineStr">
        <is>
          <t>M</t>
        </is>
      </c>
      <c r="G75" s="13" t="inlineStr">
        <is>
          <t>Kiran Sharma</t>
        </is>
      </c>
      <c r="H75" s="13" t="inlineStr">
        <is>
          <t>Anya Sharma</t>
        </is>
      </c>
      <c r="I75" s="19" t="n">
        <v>46001</v>
      </c>
      <c r="J75" s="13" t="inlineStr">
        <is>
          <t>80 Birchwood Lane</t>
        </is>
      </c>
      <c r="K75" s="13" t="inlineStr">
        <is>
          <t>Emerald Road</t>
        </is>
      </c>
      <c r="L75" s="13" t="inlineStr">
        <is>
          <t>PIN:482859 SHEPPARTON</t>
        </is>
      </c>
      <c r="M75" s="10" t="inlineStr">
        <is>
          <t>MHA/IND/00074</t>
        </is>
      </c>
      <c r="N75" s="18" t="n">
        <v>45867</v>
      </c>
    </row>
    <row r="76">
      <c r="A76" s="28" t="n">
        <v>75</v>
      </c>
      <c r="B76" s="1" t="inlineStr">
        <is>
          <t>DIYA KALEON</t>
        </is>
      </c>
      <c r="C76" s="18" t="n">
        <v>45951</v>
      </c>
      <c r="D76" s="13" t="inlineStr">
        <is>
          <t>CANBERRA</t>
        </is>
      </c>
      <c r="E76" s="12" t="inlineStr">
        <is>
          <t>IND/MEL/00075</t>
        </is>
      </c>
      <c r="F76" s="13" t="inlineStr">
        <is>
          <t>F</t>
        </is>
      </c>
      <c r="G76" s="13" t="inlineStr">
        <is>
          <t>Rohit Kaleon</t>
        </is>
      </c>
      <c r="H76" s="13" t="inlineStr">
        <is>
          <t>Tara Kaleon</t>
        </is>
      </c>
      <c r="I76" s="19" t="n">
        <v>45996</v>
      </c>
      <c r="J76" s="13" t="inlineStr">
        <is>
          <t>125 Birchwood Lane</t>
        </is>
      </c>
      <c r="K76" s="13" t="inlineStr">
        <is>
          <t>Emerald Road</t>
        </is>
      </c>
      <c r="L76" s="13" t="inlineStr">
        <is>
          <t>PIN:924013 CANBERRA</t>
        </is>
      </c>
      <c r="M76" s="10" t="inlineStr">
        <is>
          <t>MHA/IND/00075</t>
        </is>
      </c>
      <c r="N76" s="18" t="n">
        <v>45895</v>
      </c>
    </row>
    <row r="77">
      <c r="A77" s="28" t="n">
        <v>76</v>
      </c>
      <c r="B77" s="1" t="inlineStr">
        <is>
          <t>SARA SINDALE</t>
        </is>
      </c>
      <c r="C77" s="18" t="n">
        <v>45810</v>
      </c>
      <c r="D77" s="13" t="inlineStr">
        <is>
          <t>KINGSWOOD</t>
        </is>
      </c>
      <c r="E77" s="12" t="inlineStr">
        <is>
          <t>IND/MEL/00076</t>
        </is>
      </c>
      <c r="F77" s="13" t="inlineStr">
        <is>
          <t>F</t>
        </is>
      </c>
      <c r="G77" s="13" t="inlineStr">
        <is>
          <t>Dev Sindale</t>
        </is>
      </c>
      <c r="H77" s="13" t="inlineStr">
        <is>
          <t>Sara Sindale</t>
        </is>
      </c>
      <c r="I77" s="19" t="n">
        <v>45883</v>
      </c>
      <c r="J77" s="13" t="inlineStr">
        <is>
          <t>41 Birchwood Lane</t>
        </is>
      </c>
      <c r="K77" s="13" t="inlineStr">
        <is>
          <t>Emerald Road</t>
        </is>
      </c>
      <c r="L77" s="13" t="inlineStr">
        <is>
          <t>PIN:781777 KINGSWOOD</t>
        </is>
      </c>
      <c r="M77" s="10" t="inlineStr">
        <is>
          <t>MHA/IND/00076</t>
        </is>
      </c>
      <c r="N77" s="18" t="n">
        <v>45847</v>
      </c>
    </row>
    <row r="78">
      <c r="A78" s="28" t="n">
        <v>77</v>
      </c>
      <c r="B78" s="1" t="inlineStr">
        <is>
          <t>ANYA RISHKAN</t>
        </is>
      </c>
      <c r="C78" s="18" t="n">
        <v>45803</v>
      </c>
      <c r="D78" s="13" t="inlineStr">
        <is>
          <t>LOGAN</t>
        </is>
      </c>
      <c r="E78" s="12" t="inlineStr">
        <is>
          <t>IND/MEL/00077</t>
        </is>
      </c>
      <c r="F78" s="13" t="inlineStr">
        <is>
          <t>F</t>
        </is>
      </c>
      <c r="G78" s="13" t="inlineStr">
        <is>
          <t>Ishan Rishkan</t>
        </is>
      </c>
      <c r="H78" s="13" t="inlineStr">
        <is>
          <t>Nina Rishkan</t>
        </is>
      </c>
      <c r="I78" s="19" t="n">
        <v>45810</v>
      </c>
      <c r="J78" s="13" t="inlineStr">
        <is>
          <t>185 Birchwood Lane</t>
        </is>
      </c>
      <c r="K78" s="13" t="inlineStr">
        <is>
          <t>Emerald Road</t>
        </is>
      </c>
      <c r="L78" s="13" t="inlineStr">
        <is>
          <t>PIN:787279 LOGAN</t>
        </is>
      </c>
      <c r="M78" s="10" t="inlineStr">
        <is>
          <t>MHA/IND/00077</t>
        </is>
      </c>
      <c r="N78" s="18" t="n">
        <v>45896</v>
      </c>
    </row>
    <row r="79">
      <c r="A79" s="28" t="n">
        <v>78</v>
      </c>
      <c r="B79" s="1" t="inlineStr">
        <is>
          <t>ISHAN VALZARI</t>
        </is>
      </c>
      <c r="C79" s="18" t="n">
        <v>45745</v>
      </c>
      <c r="D79" s="13" t="inlineStr">
        <is>
          <t>WOLLONGONG</t>
        </is>
      </c>
      <c r="E79" s="12" t="inlineStr">
        <is>
          <t>IND/MEL/00078</t>
        </is>
      </c>
      <c r="F79" s="13" t="inlineStr">
        <is>
          <t>M</t>
        </is>
      </c>
      <c r="G79" s="13" t="inlineStr">
        <is>
          <t>Rohit Valzari</t>
        </is>
      </c>
      <c r="H79" s="13" t="inlineStr">
        <is>
          <t>Anya Valzari</t>
        </is>
      </c>
      <c r="I79" s="19" t="n">
        <v>45765</v>
      </c>
      <c r="J79" s="13" t="inlineStr">
        <is>
          <t>164 Birchwood Lane</t>
        </is>
      </c>
      <c r="K79" s="13" t="inlineStr">
        <is>
          <t>Emerald Road</t>
        </is>
      </c>
      <c r="L79" s="13" t="inlineStr">
        <is>
          <t>PIN:587534 WOLLONGONG</t>
        </is>
      </c>
      <c r="M79" s="10" t="inlineStr">
        <is>
          <t>MHA/IND/00078</t>
        </is>
      </c>
      <c r="N79" s="18" t="n">
        <v>45858</v>
      </c>
    </row>
    <row r="80">
      <c r="A80" s="28" t="n">
        <v>79</v>
      </c>
      <c r="B80" s="1" t="inlineStr">
        <is>
          <t>ANYA SHARMA</t>
        </is>
      </c>
      <c r="C80" s="18" t="n">
        <v>45710</v>
      </c>
      <c r="D80" s="13" t="inlineStr">
        <is>
          <t>LENAH VALLEY</t>
        </is>
      </c>
      <c r="E80" s="12" t="inlineStr">
        <is>
          <t>IND/MEL/00079</t>
        </is>
      </c>
      <c r="F80" s="13" t="inlineStr">
        <is>
          <t>F</t>
        </is>
      </c>
      <c r="G80" s="13" t="inlineStr">
        <is>
          <t>Ishan Sharma</t>
        </is>
      </c>
      <c r="H80" s="13" t="inlineStr">
        <is>
          <t>Mira Sharma</t>
        </is>
      </c>
      <c r="I80" s="19" t="n">
        <v>45826</v>
      </c>
      <c r="J80" s="13" t="inlineStr">
        <is>
          <t>173 Birchwood Lane</t>
        </is>
      </c>
      <c r="K80" s="13" t="inlineStr">
        <is>
          <t>Emerald Road</t>
        </is>
      </c>
      <c r="L80" s="13" t="inlineStr">
        <is>
          <t>PIN:603275 LENAH VALLEY</t>
        </is>
      </c>
      <c r="M80" s="10" t="inlineStr">
        <is>
          <t>MHA/IND/00079</t>
        </is>
      </c>
      <c r="N80" s="18" t="n">
        <v>45869</v>
      </c>
    </row>
    <row r="81">
      <c r="A81" s="28" t="n">
        <v>80</v>
      </c>
      <c r="B81" s="1" t="inlineStr">
        <is>
          <t>AREN SHARMA</t>
        </is>
      </c>
      <c r="C81" s="29" t="n">
        <v>45924</v>
      </c>
      <c r="D81" s="13" t="inlineStr">
        <is>
          <t>ST ALBANS</t>
        </is>
      </c>
      <c r="E81" s="12" t="inlineStr">
        <is>
          <t>IND/MEL/00080</t>
        </is>
      </c>
      <c r="F81" s="13" t="inlineStr">
        <is>
          <t>M</t>
        </is>
      </c>
      <c r="G81" s="13" t="inlineStr">
        <is>
          <t>Ishan Sharma</t>
        </is>
      </c>
      <c r="H81" s="13" t="inlineStr">
        <is>
          <t>Sara Sharma</t>
        </is>
      </c>
      <c r="I81" s="19" t="n">
        <v>45978</v>
      </c>
      <c r="J81" s="13" t="inlineStr">
        <is>
          <t>185 Birchwood Lane</t>
        </is>
      </c>
      <c r="K81" s="13" t="inlineStr">
        <is>
          <t>Emerald Road</t>
        </is>
      </c>
      <c r="L81" s="13" t="inlineStr">
        <is>
          <t>PIN:267223 ST ALBANS</t>
        </is>
      </c>
      <c r="M81" s="10" t="inlineStr">
        <is>
          <t>MHA/IND/00080</t>
        </is>
      </c>
      <c r="N81" s="18" t="n">
        <v>45853</v>
      </c>
    </row>
    <row r="82">
      <c r="A82" s="28" t="n">
        <v>81</v>
      </c>
      <c r="B82" s="1" t="inlineStr">
        <is>
          <t>KIRAN RAO</t>
        </is>
      </c>
      <c r="C82" s="18" t="n">
        <v>45884</v>
      </c>
      <c r="D82" s="13" t="inlineStr">
        <is>
          <t>MOUNT BARKER</t>
        </is>
      </c>
      <c r="E82" s="12" t="inlineStr">
        <is>
          <t>IND/MEL/00081</t>
        </is>
      </c>
      <c r="F82" s="13" t="inlineStr">
        <is>
          <t>M</t>
        </is>
      </c>
      <c r="G82" s="13" t="inlineStr">
        <is>
          <t>Arjun Rao</t>
        </is>
      </c>
      <c r="H82" s="13" t="inlineStr">
        <is>
          <t>Nina Rao</t>
        </is>
      </c>
      <c r="I82" s="19" t="n">
        <v>45993</v>
      </c>
      <c r="J82" s="13" t="inlineStr">
        <is>
          <t>34 Birchwood Lane</t>
        </is>
      </c>
      <c r="K82" s="13" t="inlineStr">
        <is>
          <t>Emerald Road</t>
        </is>
      </c>
      <c r="L82" s="13" t="inlineStr">
        <is>
          <t>PIN:714417 MOUNT BARKER</t>
        </is>
      </c>
      <c r="M82" s="10" t="inlineStr">
        <is>
          <t>MHA/IND/00081</t>
        </is>
      </c>
      <c r="N82" s="18" t="n">
        <v>45893</v>
      </c>
    </row>
    <row r="83">
      <c r="A83" s="28" t="n">
        <v>82</v>
      </c>
      <c r="B83" s="1" t="inlineStr">
        <is>
          <t>DIYA MYRTHOS</t>
        </is>
      </c>
      <c r="C83" s="18" t="n">
        <v>45849</v>
      </c>
      <c r="D83" s="13" t="inlineStr">
        <is>
          <t>WAGGA WAGGA</t>
        </is>
      </c>
      <c r="E83" s="12" t="inlineStr">
        <is>
          <t>IND/MEL/00082</t>
        </is>
      </c>
      <c r="F83" s="13" t="inlineStr">
        <is>
          <t>F</t>
        </is>
      </c>
      <c r="G83" s="13" t="inlineStr">
        <is>
          <t>Dev Myrthos</t>
        </is>
      </c>
      <c r="H83" s="13" t="inlineStr">
        <is>
          <t>Anya Myrthos</t>
        </is>
      </c>
      <c r="I83" s="19" t="n">
        <v>45947</v>
      </c>
      <c r="J83" s="13" t="inlineStr">
        <is>
          <t>180 Birchwood Lane</t>
        </is>
      </c>
      <c r="K83" s="13" t="inlineStr">
        <is>
          <t>Emerald Road</t>
        </is>
      </c>
      <c r="L83" s="13" t="inlineStr">
        <is>
          <t>PIN:547163 WAGGA WAGGA</t>
        </is>
      </c>
      <c r="M83" s="10" t="inlineStr">
        <is>
          <t>MHA/IND/00082</t>
        </is>
      </c>
      <c r="N83" s="18" t="n">
        <v>45868</v>
      </c>
    </row>
    <row r="84">
      <c r="A84" s="28" t="n">
        <v>83</v>
      </c>
      <c r="B84" s="1" t="inlineStr">
        <is>
          <t>RIYA KALEON</t>
        </is>
      </c>
      <c r="C84" s="18" t="n">
        <v>45828</v>
      </c>
      <c r="D84" s="13" t="inlineStr">
        <is>
          <t>MANDURAH</t>
        </is>
      </c>
      <c r="E84" s="12" t="inlineStr">
        <is>
          <t>IND/MEL/00083</t>
        </is>
      </c>
      <c r="F84" s="13" t="inlineStr">
        <is>
          <t>F</t>
        </is>
      </c>
      <c r="G84" s="13" t="inlineStr">
        <is>
          <t>Kiran Kaleon</t>
        </is>
      </c>
      <c r="H84" s="13" t="inlineStr">
        <is>
          <t>Diya Kaleon</t>
        </is>
      </c>
      <c r="I84" s="19" t="n">
        <v>45920</v>
      </c>
      <c r="J84" s="13" t="inlineStr">
        <is>
          <t>175 Birchwood Lane</t>
        </is>
      </c>
      <c r="K84" s="13" t="inlineStr">
        <is>
          <t>Emerald Road</t>
        </is>
      </c>
      <c r="L84" s="13" t="inlineStr">
        <is>
          <t>PIN:580720 MANDURAH</t>
        </is>
      </c>
      <c r="M84" s="10" t="inlineStr">
        <is>
          <t>MHA/IND/00083</t>
        </is>
      </c>
      <c r="N84" s="18" t="n">
        <v>45885</v>
      </c>
    </row>
    <row r="85">
      <c r="A85" s="28" t="n">
        <v>84</v>
      </c>
      <c r="B85" s="1" t="inlineStr">
        <is>
          <t>AREN VALZARI</t>
        </is>
      </c>
      <c r="C85" s="18" t="n">
        <v>45846</v>
      </c>
      <c r="D85" s="13" t="inlineStr">
        <is>
          <t>BERWICK</t>
        </is>
      </c>
      <c r="E85" s="12" t="inlineStr">
        <is>
          <t>IND/MEL/00084</t>
        </is>
      </c>
      <c r="F85" s="13" t="inlineStr">
        <is>
          <t>M</t>
        </is>
      </c>
      <c r="G85" s="13" t="inlineStr">
        <is>
          <t>Kabir Valzari</t>
        </is>
      </c>
      <c r="H85" s="13" t="inlineStr">
        <is>
          <t>Anya Valzari</t>
        </is>
      </c>
      <c r="I85" s="19" t="n">
        <v>45910</v>
      </c>
      <c r="J85" s="13" t="inlineStr">
        <is>
          <t>172 Birchwood Lane</t>
        </is>
      </c>
      <c r="K85" s="13" t="inlineStr">
        <is>
          <t>Emerald Road</t>
        </is>
      </c>
      <c r="L85" s="13" t="inlineStr">
        <is>
          <t>PIN:562388 BERWICK</t>
        </is>
      </c>
      <c r="M85" s="10" t="inlineStr">
        <is>
          <t>MHA/IND/00084</t>
        </is>
      </c>
      <c r="N85" s="18" t="n">
        <v>45878</v>
      </c>
    </row>
    <row r="86">
      <c r="A86" s="28" t="n">
        <v>85</v>
      </c>
      <c r="B86" s="1" t="inlineStr">
        <is>
          <t>SARA VALZARI</t>
        </is>
      </c>
      <c r="C86" s="18" t="n">
        <v>45841</v>
      </c>
      <c r="D86" s="13" t="inlineStr">
        <is>
          <t>BERWICK</t>
        </is>
      </c>
      <c r="E86" s="12" t="inlineStr">
        <is>
          <t>IND/MEL/00085</t>
        </is>
      </c>
      <c r="F86" s="13" t="inlineStr">
        <is>
          <t>F</t>
        </is>
      </c>
      <c r="G86" s="13" t="inlineStr">
        <is>
          <t>Arjun Valzari</t>
        </is>
      </c>
      <c r="H86" s="13" t="inlineStr">
        <is>
          <t>Riya Valzari</t>
        </is>
      </c>
      <c r="I86" s="19" t="n">
        <v>45873</v>
      </c>
      <c r="J86" s="13" t="inlineStr">
        <is>
          <t>82 Birchwood Lane</t>
        </is>
      </c>
      <c r="K86" s="13" t="inlineStr">
        <is>
          <t>Emerald Road</t>
        </is>
      </c>
      <c r="L86" s="13" t="inlineStr">
        <is>
          <t>PIN:894635 BERWICK</t>
        </is>
      </c>
      <c r="M86" s="10" t="inlineStr">
        <is>
          <t>MHA/IND/00085</t>
        </is>
      </c>
      <c r="N86" s="18" t="n">
        <v>45854</v>
      </c>
    </row>
    <row r="87">
      <c r="A87" s="28" t="n">
        <v>86</v>
      </c>
      <c r="B87" s="1" t="inlineStr">
        <is>
          <t>KABIR MYRTHOS</t>
        </is>
      </c>
      <c r="C87" s="18" t="n">
        <v>45922</v>
      </c>
      <c r="D87" s="13" t="inlineStr">
        <is>
          <t>LIVERPOOL</t>
        </is>
      </c>
      <c r="E87" s="12" t="inlineStr">
        <is>
          <t>IND/MEL/00086</t>
        </is>
      </c>
      <c r="F87" s="13" t="inlineStr">
        <is>
          <t>M</t>
        </is>
      </c>
      <c r="G87" s="13" t="inlineStr">
        <is>
          <t>Dev Myrthos</t>
        </is>
      </c>
      <c r="H87" s="13" t="inlineStr">
        <is>
          <t>Riya Myrthos</t>
        </is>
      </c>
      <c r="I87" s="19" t="n">
        <v>45983</v>
      </c>
      <c r="J87" s="13" t="inlineStr">
        <is>
          <t>164 Birchwood Lane</t>
        </is>
      </c>
      <c r="K87" s="13" t="inlineStr">
        <is>
          <t>Emerald Road</t>
        </is>
      </c>
      <c r="L87" s="13" t="inlineStr">
        <is>
          <t>PIN:165275 LIVERPOOL</t>
        </is>
      </c>
      <c r="M87" s="10" t="inlineStr">
        <is>
          <t>MHA/IND/00086</t>
        </is>
      </c>
      <c r="N87" s="18" t="n">
        <v>45844</v>
      </c>
    </row>
    <row r="88">
      <c r="A88" s="28" t="n">
        <v>87</v>
      </c>
      <c r="B88" s="1" t="inlineStr">
        <is>
          <t>KIRAN SHARMA</t>
        </is>
      </c>
      <c r="C88" s="18" t="n">
        <v>45721</v>
      </c>
      <c r="D88" s="13" t="inlineStr">
        <is>
          <t>NEWCASTLE</t>
        </is>
      </c>
      <c r="E88" s="12" t="inlineStr">
        <is>
          <t>IND/MEL/00087</t>
        </is>
      </c>
      <c r="F88" s="13" t="inlineStr">
        <is>
          <t>M</t>
        </is>
      </c>
      <c r="G88" s="13" t="inlineStr">
        <is>
          <t>Aren Sharma</t>
        </is>
      </c>
      <c r="H88" s="13" t="inlineStr">
        <is>
          <t>Diya Sharma</t>
        </is>
      </c>
      <c r="I88" s="19" t="n">
        <v>45744</v>
      </c>
      <c r="J88" s="13" t="inlineStr">
        <is>
          <t>151 Birchwood Lane</t>
        </is>
      </c>
      <c r="K88" s="13" t="inlineStr">
        <is>
          <t>Emerald Road</t>
        </is>
      </c>
      <c r="L88" s="13" t="inlineStr">
        <is>
          <t>PIN:313133 NEWCASTLE</t>
        </is>
      </c>
      <c r="M88" s="10" t="inlineStr">
        <is>
          <t>MHA/IND/00087</t>
        </is>
      </c>
      <c r="N88" s="18" t="n">
        <v>45885</v>
      </c>
    </row>
    <row r="89">
      <c r="A89" s="28" t="n">
        <v>88</v>
      </c>
      <c r="B89" s="1" t="inlineStr">
        <is>
          <t>TARA SINDALE</t>
        </is>
      </c>
      <c r="C89" s="18" t="n">
        <v>45751</v>
      </c>
      <c r="D89" s="13" t="inlineStr">
        <is>
          <t>LIVERPOOL</t>
        </is>
      </c>
      <c r="E89" s="12" t="inlineStr">
        <is>
          <t>IND/MEL/00088</t>
        </is>
      </c>
      <c r="F89" s="13" t="inlineStr">
        <is>
          <t>F</t>
        </is>
      </c>
      <c r="G89" s="13" t="inlineStr">
        <is>
          <t>Aren Sindale</t>
        </is>
      </c>
      <c r="H89" s="13" t="inlineStr">
        <is>
          <t>Riya Sindale</t>
        </is>
      </c>
      <c r="I89" s="19" t="n">
        <v>45763</v>
      </c>
      <c r="J89" s="13" t="inlineStr">
        <is>
          <t>29 Birchwood Lane</t>
        </is>
      </c>
      <c r="K89" s="13" t="inlineStr">
        <is>
          <t>Emerald Road</t>
        </is>
      </c>
      <c r="L89" s="13" t="inlineStr">
        <is>
          <t>PIN:978049 LIVERPOOL</t>
        </is>
      </c>
      <c r="M89" s="10" t="inlineStr">
        <is>
          <t>MHA/IND/00088</t>
        </is>
      </c>
      <c r="N89" s="18" t="n">
        <v>45891</v>
      </c>
    </row>
    <row r="90">
      <c r="A90" s="28" t="n">
        <v>89</v>
      </c>
      <c r="B90" s="1" t="inlineStr">
        <is>
          <t>ARJUN KALEON</t>
        </is>
      </c>
      <c r="C90" s="18" t="n">
        <v>45863</v>
      </c>
      <c r="D90" s="13" t="inlineStr">
        <is>
          <t>NEWCASTLE</t>
        </is>
      </c>
      <c r="E90" s="12" t="inlineStr">
        <is>
          <t>IND/MEL/00089</t>
        </is>
      </c>
      <c r="F90" s="13" t="inlineStr">
        <is>
          <t>M</t>
        </is>
      </c>
      <c r="G90" s="13" t="inlineStr">
        <is>
          <t>Arjun Kaleon</t>
        </is>
      </c>
      <c r="H90" s="13" t="inlineStr">
        <is>
          <t>Alya Kaleon</t>
        </is>
      </c>
      <c r="I90" s="19" t="n">
        <v>45879</v>
      </c>
      <c r="J90" s="13" t="inlineStr">
        <is>
          <t>62 Birchwood Lane</t>
        </is>
      </c>
      <c r="K90" s="13" t="inlineStr">
        <is>
          <t>Emerald Road</t>
        </is>
      </c>
      <c r="L90" s="13" t="inlineStr">
        <is>
          <t>PIN:759250 NEWCASTLE</t>
        </is>
      </c>
      <c r="M90" s="10" t="inlineStr">
        <is>
          <t>MHA/IND/00089</t>
        </is>
      </c>
      <c r="N90" s="18" t="n">
        <v>45847</v>
      </c>
    </row>
    <row r="91">
      <c r="A91" s="28" t="n">
        <v>90</v>
      </c>
      <c r="B91" s="1" t="inlineStr">
        <is>
          <t>DEV SHARMA</t>
        </is>
      </c>
      <c r="C91" s="18" t="n">
        <v>45678</v>
      </c>
      <c r="D91" s="13" t="inlineStr">
        <is>
          <t>LIVERPOOL</t>
        </is>
      </c>
      <c r="E91" s="12" t="inlineStr">
        <is>
          <t>IND/MEL/00090</t>
        </is>
      </c>
      <c r="F91" s="13" t="inlineStr">
        <is>
          <t>M</t>
        </is>
      </c>
      <c r="G91" s="13" t="inlineStr">
        <is>
          <t>Rohit Sharma</t>
        </is>
      </c>
      <c r="H91" s="13" t="inlineStr">
        <is>
          <t>Alya Sharma</t>
        </is>
      </c>
      <c r="I91" s="19" t="n">
        <v>45709</v>
      </c>
      <c r="J91" s="13" t="inlineStr">
        <is>
          <t>136 Birchwood Lane</t>
        </is>
      </c>
      <c r="K91" s="13" t="inlineStr">
        <is>
          <t>Emerald Road</t>
        </is>
      </c>
      <c r="L91" s="13" t="inlineStr">
        <is>
          <t>PIN:265684 LIVERPOOL</t>
        </is>
      </c>
      <c r="M91" s="10" t="inlineStr">
        <is>
          <t>MHA/IND/00090</t>
        </is>
      </c>
      <c r="N91" s="18" t="n">
        <v>45884</v>
      </c>
    </row>
    <row r="92">
      <c r="A92" s="28" t="n">
        <v>91</v>
      </c>
      <c r="B92" s="1" t="inlineStr">
        <is>
          <t>KABIR KALEON</t>
        </is>
      </c>
      <c r="C92" s="20" t="n">
        <v>45815</v>
      </c>
      <c r="D92" s="21" t="inlineStr">
        <is>
          <t>BENDIGO</t>
        </is>
      </c>
      <c r="E92" s="12" t="inlineStr">
        <is>
          <t>IND/MEL/00091</t>
        </is>
      </c>
      <c r="F92" s="21" t="inlineStr">
        <is>
          <t>M</t>
        </is>
      </c>
      <c r="G92" s="21" t="inlineStr">
        <is>
          <t>Dev Kaleon</t>
        </is>
      </c>
      <c r="H92" s="21" t="inlineStr">
        <is>
          <t>Tara Kaleon</t>
        </is>
      </c>
      <c r="I92" s="22" t="n">
        <v>45869</v>
      </c>
      <c r="J92" s="21" t="inlineStr">
        <is>
          <t>70 Birchwood Lane</t>
        </is>
      </c>
      <c r="K92" s="21" t="inlineStr">
        <is>
          <t>Emerald Road</t>
        </is>
      </c>
      <c r="L92" s="21" t="inlineStr">
        <is>
          <t>PIN:669525 BENDIGO</t>
        </is>
      </c>
      <c r="M92" s="23" t="inlineStr">
        <is>
          <t>MHA/IND/00091</t>
        </is>
      </c>
      <c r="N92" s="20" t="n">
        <v>45873</v>
      </c>
    </row>
    <row r="93">
      <c r="A93" s="28" t="n">
        <v>92</v>
      </c>
      <c r="B93" s="1" t="inlineStr">
        <is>
          <t>ALYA SINDALE</t>
        </is>
      </c>
      <c r="C93" s="18" t="n">
        <v>45851</v>
      </c>
      <c r="D93" s="13" t="inlineStr">
        <is>
          <t>WOLLONGONG</t>
        </is>
      </c>
      <c r="E93" s="12" t="inlineStr">
        <is>
          <t>IND/MEL/00092</t>
        </is>
      </c>
      <c r="F93" s="13" t="inlineStr">
        <is>
          <t>F</t>
        </is>
      </c>
      <c r="G93" s="13" t="inlineStr">
        <is>
          <t>Rohit Sindale</t>
        </is>
      </c>
      <c r="H93" s="13" t="inlineStr">
        <is>
          <t>Nina Sindale</t>
        </is>
      </c>
      <c r="I93" s="19" t="n">
        <v>45889</v>
      </c>
      <c r="J93" s="13" t="inlineStr">
        <is>
          <t>71 Birchwood Lane</t>
        </is>
      </c>
      <c r="K93" s="13" t="inlineStr">
        <is>
          <t>Emerald Road</t>
        </is>
      </c>
      <c r="L93" s="13" t="inlineStr">
        <is>
          <t>PIN:806096 WOLLONGONG</t>
        </is>
      </c>
      <c r="M93" s="10" t="inlineStr">
        <is>
          <t>MHA/IND/00092</t>
        </is>
      </c>
      <c r="N93" s="18" t="n">
        <v>45844</v>
      </c>
    </row>
    <row r="94">
      <c r="A94" s="28" t="n">
        <v>93</v>
      </c>
      <c r="B94" s="1" t="inlineStr">
        <is>
          <t>MIRA KALEON</t>
        </is>
      </c>
      <c r="C94" s="18" t="n">
        <v>45825</v>
      </c>
      <c r="D94" s="13" t="inlineStr">
        <is>
          <t>DALBY</t>
        </is>
      </c>
      <c r="E94" s="12" t="inlineStr">
        <is>
          <t>IND/MEL/00093</t>
        </is>
      </c>
      <c r="F94" s="13" t="inlineStr">
        <is>
          <t>F</t>
        </is>
      </c>
      <c r="G94" s="13" t="inlineStr">
        <is>
          <t>Kabir Kaleon</t>
        </is>
      </c>
      <c r="H94" s="13" t="inlineStr">
        <is>
          <t>Alya Kaleon</t>
        </is>
      </c>
      <c r="I94" s="19" t="n">
        <v>45844</v>
      </c>
      <c r="J94" s="13" t="inlineStr">
        <is>
          <t>123 Birchwood Lane</t>
        </is>
      </c>
      <c r="K94" s="13" t="inlineStr">
        <is>
          <t>Emerald Road</t>
        </is>
      </c>
      <c r="L94" s="13" t="inlineStr">
        <is>
          <t>PIN:836079 DALBY</t>
        </is>
      </c>
      <c r="M94" s="10" t="inlineStr">
        <is>
          <t>MHA/IND/00093</t>
        </is>
      </c>
      <c r="N94" s="18" t="n">
        <v>45887</v>
      </c>
    </row>
    <row r="95">
      <c r="A95" s="28" t="n">
        <v>94</v>
      </c>
      <c r="B95" s="1" t="inlineStr">
        <is>
          <t>ROHIT MYRTHOS</t>
        </is>
      </c>
      <c r="C95" s="18" t="n">
        <v>45685</v>
      </c>
      <c r="D95" s="13" t="inlineStr">
        <is>
          <t>CLAYTON</t>
        </is>
      </c>
      <c r="E95" s="12" t="inlineStr">
        <is>
          <t>IND/MEL/00094</t>
        </is>
      </c>
      <c r="F95" s="13" t="inlineStr">
        <is>
          <t>M</t>
        </is>
      </c>
      <c r="G95" s="13" t="inlineStr">
        <is>
          <t>Kabir Myrthos</t>
        </is>
      </c>
      <c r="H95" s="13" t="inlineStr">
        <is>
          <t>Mira Myrthos</t>
        </is>
      </c>
      <c r="I95" s="19" t="n">
        <v>45709</v>
      </c>
      <c r="J95" s="13" t="inlineStr">
        <is>
          <t>106 Birchwood Lane</t>
        </is>
      </c>
      <c r="K95" s="13" t="inlineStr">
        <is>
          <t>Emerald Road</t>
        </is>
      </c>
      <c r="L95" s="13" t="inlineStr">
        <is>
          <t>PIN:528267 CLAYTON</t>
        </is>
      </c>
      <c r="M95" s="10" t="inlineStr">
        <is>
          <t>MHA/IND/00094</t>
        </is>
      </c>
      <c r="N95" s="18" t="n">
        <v>45858</v>
      </c>
    </row>
    <row r="96">
      <c r="A96" s="28" t="n">
        <v>95</v>
      </c>
      <c r="B96" s="1" t="inlineStr">
        <is>
          <t>TARA SINDALE</t>
        </is>
      </c>
      <c r="C96" s="18" t="n">
        <v>45841</v>
      </c>
      <c r="D96" s="13" t="inlineStr">
        <is>
          <t>MANDURAH</t>
        </is>
      </c>
      <c r="E96" s="12" t="inlineStr">
        <is>
          <t>IND/MEL/00095</t>
        </is>
      </c>
      <c r="F96" s="13" t="inlineStr">
        <is>
          <t>F</t>
        </is>
      </c>
      <c r="G96" s="13" t="inlineStr">
        <is>
          <t>Dev Sindale</t>
        </is>
      </c>
      <c r="H96" s="13" t="inlineStr">
        <is>
          <t>Nina Sindale</t>
        </is>
      </c>
      <c r="I96" s="19" t="n">
        <v>45884</v>
      </c>
      <c r="J96" s="13" t="inlineStr">
        <is>
          <t>163 Birchwood Lane</t>
        </is>
      </c>
      <c r="K96" s="13" t="inlineStr">
        <is>
          <t>Emerald Road</t>
        </is>
      </c>
      <c r="L96" s="13" t="inlineStr">
        <is>
          <t>PIN:587920 MANDURAH</t>
        </is>
      </c>
      <c r="M96" s="10" t="inlineStr">
        <is>
          <t>MHA/IND/00095</t>
        </is>
      </c>
      <c r="N96" s="18" t="n">
        <v>45860</v>
      </c>
    </row>
    <row r="97">
      <c r="A97" s="28" t="n">
        <v>96</v>
      </c>
      <c r="B97" s="1" t="inlineStr">
        <is>
          <t>ANYA RAO</t>
        </is>
      </c>
      <c r="C97" s="18" t="n">
        <v>45815</v>
      </c>
      <c r="D97" s="13" t="inlineStr">
        <is>
          <t>BUNDOORA</t>
        </is>
      </c>
      <c r="E97" s="12" t="inlineStr">
        <is>
          <t>IND/MEL/00096</t>
        </is>
      </c>
      <c r="F97" s="13" t="inlineStr">
        <is>
          <t>F</t>
        </is>
      </c>
      <c r="G97" s="13" t="inlineStr">
        <is>
          <t>Kiran Rao</t>
        </is>
      </c>
      <c r="H97" s="13" t="inlineStr">
        <is>
          <t>Tara Rao</t>
        </is>
      </c>
      <c r="I97" s="19" t="n">
        <v>45833</v>
      </c>
      <c r="J97" s="13" t="inlineStr">
        <is>
          <t>166 Birchwood Lane</t>
        </is>
      </c>
      <c r="K97" s="13" t="inlineStr">
        <is>
          <t>Emerald Road</t>
        </is>
      </c>
      <c r="L97" s="13" t="inlineStr">
        <is>
          <t>PIN:443245 BUNDOORA</t>
        </is>
      </c>
      <c r="M97" s="10" t="inlineStr">
        <is>
          <t>MHA/IND/00096</t>
        </is>
      </c>
      <c r="N97" s="18" t="n">
        <v>45870</v>
      </c>
    </row>
    <row r="98">
      <c r="A98" s="28" t="n">
        <v>97</v>
      </c>
      <c r="B98" s="1" t="inlineStr">
        <is>
          <t>TARA RISHKAN</t>
        </is>
      </c>
      <c r="C98" s="18" t="n">
        <v>45803</v>
      </c>
      <c r="D98" s="13" t="inlineStr">
        <is>
          <t>BRISBANE</t>
        </is>
      </c>
      <c r="E98" s="12" t="inlineStr">
        <is>
          <t>IND/MEL/00097</t>
        </is>
      </c>
      <c r="F98" s="13" t="inlineStr">
        <is>
          <t>F</t>
        </is>
      </c>
      <c r="G98" s="13" t="inlineStr">
        <is>
          <t>Rohit Rishkan</t>
        </is>
      </c>
      <c r="H98" s="13" t="inlineStr">
        <is>
          <t>Sara Rishkan</t>
        </is>
      </c>
      <c r="I98" s="19" t="n">
        <v>45882</v>
      </c>
      <c r="J98" s="13" t="inlineStr">
        <is>
          <t>130 Birchwood Lane</t>
        </is>
      </c>
      <c r="K98" s="13" t="inlineStr">
        <is>
          <t>Emerald Road</t>
        </is>
      </c>
      <c r="L98" s="13" t="inlineStr">
        <is>
          <t>PIN:854044 BRISBANE</t>
        </is>
      </c>
      <c r="M98" s="10" t="inlineStr">
        <is>
          <t>MHA/IND/00097</t>
        </is>
      </c>
      <c r="N98" s="18" t="n">
        <v>45866</v>
      </c>
    </row>
    <row r="99">
      <c r="A99" s="28" t="n">
        <v>98</v>
      </c>
      <c r="B99" s="1" t="inlineStr">
        <is>
          <t>KABIR SINDALE</t>
        </is>
      </c>
      <c r="C99" s="18" t="n">
        <v>45729</v>
      </c>
      <c r="D99" s="13" t="inlineStr">
        <is>
          <t>BERWICK</t>
        </is>
      </c>
      <c r="E99" s="12" t="inlineStr">
        <is>
          <t>IND/MEL/00098</t>
        </is>
      </c>
      <c r="F99" s="13" t="inlineStr">
        <is>
          <t>M</t>
        </is>
      </c>
      <c r="G99" s="13" t="inlineStr">
        <is>
          <t>Neil Sindale</t>
        </is>
      </c>
      <c r="H99" s="13" t="inlineStr">
        <is>
          <t>Riya Sindale</t>
        </is>
      </c>
      <c r="I99" s="19" t="n">
        <v>45792</v>
      </c>
      <c r="J99" s="13" t="inlineStr">
        <is>
          <t>90 Birchwood Lane</t>
        </is>
      </c>
      <c r="K99" s="13" t="inlineStr">
        <is>
          <t>Emerald Road</t>
        </is>
      </c>
      <c r="L99" s="13" t="inlineStr">
        <is>
          <t>PIN:146112 BERWICK</t>
        </is>
      </c>
      <c r="M99" s="10" t="inlineStr">
        <is>
          <t>MHA/IND/00098</t>
        </is>
      </c>
      <c r="N99" s="18" t="n">
        <v>45858</v>
      </c>
    </row>
    <row r="100">
      <c r="A100" s="28" t="n">
        <v>99</v>
      </c>
      <c r="B100" s="1" t="inlineStr">
        <is>
          <t>MIRA SHARMA</t>
        </is>
      </c>
      <c r="C100" s="24" t="n">
        <v>45794</v>
      </c>
      <c r="D100" s="25" t="inlineStr">
        <is>
          <t>GOSFORD</t>
        </is>
      </c>
      <c r="E100" s="12" t="inlineStr">
        <is>
          <t>IND/MEL/00099</t>
        </is>
      </c>
      <c r="F100" s="25" t="inlineStr">
        <is>
          <t>F</t>
        </is>
      </c>
      <c r="G100" s="25" t="inlineStr">
        <is>
          <t>Kiran Sharma</t>
        </is>
      </c>
      <c r="H100" s="25" t="inlineStr">
        <is>
          <t>Diya Sharma</t>
        </is>
      </c>
      <c r="I100" s="26" t="n">
        <v>45856</v>
      </c>
      <c r="J100" s="25" t="inlineStr">
        <is>
          <t>187 Birchwood Lane</t>
        </is>
      </c>
      <c r="K100" s="25" t="inlineStr">
        <is>
          <t>Emerald Road</t>
        </is>
      </c>
      <c r="L100" s="25" t="inlineStr">
        <is>
          <t>PIN:116116 GOSFORD</t>
        </is>
      </c>
      <c r="M100" s="27" t="inlineStr">
        <is>
          <t>MHA/IND/00099</t>
        </is>
      </c>
      <c r="N100" s="24" t="n">
        <v>45880</v>
      </c>
    </row>
    <row r="101">
      <c r="A101" s="28" t="n">
        <v>100</v>
      </c>
      <c r="B101" s="1" t="inlineStr">
        <is>
          <t>ANYA KALEON</t>
        </is>
      </c>
      <c r="C101" s="18" t="n">
        <v>45942</v>
      </c>
      <c r="D101" s="13" t="inlineStr">
        <is>
          <t>ARMADALE</t>
        </is>
      </c>
      <c r="E101" s="12" t="inlineStr">
        <is>
          <t>IND/MEL/00100</t>
        </is>
      </c>
      <c r="F101" s="13" t="inlineStr">
        <is>
          <t>F</t>
        </is>
      </c>
      <c r="G101" s="13" t="inlineStr">
        <is>
          <t>Rohit Kaleon</t>
        </is>
      </c>
      <c r="H101" s="13" t="inlineStr">
        <is>
          <t>Tara Kaleon</t>
        </is>
      </c>
      <c r="I101" s="19" t="n">
        <v>45968</v>
      </c>
      <c r="J101" s="13" t="inlineStr">
        <is>
          <t>146 Birchwood Lane</t>
        </is>
      </c>
      <c r="K101" s="13" t="inlineStr">
        <is>
          <t>Emerald Road</t>
        </is>
      </c>
      <c r="L101" s="13" t="inlineStr">
        <is>
          <t>PIN:698609 ARMADALE</t>
        </is>
      </c>
      <c r="M101" s="10" t="inlineStr">
        <is>
          <t>MHA/IND/00100</t>
        </is>
      </c>
      <c r="N101" s="18" t="n">
        <v>45878</v>
      </c>
    </row>
    <row r="102">
      <c r="A102" s="28" t="n">
        <v>101</v>
      </c>
      <c r="B102" s="1" t="inlineStr">
        <is>
          <t>ALYA KALEON</t>
        </is>
      </c>
      <c r="C102" s="18" t="n">
        <v>45910</v>
      </c>
      <c r="D102" s="13" t="inlineStr">
        <is>
          <t>PARKVILLE</t>
        </is>
      </c>
      <c r="E102" s="12" t="inlineStr">
        <is>
          <t>IND/MEL/00101</t>
        </is>
      </c>
      <c r="F102" s="13" t="inlineStr">
        <is>
          <t>F</t>
        </is>
      </c>
      <c r="G102" s="13" t="inlineStr">
        <is>
          <t>Ishan Kaleon</t>
        </is>
      </c>
      <c r="H102" s="13" t="inlineStr">
        <is>
          <t>Nina Kaleon</t>
        </is>
      </c>
      <c r="I102" s="19" t="n">
        <v>45999</v>
      </c>
      <c r="J102" s="13" t="inlineStr">
        <is>
          <t>94 Birchwood Lane</t>
        </is>
      </c>
      <c r="K102" s="13" t="inlineStr">
        <is>
          <t>Emerald Road</t>
        </is>
      </c>
      <c r="L102" s="13" t="inlineStr">
        <is>
          <t>PIN:243403 PARKVILLE</t>
        </is>
      </c>
      <c r="M102" s="10" t="inlineStr">
        <is>
          <t>MHA/IND/00101</t>
        </is>
      </c>
      <c r="N102" s="18" t="n">
        <v>45895</v>
      </c>
    </row>
    <row r="103">
      <c r="A103" s="28" t="n">
        <v>102</v>
      </c>
      <c r="B103" s="1" t="inlineStr">
        <is>
          <t>ANYA MYRTHOS</t>
        </is>
      </c>
      <c r="C103" s="29" t="n">
        <v>45912</v>
      </c>
      <c r="D103" s="13" t="inlineStr">
        <is>
          <t>LIVERPOOL</t>
        </is>
      </c>
      <c r="E103" s="12" t="inlineStr">
        <is>
          <t>IND/MEL/00102</t>
        </is>
      </c>
      <c r="F103" s="13" t="inlineStr">
        <is>
          <t>F</t>
        </is>
      </c>
      <c r="G103" s="13" t="inlineStr">
        <is>
          <t>Rohit Myrthos</t>
        </is>
      </c>
      <c r="H103" s="13" t="inlineStr">
        <is>
          <t>Mira Myrthos</t>
        </is>
      </c>
      <c r="I103" s="19" t="n">
        <v>45979</v>
      </c>
      <c r="J103" s="13" t="inlineStr">
        <is>
          <t>61 Birchwood Lane</t>
        </is>
      </c>
      <c r="K103" s="13" t="inlineStr">
        <is>
          <t>Emerald Road</t>
        </is>
      </c>
      <c r="L103" s="13" t="inlineStr">
        <is>
          <t>PIN:333036 LIVERPOOL</t>
        </is>
      </c>
      <c r="M103" s="10" t="inlineStr">
        <is>
          <t>MHA/IND/00102</t>
        </is>
      </c>
      <c r="N103" s="18" t="n">
        <v>45894</v>
      </c>
    </row>
    <row r="104">
      <c r="A104" s="28" t="n">
        <v>103</v>
      </c>
      <c r="B104" s="1" t="inlineStr">
        <is>
          <t>ROHIT VALZARI</t>
        </is>
      </c>
      <c r="C104" s="18" t="n">
        <v>45743</v>
      </c>
      <c r="D104" s="13" t="inlineStr">
        <is>
          <t>BEDFORD PARK</t>
        </is>
      </c>
      <c r="E104" s="12" t="inlineStr">
        <is>
          <t>IND/MEL/00103</t>
        </is>
      </c>
      <c r="F104" s="13" t="inlineStr">
        <is>
          <t>M</t>
        </is>
      </c>
      <c r="G104" s="13" t="inlineStr">
        <is>
          <t>Aren Valzari</t>
        </is>
      </c>
      <c r="H104" s="13" t="inlineStr">
        <is>
          <t>Riya Valzari</t>
        </is>
      </c>
      <c r="I104" s="19" t="n">
        <v>45808</v>
      </c>
      <c r="J104" s="13" t="inlineStr">
        <is>
          <t>69 Birchwood Lane</t>
        </is>
      </c>
      <c r="K104" s="13" t="inlineStr">
        <is>
          <t>Emerald Road</t>
        </is>
      </c>
      <c r="L104" s="13" t="inlineStr">
        <is>
          <t>PIN:974106 BEDFORD PARK</t>
        </is>
      </c>
      <c r="M104" s="10" t="inlineStr">
        <is>
          <t>MHA/IND/00103</t>
        </is>
      </c>
      <c r="N104" s="18" t="n">
        <v>45846</v>
      </c>
    </row>
    <row r="105">
      <c r="A105" s="28" t="n">
        <v>104</v>
      </c>
      <c r="B105" s="1" t="inlineStr">
        <is>
          <t>KIRAN VALZARI</t>
        </is>
      </c>
      <c r="C105" s="18" t="n">
        <v>45749</v>
      </c>
      <c r="D105" s="13" t="inlineStr">
        <is>
          <t>WODONGA</t>
        </is>
      </c>
      <c r="E105" s="12" t="inlineStr">
        <is>
          <t>IND/MEL/00104</t>
        </is>
      </c>
      <c r="F105" s="13" t="inlineStr">
        <is>
          <t>M</t>
        </is>
      </c>
      <c r="G105" s="13" t="inlineStr">
        <is>
          <t>Rohit Valzari</t>
        </is>
      </c>
      <c r="H105" s="13" t="inlineStr">
        <is>
          <t>Alya Valzari</t>
        </is>
      </c>
      <c r="I105" s="19" t="n">
        <v>45786</v>
      </c>
      <c r="J105" s="13" t="inlineStr">
        <is>
          <t>130 Birchwood Lane</t>
        </is>
      </c>
      <c r="K105" s="13" t="inlineStr">
        <is>
          <t>Emerald Road</t>
        </is>
      </c>
      <c r="L105" s="13" t="inlineStr">
        <is>
          <t>PIN:903256 WODONGA</t>
        </is>
      </c>
      <c r="M105" s="10" t="inlineStr">
        <is>
          <t>MHA/IND/00104</t>
        </is>
      </c>
      <c r="N105" s="18" t="n">
        <v>45862</v>
      </c>
    </row>
    <row r="106">
      <c r="A106" s="28" t="n">
        <v>105</v>
      </c>
      <c r="B106" s="1" t="inlineStr">
        <is>
          <t>DEV SINDALE</t>
        </is>
      </c>
      <c r="C106" s="18" t="n">
        <v>45800</v>
      </c>
      <c r="D106" s="13" t="inlineStr">
        <is>
          <t>FRANKSTON</t>
        </is>
      </c>
      <c r="E106" s="12" t="inlineStr">
        <is>
          <t>IND/MEL/00105</t>
        </is>
      </c>
      <c r="F106" s="13" t="inlineStr">
        <is>
          <t>M</t>
        </is>
      </c>
      <c r="G106" s="13" t="inlineStr">
        <is>
          <t>Aren Sindale</t>
        </is>
      </c>
      <c r="H106" s="13" t="inlineStr">
        <is>
          <t>Riya Sindale</t>
        </is>
      </c>
      <c r="I106" s="19" t="n">
        <v>45873</v>
      </c>
      <c r="J106" s="13" t="inlineStr">
        <is>
          <t>161 Birchwood Lane</t>
        </is>
      </c>
      <c r="K106" s="13" t="inlineStr">
        <is>
          <t>Emerald Road</t>
        </is>
      </c>
      <c r="L106" s="13" t="inlineStr">
        <is>
          <t>PIN:724180 FRANKSTON</t>
        </is>
      </c>
      <c r="M106" s="10" t="inlineStr">
        <is>
          <t>MHA/IND/00105</t>
        </is>
      </c>
      <c r="N106" s="18" t="n">
        <v>45878</v>
      </c>
    </row>
    <row r="107">
      <c r="A107" s="28" t="n">
        <v>106</v>
      </c>
      <c r="B107" s="1" t="inlineStr">
        <is>
          <t>KIRAN SHARMA</t>
        </is>
      </c>
      <c r="C107" s="29" t="n">
        <v>45819</v>
      </c>
      <c r="D107" s="13" t="inlineStr">
        <is>
          <t>TUGGERANONG</t>
        </is>
      </c>
      <c r="E107" s="12" t="inlineStr">
        <is>
          <t>IND/MEL/00106</t>
        </is>
      </c>
      <c r="F107" s="13" t="inlineStr">
        <is>
          <t>M</t>
        </is>
      </c>
      <c r="G107" s="13" t="inlineStr">
        <is>
          <t>Dev Sharma</t>
        </is>
      </c>
      <c r="H107" s="13" t="inlineStr">
        <is>
          <t>Nina Sharma</t>
        </is>
      </c>
      <c r="I107" s="19" t="n">
        <v>45937</v>
      </c>
      <c r="J107" s="13" t="inlineStr">
        <is>
          <t>29 Birchwood Lane</t>
        </is>
      </c>
      <c r="K107" s="13" t="inlineStr">
        <is>
          <t>Emerald Road</t>
        </is>
      </c>
      <c r="L107" s="13" t="inlineStr">
        <is>
          <t>PIN:696956 TUGGERANONG</t>
        </is>
      </c>
      <c r="M107" s="10" t="inlineStr">
        <is>
          <t>MHA/IND/00106</t>
        </is>
      </c>
      <c r="N107" s="18" t="n">
        <v>45895</v>
      </c>
    </row>
    <row r="108">
      <c r="A108" s="28" t="n">
        <v>107</v>
      </c>
      <c r="B108" s="1" t="inlineStr">
        <is>
          <t>MIRA SHARMA</t>
        </is>
      </c>
      <c r="C108" s="18" t="n">
        <v>45778</v>
      </c>
      <c r="D108" s="13" t="inlineStr">
        <is>
          <t>LAUNCESTON</t>
        </is>
      </c>
      <c r="E108" s="12" t="inlineStr">
        <is>
          <t>IND/MEL/00107</t>
        </is>
      </c>
      <c r="F108" s="13" t="inlineStr">
        <is>
          <t>F</t>
        </is>
      </c>
      <c r="G108" s="13" t="inlineStr">
        <is>
          <t>Rohit Sharma</t>
        </is>
      </c>
      <c r="H108" s="13" t="inlineStr">
        <is>
          <t>Mira Sharma</t>
        </is>
      </c>
      <c r="I108" s="19" t="n">
        <v>45790</v>
      </c>
      <c r="J108" s="13" t="inlineStr">
        <is>
          <t>193 Birchwood Lane</t>
        </is>
      </c>
      <c r="K108" s="13" t="inlineStr">
        <is>
          <t>Emerald Road</t>
        </is>
      </c>
      <c r="L108" s="13" t="inlineStr">
        <is>
          <t>PIN:866652 LAUNCESTON</t>
        </is>
      </c>
      <c r="M108" s="10" t="inlineStr">
        <is>
          <t>MHA/IND/00107</t>
        </is>
      </c>
      <c r="N108" s="18" t="n">
        <v>45844</v>
      </c>
    </row>
    <row r="109">
      <c r="A109" s="28" t="n">
        <v>108</v>
      </c>
      <c r="B109" s="1" t="inlineStr">
        <is>
          <t>SARA KALEON</t>
        </is>
      </c>
      <c r="C109" s="18" t="n">
        <v>45735</v>
      </c>
      <c r="D109" s="13" t="inlineStr">
        <is>
          <t>NORTH ADELAIDE</t>
        </is>
      </c>
      <c r="E109" s="12" t="inlineStr">
        <is>
          <t>IND/MEL/00108</t>
        </is>
      </c>
      <c r="F109" s="13" t="inlineStr">
        <is>
          <t>F</t>
        </is>
      </c>
      <c r="G109" s="13" t="inlineStr">
        <is>
          <t>Rohit Kaleon</t>
        </is>
      </c>
      <c r="H109" s="13" t="inlineStr">
        <is>
          <t>Anya Kaleon</t>
        </is>
      </c>
      <c r="I109" s="19" t="n">
        <v>45767</v>
      </c>
      <c r="J109" s="13" t="inlineStr">
        <is>
          <t>141 Birchwood Lane</t>
        </is>
      </c>
      <c r="K109" s="13" t="inlineStr">
        <is>
          <t>Emerald Road</t>
        </is>
      </c>
      <c r="L109" s="13" t="inlineStr">
        <is>
          <t>PIN:277862 NORTH ADELAIDE</t>
        </is>
      </c>
      <c r="M109" s="10" t="inlineStr">
        <is>
          <t>MHA/IND/00108</t>
        </is>
      </c>
      <c r="N109" s="18" t="n">
        <v>45872</v>
      </c>
    </row>
    <row r="110">
      <c r="A110" s="28" t="n">
        <v>109</v>
      </c>
      <c r="B110" s="1" t="inlineStr">
        <is>
          <t>RIYA RISHKAN</t>
        </is>
      </c>
      <c r="C110" s="18" t="n">
        <v>45865</v>
      </c>
      <c r="D110" s="13" t="inlineStr">
        <is>
          <t>TUGGERANONG</t>
        </is>
      </c>
      <c r="E110" s="12" t="inlineStr">
        <is>
          <t>IND/MEL/00109</t>
        </is>
      </c>
      <c r="F110" s="13" t="inlineStr">
        <is>
          <t>F</t>
        </is>
      </c>
      <c r="G110" s="13" t="inlineStr">
        <is>
          <t>Neil Rishkan</t>
        </is>
      </c>
      <c r="H110" s="13" t="inlineStr">
        <is>
          <t>Alya Rishkan</t>
        </is>
      </c>
      <c r="I110" s="19" t="n">
        <v>45873</v>
      </c>
      <c r="J110" s="13" t="inlineStr">
        <is>
          <t>57 Birchwood Lane</t>
        </is>
      </c>
      <c r="K110" s="13" t="inlineStr">
        <is>
          <t>Emerald Road</t>
        </is>
      </c>
      <c r="L110" s="13" t="inlineStr">
        <is>
          <t>PIN:771839 TUGGERANONG</t>
        </is>
      </c>
      <c r="M110" s="10" t="inlineStr">
        <is>
          <t>MHA/IND/00109</t>
        </is>
      </c>
      <c r="N110" s="18" t="n">
        <v>45852</v>
      </c>
    </row>
    <row r="111">
      <c r="A111" s="28" t="n">
        <v>110</v>
      </c>
      <c r="B111" s="1" t="inlineStr">
        <is>
          <t>ANYA SHARMA</t>
        </is>
      </c>
      <c r="C111" s="18" t="n">
        <v>45874</v>
      </c>
      <c r="D111" s="13" t="inlineStr">
        <is>
          <t>LIVERPOOL</t>
        </is>
      </c>
      <c r="E111" s="12" t="inlineStr">
        <is>
          <t>IND/MEL/00110</t>
        </is>
      </c>
      <c r="F111" s="13" t="inlineStr">
        <is>
          <t>F</t>
        </is>
      </c>
      <c r="G111" s="13" t="inlineStr">
        <is>
          <t>Dev Sharma</t>
        </is>
      </c>
      <c r="H111" s="13" t="inlineStr">
        <is>
          <t>Anya Sharma</t>
        </is>
      </c>
      <c r="I111" s="19" t="n">
        <v>45926</v>
      </c>
      <c r="J111" s="13" t="inlineStr">
        <is>
          <t>65 Birchwood Lane</t>
        </is>
      </c>
      <c r="K111" s="13" t="inlineStr">
        <is>
          <t>Emerald Road</t>
        </is>
      </c>
      <c r="L111" s="13" t="inlineStr">
        <is>
          <t>PIN:587081 LIVERPOOL</t>
        </is>
      </c>
      <c r="M111" s="10" t="inlineStr">
        <is>
          <t>MHA/IND/00110</t>
        </is>
      </c>
      <c r="N111" s="18" t="n">
        <v>45873</v>
      </c>
    </row>
    <row r="112">
      <c r="A112" s="28" t="n">
        <v>111</v>
      </c>
      <c r="B112" s="1" t="inlineStr">
        <is>
          <t>ANYA VALZARI</t>
        </is>
      </c>
      <c r="C112" s="18" t="n">
        <v>45670</v>
      </c>
      <c r="D112" s="13" t="inlineStr">
        <is>
          <t>BALLARAT CENTRAL</t>
        </is>
      </c>
      <c r="E112" s="12" t="inlineStr">
        <is>
          <t>IND/MEL/00111</t>
        </is>
      </c>
      <c r="F112" s="13" t="inlineStr">
        <is>
          <t>F</t>
        </is>
      </c>
      <c r="G112" s="13" t="inlineStr">
        <is>
          <t>Aren Valzari</t>
        </is>
      </c>
      <c r="H112" s="13" t="inlineStr">
        <is>
          <t>Anya Valzari</t>
        </is>
      </c>
      <c r="I112" s="19" t="n">
        <v>45679</v>
      </c>
      <c r="J112" s="13" t="inlineStr">
        <is>
          <t>74 Birchwood Lane</t>
        </is>
      </c>
      <c r="K112" s="13" t="inlineStr">
        <is>
          <t>Emerald Road</t>
        </is>
      </c>
      <c r="L112" s="13" t="inlineStr">
        <is>
          <t>PIN:832571 BALLARAT CENTRAL</t>
        </is>
      </c>
      <c r="M112" s="10" t="inlineStr">
        <is>
          <t>MHA/IND/00111</t>
        </is>
      </c>
      <c r="N112" s="18" t="n">
        <v>45844</v>
      </c>
    </row>
    <row r="113">
      <c r="A113" s="28" t="n">
        <v>112</v>
      </c>
      <c r="B113" s="1" t="inlineStr">
        <is>
          <t>ARJUN SINDALE</t>
        </is>
      </c>
      <c r="C113" s="18" t="n">
        <v>45874</v>
      </c>
      <c r="D113" s="13" t="inlineStr">
        <is>
          <t>FREMANTLE</t>
        </is>
      </c>
      <c r="E113" s="12" t="inlineStr">
        <is>
          <t>IND/MEL/00112</t>
        </is>
      </c>
      <c r="F113" s="13" t="inlineStr">
        <is>
          <t>M</t>
        </is>
      </c>
      <c r="G113" s="13" t="inlineStr">
        <is>
          <t>Ishan Sindale</t>
        </is>
      </c>
      <c r="H113" s="13" t="inlineStr">
        <is>
          <t>Nina Sindale</t>
        </is>
      </c>
      <c r="I113" s="19" t="n">
        <v>45982</v>
      </c>
      <c r="J113" s="13" t="inlineStr">
        <is>
          <t>26 Birchwood Lane</t>
        </is>
      </c>
      <c r="K113" s="13" t="inlineStr">
        <is>
          <t>Emerald Road</t>
        </is>
      </c>
      <c r="L113" s="13" t="inlineStr">
        <is>
          <t>PIN:919321 FREMANTLE</t>
        </is>
      </c>
      <c r="M113" s="10" t="inlineStr">
        <is>
          <t>MHA/IND/00112</t>
        </is>
      </c>
      <c r="N113" s="18" t="n">
        <v>45897</v>
      </c>
    </row>
    <row r="114">
      <c r="A114" s="28" t="n">
        <v>113</v>
      </c>
      <c r="B114" s="1" t="inlineStr">
        <is>
          <t>TARA KALEON</t>
        </is>
      </c>
      <c r="C114" s="18" t="n">
        <v>45783</v>
      </c>
      <c r="D114" s="13" t="inlineStr">
        <is>
          <t>IPSWICH</t>
        </is>
      </c>
      <c r="E114" s="12" t="inlineStr">
        <is>
          <t>IND/MEL/00113</t>
        </is>
      </c>
      <c r="F114" s="13" t="inlineStr">
        <is>
          <t>F</t>
        </is>
      </c>
      <c r="G114" s="13" t="inlineStr">
        <is>
          <t>Rohit Kaleon</t>
        </is>
      </c>
      <c r="H114" s="13" t="inlineStr">
        <is>
          <t>Tara Kaleon</t>
        </is>
      </c>
      <c r="I114" s="19" t="n">
        <v>45863</v>
      </c>
      <c r="J114" s="13" t="inlineStr">
        <is>
          <t>109 Birchwood Lane</t>
        </is>
      </c>
      <c r="K114" s="13" t="inlineStr">
        <is>
          <t>Emerald Road</t>
        </is>
      </c>
      <c r="L114" s="13" t="inlineStr">
        <is>
          <t>PIN:713260 IPSWICH</t>
        </is>
      </c>
      <c r="M114" s="10" t="inlineStr">
        <is>
          <t>MHA/IND/00113</t>
        </is>
      </c>
      <c r="N114" s="18" t="n">
        <v>45862</v>
      </c>
    </row>
    <row r="115">
      <c r="A115" s="28" t="n">
        <v>114</v>
      </c>
      <c r="B115" s="1" t="inlineStr">
        <is>
          <t>KIRAN SHARMA</t>
        </is>
      </c>
      <c r="C115" s="18" t="n">
        <v>45945</v>
      </c>
      <c r="D115" s="13" t="inlineStr">
        <is>
          <t>MILDURA</t>
        </is>
      </c>
      <c r="E115" s="12" t="inlineStr">
        <is>
          <t>IND/MEL/00114</t>
        </is>
      </c>
      <c r="F115" s="13" t="inlineStr">
        <is>
          <t>M</t>
        </is>
      </c>
      <c r="G115" s="13" t="inlineStr">
        <is>
          <t>Ishan Sharma</t>
        </is>
      </c>
      <c r="H115" s="13" t="inlineStr">
        <is>
          <t>Riya Sharma</t>
        </is>
      </c>
      <c r="I115" s="19" t="n">
        <v>45955</v>
      </c>
      <c r="J115" s="13" t="inlineStr">
        <is>
          <t>21 Birchwood Lane</t>
        </is>
      </c>
      <c r="K115" s="13" t="inlineStr">
        <is>
          <t>Emerald Road</t>
        </is>
      </c>
      <c r="L115" s="13" t="inlineStr">
        <is>
          <t>PIN:384008 MILDURA</t>
        </is>
      </c>
      <c r="M115" s="10" t="inlineStr">
        <is>
          <t>MHA/IND/00114</t>
        </is>
      </c>
      <c r="N115" s="18" t="n">
        <v>45850</v>
      </c>
    </row>
    <row r="116">
      <c r="A116" s="28" t="n">
        <v>115</v>
      </c>
      <c r="B116" s="1" t="inlineStr">
        <is>
          <t>ANYA RAO</t>
        </is>
      </c>
      <c r="C116" s="18" t="n">
        <v>45679</v>
      </c>
      <c r="D116" s="13" t="inlineStr">
        <is>
          <t>ST ALBANS</t>
        </is>
      </c>
      <c r="E116" s="12" t="inlineStr">
        <is>
          <t>IND/MEL/00115</t>
        </is>
      </c>
      <c r="F116" s="13" t="inlineStr">
        <is>
          <t>F</t>
        </is>
      </c>
      <c r="G116" s="13" t="inlineStr">
        <is>
          <t>Neil Rao</t>
        </is>
      </c>
      <c r="H116" s="13" t="inlineStr">
        <is>
          <t>Tara Rao</t>
        </is>
      </c>
      <c r="I116" s="19" t="n">
        <v>45704</v>
      </c>
      <c r="J116" s="13" t="inlineStr">
        <is>
          <t>198 Birchwood Lane</t>
        </is>
      </c>
      <c r="K116" s="13" t="inlineStr">
        <is>
          <t>Emerald Road</t>
        </is>
      </c>
      <c r="L116" s="13" t="inlineStr">
        <is>
          <t>PIN:435572 ST ALBANS</t>
        </is>
      </c>
      <c r="M116" s="10" t="inlineStr">
        <is>
          <t>MHA/IND/00115</t>
        </is>
      </c>
      <c r="N116" s="18" t="n">
        <v>45888</v>
      </c>
    </row>
    <row r="117">
      <c r="A117" s="28" t="n">
        <v>116</v>
      </c>
      <c r="B117" s="1" t="inlineStr">
        <is>
          <t>DIYA MYRTHOS</t>
        </is>
      </c>
      <c r="C117" s="33" t="n">
        <v>45928</v>
      </c>
      <c r="D117" s="13" t="inlineStr">
        <is>
          <t>BENDIGO</t>
        </is>
      </c>
      <c r="E117" s="12" t="inlineStr">
        <is>
          <t>IND/MEL/00116</t>
        </is>
      </c>
      <c r="F117" s="13" t="inlineStr">
        <is>
          <t>F</t>
        </is>
      </c>
      <c r="G117" s="11" t="inlineStr">
        <is>
          <t>Rohit Myrthos</t>
        </is>
      </c>
      <c r="H117" s="11" t="inlineStr">
        <is>
          <t>Alya Myrthos</t>
        </is>
      </c>
      <c r="I117" s="33" t="n">
        <v>45960</v>
      </c>
      <c r="J117" s="13" t="inlineStr">
        <is>
          <t>157 Birchwood Lane</t>
        </is>
      </c>
      <c r="K117" s="13" t="inlineStr">
        <is>
          <t>Emerald Road</t>
        </is>
      </c>
      <c r="L117" s="13" t="inlineStr">
        <is>
          <t>PIN:557614 BENDIGO</t>
        </is>
      </c>
      <c r="M117" s="13" t="inlineStr">
        <is>
          <t>MHA/IND/00116</t>
        </is>
      </c>
      <c r="N117" s="18" t="n">
        <v>45881</v>
      </c>
    </row>
    <row r="118">
      <c r="A118" s="28" t="n">
        <v>117</v>
      </c>
      <c r="B118" s="1" t="inlineStr">
        <is>
          <t>DIYA RISHKAN</t>
        </is>
      </c>
      <c r="C118" s="33" t="n">
        <v>45947</v>
      </c>
      <c r="D118" s="11" t="inlineStr">
        <is>
          <t>WOLLONGONG</t>
        </is>
      </c>
      <c r="E118" s="12" t="inlineStr">
        <is>
          <t>IND/MEL/00117</t>
        </is>
      </c>
      <c r="F118" s="13" t="inlineStr">
        <is>
          <t>F</t>
        </is>
      </c>
      <c r="G118" s="11" t="inlineStr">
        <is>
          <t>Kabir Rishkan</t>
        </is>
      </c>
      <c r="H118" s="11" t="inlineStr">
        <is>
          <t>Nina Rishkan</t>
        </is>
      </c>
      <c r="I118" s="33" t="n">
        <v>46053</v>
      </c>
      <c r="J118" s="11" t="inlineStr">
        <is>
          <t>77 Birchwood Lane</t>
        </is>
      </c>
      <c r="K118" s="13" t="inlineStr">
        <is>
          <t>Emerald Road</t>
        </is>
      </c>
      <c r="L118" s="13" t="inlineStr">
        <is>
          <t>PIN:990720 WOLLONGONG</t>
        </is>
      </c>
      <c r="M118" s="13" t="inlineStr">
        <is>
          <t>MHA/IND/00117</t>
        </is>
      </c>
      <c r="N118" s="18" t="n">
        <v>45870</v>
      </c>
    </row>
    <row r="119" ht="30" customHeight="1">
      <c r="A119" s="28" t="n">
        <v>118</v>
      </c>
      <c r="B119" s="1" t="inlineStr">
        <is>
          <t>ANYA VALZARI</t>
        </is>
      </c>
      <c r="C119" s="33" t="n">
        <v>45765</v>
      </c>
      <c r="D119" s="11" t="inlineStr">
        <is>
          <t>WERRIBEE</t>
        </is>
      </c>
      <c r="E119" s="12" t="inlineStr">
        <is>
          <t>IND/MEL/00118</t>
        </is>
      </c>
      <c r="F119" s="13" t="inlineStr">
        <is>
          <t>F</t>
        </is>
      </c>
      <c r="G119" s="11" t="inlineStr">
        <is>
          <t>Neil Valzari</t>
        </is>
      </c>
      <c r="H119" s="11" t="inlineStr">
        <is>
          <t>Diya Valzari</t>
        </is>
      </c>
      <c r="I119" s="33" t="n">
        <v>45824</v>
      </c>
      <c r="J119" s="11" t="inlineStr">
        <is>
          <t>59 Birchwood Lane</t>
        </is>
      </c>
      <c r="K119" s="13" t="inlineStr">
        <is>
          <t>Emerald Road</t>
        </is>
      </c>
      <c r="L119" s="13" t="inlineStr">
        <is>
          <t>PIN:686666 WERRIBEE</t>
        </is>
      </c>
      <c r="M119" s="13" t="inlineStr">
        <is>
          <t>MHA/IND/00118</t>
        </is>
      </c>
      <c r="N119" s="18" t="n">
        <v>45879</v>
      </c>
    </row>
    <row r="120">
      <c r="A120" s="28" t="n">
        <v>119</v>
      </c>
      <c r="B120" s="1" t="inlineStr">
        <is>
          <t>DEV MYRTHOS</t>
        </is>
      </c>
      <c r="C120" s="33" t="n">
        <v>45887</v>
      </c>
      <c r="D120" s="11" t="inlineStr">
        <is>
          <t>MIDLAND</t>
        </is>
      </c>
      <c r="E120" s="12" t="inlineStr">
        <is>
          <t>IND/MEL/00119</t>
        </is>
      </c>
      <c r="F120" s="13" t="inlineStr">
        <is>
          <t>M</t>
        </is>
      </c>
      <c r="G120" s="11" t="inlineStr">
        <is>
          <t>Kabir Myrthos</t>
        </is>
      </c>
      <c r="H120" s="11" t="inlineStr">
        <is>
          <t>Mira Myrthos</t>
        </is>
      </c>
      <c r="I120" s="33" t="n">
        <v>45936</v>
      </c>
      <c r="J120" s="11" t="inlineStr">
        <is>
          <t>68 Birchwood Lane</t>
        </is>
      </c>
      <c r="K120" s="13" t="inlineStr">
        <is>
          <t>Emerald Road</t>
        </is>
      </c>
      <c r="L120" s="13" t="inlineStr">
        <is>
          <t>PIN:921614 MIDLAND</t>
        </is>
      </c>
      <c r="M120" s="13" t="inlineStr">
        <is>
          <t>MHA/IND/00119</t>
        </is>
      </c>
      <c r="N120" s="18" t="n">
        <v>45844</v>
      </c>
    </row>
    <row r="121">
      <c r="A121" s="28" t="n">
        <v>120</v>
      </c>
      <c r="B121" s="1" t="inlineStr">
        <is>
          <t>NINA MYRTHOS</t>
        </is>
      </c>
      <c r="C121" s="33" t="n">
        <v>45686</v>
      </c>
      <c r="D121" s="11" t="inlineStr">
        <is>
          <t>BUNDOORA</t>
        </is>
      </c>
      <c r="E121" s="12" t="inlineStr">
        <is>
          <t>IND/MEL/00120</t>
        </is>
      </c>
      <c r="F121" s="13" t="inlineStr">
        <is>
          <t>F</t>
        </is>
      </c>
      <c r="G121" s="11" t="inlineStr">
        <is>
          <t>Ishan Myrthos</t>
        </is>
      </c>
      <c r="H121" s="11" t="inlineStr">
        <is>
          <t>Alya Myrthos</t>
        </is>
      </c>
      <c r="I121" s="33" t="n">
        <v>45704</v>
      </c>
      <c r="J121" s="11" t="inlineStr">
        <is>
          <t>191 Birchwood Lane</t>
        </is>
      </c>
      <c r="K121" s="13" t="inlineStr">
        <is>
          <t>Emerald Road</t>
        </is>
      </c>
      <c r="L121" s="13" t="inlineStr">
        <is>
          <t>PIN:383372 BUNDOORA</t>
        </is>
      </c>
      <c r="M121" s="13" t="inlineStr">
        <is>
          <t>MHA/IND/00120</t>
        </is>
      </c>
      <c r="N121" s="18" t="n">
        <v>45898</v>
      </c>
    </row>
    <row r="122">
      <c r="A122" s="28" t="n">
        <v>121</v>
      </c>
      <c r="B122" s="1" t="inlineStr">
        <is>
          <t>ARJUN SINDALE</t>
        </is>
      </c>
      <c r="C122" s="33" t="n">
        <v>45768</v>
      </c>
      <c r="D122" s="11" t="inlineStr">
        <is>
          <t>ADELAIDE</t>
        </is>
      </c>
      <c r="E122" s="12" t="inlineStr">
        <is>
          <t>IND/MEL/00121</t>
        </is>
      </c>
      <c r="F122" s="13" t="inlineStr">
        <is>
          <t>M</t>
        </is>
      </c>
      <c r="G122" s="11" t="inlineStr">
        <is>
          <t>Aren Sindale</t>
        </is>
      </c>
      <c r="H122" s="11" t="inlineStr">
        <is>
          <t>Alya Sindale</t>
        </is>
      </c>
      <c r="I122" s="33" t="n">
        <v>45805</v>
      </c>
      <c r="J122" s="11" t="inlineStr">
        <is>
          <t>28 Birchwood Lane</t>
        </is>
      </c>
      <c r="K122" s="13" t="inlineStr">
        <is>
          <t>Emerald Road</t>
        </is>
      </c>
      <c r="L122" s="13" t="inlineStr">
        <is>
          <t>PIN:703922 ADELAIDE</t>
        </is>
      </c>
      <c r="M122" s="13" t="inlineStr">
        <is>
          <t>MHA/IND/00121</t>
        </is>
      </c>
      <c r="N122" s="18" t="n">
        <v>45853</v>
      </c>
    </row>
    <row r="123" ht="30" customHeight="1">
      <c r="A123" s="28" t="n">
        <v>122</v>
      </c>
      <c r="B123" s="1" t="inlineStr">
        <is>
          <t>DIYA SHARMA</t>
        </is>
      </c>
      <c r="C123" s="33" t="n">
        <v>45701</v>
      </c>
      <c r="D123" s="11" t="inlineStr">
        <is>
          <t>TOOWOOMBA</t>
        </is>
      </c>
      <c r="E123" s="12" t="inlineStr">
        <is>
          <t>IND/MEL/00122</t>
        </is>
      </c>
      <c r="F123" s="13" t="inlineStr">
        <is>
          <t>F</t>
        </is>
      </c>
      <c r="G123" s="11" t="inlineStr">
        <is>
          <t>Arjun Sharma</t>
        </is>
      </c>
      <c r="H123" s="11" t="inlineStr">
        <is>
          <t>Alya Sharma</t>
        </is>
      </c>
      <c r="I123" s="33" t="n">
        <v>45738</v>
      </c>
      <c r="J123" s="11" t="inlineStr">
        <is>
          <t>185 Birchwood Lane</t>
        </is>
      </c>
      <c r="K123" s="13" t="inlineStr">
        <is>
          <t>Emerald Road</t>
        </is>
      </c>
      <c r="L123" s="13" t="inlineStr">
        <is>
          <t>PIN:926264 TOOWOOMBA</t>
        </is>
      </c>
      <c r="M123" s="13" t="inlineStr">
        <is>
          <t>MHA/IND/00122</t>
        </is>
      </c>
      <c r="N123" s="18" t="n">
        <v>45841</v>
      </c>
    </row>
    <row r="124">
      <c r="A124" s="28" t="n">
        <v>123</v>
      </c>
      <c r="B124" s="1" t="inlineStr">
        <is>
          <t>ISHAN SINDALE</t>
        </is>
      </c>
      <c r="C124" s="18" t="n">
        <v>45709</v>
      </c>
      <c r="D124" s="13" t="inlineStr">
        <is>
          <t>PERTH</t>
        </is>
      </c>
      <c r="E124" s="12" t="inlineStr">
        <is>
          <t>IND/MEL/00123</t>
        </is>
      </c>
      <c r="F124" s="13" t="inlineStr">
        <is>
          <t>M</t>
        </is>
      </c>
      <c r="G124" s="13" t="inlineStr">
        <is>
          <t>Arjun Sindale</t>
        </is>
      </c>
      <c r="H124" s="13" t="inlineStr">
        <is>
          <t>Sara Sindale</t>
        </is>
      </c>
      <c r="I124" s="19" t="n">
        <v>45797</v>
      </c>
      <c r="J124" s="13" t="inlineStr">
        <is>
          <t>166 Birchwood Lane</t>
        </is>
      </c>
      <c r="K124" s="13" t="inlineStr">
        <is>
          <t>Emerald Road</t>
        </is>
      </c>
      <c r="L124" s="13" t="inlineStr">
        <is>
          <t>PIN:836568 PERTH</t>
        </is>
      </c>
      <c r="M124" s="10" t="inlineStr">
        <is>
          <t>MHA/IND/00123</t>
        </is>
      </c>
      <c r="N124" s="18" t="n">
        <v>45851</v>
      </c>
    </row>
    <row r="125" ht="30" customHeight="1">
      <c r="A125" s="28" t="n">
        <v>124</v>
      </c>
      <c r="B125" s="1" t="inlineStr">
        <is>
          <t>ALYA RAO</t>
        </is>
      </c>
      <c r="C125" s="33" t="n">
        <v>45811</v>
      </c>
      <c r="D125" s="11" t="inlineStr">
        <is>
          <t>NEWCASTLE</t>
        </is>
      </c>
      <c r="E125" s="12" t="inlineStr">
        <is>
          <t>IND/MEL/00124</t>
        </is>
      </c>
      <c r="F125" s="13" t="inlineStr">
        <is>
          <t>F</t>
        </is>
      </c>
      <c r="G125" s="11" t="inlineStr">
        <is>
          <t>Ishan Rao</t>
        </is>
      </c>
      <c r="H125" s="11" t="inlineStr">
        <is>
          <t>Diya Rao</t>
        </is>
      </c>
      <c r="I125" s="18" t="n">
        <v>45898</v>
      </c>
      <c r="J125" s="13" t="inlineStr">
        <is>
          <t>190 Birchwood Lane</t>
        </is>
      </c>
      <c r="K125" s="13" t="inlineStr">
        <is>
          <t>Emerald Road</t>
        </is>
      </c>
      <c r="L125" s="13" t="inlineStr">
        <is>
          <t>PIN:596001 NEWCASTLE</t>
        </is>
      </c>
      <c r="M125" s="13" t="inlineStr">
        <is>
          <t>MHA/IND/00124</t>
        </is>
      </c>
      <c r="N125" s="18" t="n">
        <v>45849</v>
      </c>
    </row>
    <row r="126">
      <c r="A126" s="28" t="n">
        <v>125</v>
      </c>
      <c r="B126" s="1" t="inlineStr">
        <is>
          <t>ISHAN SINDALE</t>
        </is>
      </c>
      <c r="C126" s="33" t="n">
        <v>45699</v>
      </c>
      <c r="D126" s="11" t="inlineStr">
        <is>
          <t>SHEPPARTON</t>
        </is>
      </c>
      <c r="E126" s="12" t="inlineStr">
        <is>
          <t>IND/MEL/00125</t>
        </is>
      </c>
      <c r="F126" s="13" t="inlineStr">
        <is>
          <t>M</t>
        </is>
      </c>
      <c r="G126" s="11" t="inlineStr">
        <is>
          <t>Kabir Sindale</t>
        </is>
      </c>
      <c r="H126" s="11" t="inlineStr">
        <is>
          <t>Tara Sindale</t>
        </is>
      </c>
      <c r="I126" s="18" t="n">
        <v>45721</v>
      </c>
      <c r="J126" s="11" t="inlineStr">
        <is>
          <t>189 Birchwood Lane</t>
        </is>
      </c>
      <c r="K126" s="13" t="inlineStr">
        <is>
          <t>Emerald Road</t>
        </is>
      </c>
      <c r="L126" s="13" t="inlineStr">
        <is>
          <t>PIN:454480 SHEPPARTON</t>
        </is>
      </c>
      <c r="M126" s="13" t="inlineStr">
        <is>
          <t>MHA/IND/00125</t>
        </is>
      </c>
      <c r="N126" s="18" t="n">
        <v>45883</v>
      </c>
    </row>
    <row r="127">
      <c r="A127" s="28" t="n">
        <v>126</v>
      </c>
      <c r="B127" s="1" t="inlineStr">
        <is>
          <t>ISHAN KALEON</t>
        </is>
      </c>
      <c r="C127" s="33" t="n">
        <v>45945</v>
      </c>
      <c r="D127" s="11" t="inlineStr">
        <is>
          <t>MOUNT WAVERLEY</t>
        </is>
      </c>
      <c r="E127" s="12" t="inlineStr">
        <is>
          <t>IND/MEL/00126</t>
        </is>
      </c>
      <c r="F127" s="13" t="inlineStr">
        <is>
          <t>M</t>
        </is>
      </c>
      <c r="G127" s="11" t="inlineStr">
        <is>
          <t>Aren Kaleon</t>
        </is>
      </c>
      <c r="H127" s="11" t="inlineStr">
        <is>
          <t>Nina Kaleon</t>
        </is>
      </c>
      <c r="I127" s="18" t="n">
        <v>46061</v>
      </c>
      <c r="J127" s="13" t="inlineStr">
        <is>
          <t>137 Birchwood Lane</t>
        </is>
      </c>
      <c r="K127" s="13" t="inlineStr">
        <is>
          <t>Emerald Road</t>
        </is>
      </c>
      <c r="L127" s="13" t="inlineStr">
        <is>
          <t>PIN:600100 MOUNT WAVERLEY</t>
        </is>
      </c>
      <c r="M127" s="13" t="inlineStr">
        <is>
          <t>MHA/IND/00126</t>
        </is>
      </c>
      <c r="N127" s="18" t="n">
        <v>45843</v>
      </c>
    </row>
    <row r="128">
      <c r="A128" s="28" t="n">
        <v>127</v>
      </c>
      <c r="B128" s="1" t="inlineStr">
        <is>
          <t>KIRAN MYRTHOS</t>
        </is>
      </c>
      <c r="C128" s="33" t="n">
        <v>45736</v>
      </c>
      <c r="D128" s="11" t="inlineStr">
        <is>
          <t>DEVONPORT</t>
        </is>
      </c>
      <c r="E128" s="12" t="inlineStr">
        <is>
          <t>IND/MEL/00127</t>
        </is>
      </c>
      <c r="F128" s="13" t="inlineStr">
        <is>
          <t>M</t>
        </is>
      </c>
      <c r="G128" s="11" t="inlineStr">
        <is>
          <t>Arjun Myrthos</t>
        </is>
      </c>
      <c r="H128" s="11" t="inlineStr">
        <is>
          <t>Mira Myrthos</t>
        </is>
      </c>
      <c r="I128" s="18" t="n">
        <v>45837</v>
      </c>
      <c r="J128" s="13" t="inlineStr">
        <is>
          <t>125 Birchwood Lane</t>
        </is>
      </c>
      <c r="K128" s="13" t="inlineStr">
        <is>
          <t>Emerald Road</t>
        </is>
      </c>
      <c r="L128" s="13" t="inlineStr">
        <is>
          <t>PIN:206474 DEVONPORT</t>
        </is>
      </c>
      <c r="M128" s="13" t="inlineStr">
        <is>
          <t>MHA/IND/00127</t>
        </is>
      </c>
      <c r="N128" s="18" t="n">
        <v>45862</v>
      </c>
    </row>
    <row r="129">
      <c r="A129" s="28" t="n">
        <v>128</v>
      </c>
      <c r="B129" s="1" t="inlineStr">
        <is>
          <t>ISHAN MYRTHOS</t>
        </is>
      </c>
      <c r="C129" s="33" t="n">
        <v>45828</v>
      </c>
      <c r="D129" s="11" t="inlineStr">
        <is>
          <t>BENDIGO</t>
        </is>
      </c>
      <c r="E129" s="12" t="inlineStr">
        <is>
          <t>IND/MEL/00128</t>
        </is>
      </c>
      <c r="F129" s="13" t="inlineStr">
        <is>
          <t>M</t>
        </is>
      </c>
      <c r="G129" s="11" t="inlineStr">
        <is>
          <t>Aren Myrthos</t>
        </is>
      </c>
      <c r="H129" s="11" t="inlineStr">
        <is>
          <t>Anya Myrthos</t>
        </is>
      </c>
      <c r="I129" s="18" t="n">
        <v>45844</v>
      </c>
      <c r="J129" s="13" t="inlineStr">
        <is>
          <t>153 Birchwood Lane</t>
        </is>
      </c>
      <c r="K129" s="13" t="inlineStr">
        <is>
          <t>Emerald Road</t>
        </is>
      </c>
      <c r="L129" s="13" t="inlineStr">
        <is>
          <t>PIN:734089 BENDIGO</t>
        </is>
      </c>
      <c r="M129" s="13" t="inlineStr">
        <is>
          <t>MHA/IND/00128</t>
        </is>
      </c>
      <c r="N129" s="18" t="n">
        <v>45844</v>
      </c>
    </row>
    <row r="130" ht="30" customHeight="1">
      <c r="A130" s="28" t="n">
        <v>129</v>
      </c>
      <c r="B130" s="1" t="inlineStr">
        <is>
          <t>AREN SINDALE</t>
        </is>
      </c>
      <c r="C130" s="33" t="n">
        <v>45838</v>
      </c>
      <c r="D130" s="11" t="inlineStr">
        <is>
          <t>SHEPPARTON</t>
        </is>
      </c>
      <c r="E130" s="12" t="inlineStr">
        <is>
          <t>IND/MEL/00129</t>
        </is>
      </c>
      <c r="F130" s="13" t="inlineStr">
        <is>
          <t>M</t>
        </is>
      </c>
      <c r="G130" s="11" t="inlineStr">
        <is>
          <t>Kiran Sindale</t>
        </is>
      </c>
      <c r="H130" s="11" t="inlineStr">
        <is>
          <t>Tara Sindale</t>
        </is>
      </c>
      <c r="I130" s="18" t="n">
        <v>45918</v>
      </c>
      <c r="J130" s="13" t="inlineStr">
        <is>
          <t>62 Birchwood Lane</t>
        </is>
      </c>
      <c r="K130" s="13" t="inlineStr">
        <is>
          <t>Emerald Road</t>
        </is>
      </c>
      <c r="L130" s="13" t="inlineStr">
        <is>
          <t>PIN:334715 SHEPPARTON</t>
        </is>
      </c>
      <c r="M130" s="13" t="inlineStr">
        <is>
          <t>MHA/IND/00129</t>
        </is>
      </c>
      <c r="N130" s="18" t="n">
        <v>45890</v>
      </c>
    </row>
    <row r="131">
      <c r="A131" s="28" t="n">
        <v>130</v>
      </c>
      <c r="B131" s="1" t="inlineStr">
        <is>
          <t>ARJUN SHARMA</t>
        </is>
      </c>
      <c r="C131" s="33" t="n">
        <v>45900</v>
      </c>
      <c r="D131" s="11" t="inlineStr">
        <is>
          <t>WODONGA</t>
        </is>
      </c>
      <c r="E131" s="12" t="inlineStr">
        <is>
          <t>IND/MEL/00130</t>
        </is>
      </c>
      <c r="F131" s="13" t="inlineStr">
        <is>
          <t>M</t>
        </is>
      </c>
      <c r="G131" s="11" t="inlineStr">
        <is>
          <t>Dev Sharma</t>
        </is>
      </c>
      <c r="H131" s="11" t="inlineStr">
        <is>
          <t>Riya Sharma</t>
        </is>
      </c>
      <c r="I131" s="18" t="n">
        <v>45984</v>
      </c>
      <c r="J131" s="13" t="inlineStr">
        <is>
          <t>93 Birchwood Lane</t>
        </is>
      </c>
      <c r="K131" s="13" t="inlineStr">
        <is>
          <t>Emerald Road</t>
        </is>
      </c>
      <c r="L131" s="13" t="inlineStr">
        <is>
          <t>PIN:490957 WODONGA</t>
        </is>
      </c>
      <c r="M131" s="13" t="inlineStr">
        <is>
          <t>MHA/IND/00130</t>
        </is>
      </c>
      <c r="N131" s="18" t="n">
        <v>45846</v>
      </c>
    </row>
    <row r="132" ht="30" customHeight="1">
      <c r="A132" s="28" t="n">
        <v>131</v>
      </c>
      <c r="B132" s="1" t="inlineStr">
        <is>
          <t>ALYA RAO</t>
        </is>
      </c>
      <c r="C132" s="33" t="n">
        <v>45953</v>
      </c>
      <c r="D132" s="11" t="inlineStr">
        <is>
          <t>PENRITH</t>
        </is>
      </c>
      <c r="E132" s="12" t="inlineStr">
        <is>
          <t>IND/MEL/00131</t>
        </is>
      </c>
      <c r="F132" s="13" t="inlineStr">
        <is>
          <t>F</t>
        </is>
      </c>
      <c r="G132" s="11" t="inlineStr">
        <is>
          <t>Neil Rao</t>
        </is>
      </c>
      <c r="H132" s="11" t="inlineStr">
        <is>
          <t>Mira Rao</t>
        </is>
      </c>
      <c r="I132" s="18" t="n">
        <v>45959</v>
      </c>
      <c r="J132" s="13" t="inlineStr">
        <is>
          <t>159 Birchwood Lane</t>
        </is>
      </c>
      <c r="K132" s="13" t="inlineStr">
        <is>
          <t>Emerald Road</t>
        </is>
      </c>
      <c r="L132" s="13" t="inlineStr">
        <is>
          <t>PIN:895389 PENRITH</t>
        </is>
      </c>
      <c r="M132" s="13" t="inlineStr">
        <is>
          <t>MHA/IND/00131</t>
        </is>
      </c>
      <c r="N132" s="18" t="n">
        <v>45845</v>
      </c>
    </row>
    <row r="133">
      <c r="A133" s="28" t="n">
        <v>132</v>
      </c>
      <c r="B133" s="1" t="inlineStr">
        <is>
          <t>DIYA KALEON</t>
        </is>
      </c>
      <c r="C133" s="33" t="n">
        <v>45774</v>
      </c>
      <c r="D133" s="11" t="inlineStr">
        <is>
          <t>WODONGA</t>
        </is>
      </c>
      <c r="E133" s="12" t="inlineStr">
        <is>
          <t>IND/MEL/00132</t>
        </is>
      </c>
      <c r="F133" s="13" t="inlineStr">
        <is>
          <t>F</t>
        </is>
      </c>
      <c r="G133" s="11" t="inlineStr">
        <is>
          <t>Ishan Kaleon</t>
        </is>
      </c>
      <c r="H133" s="11" t="inlineStr">
        <is>
          <t>Alya Kaleon</t>
        </is>
      </c>
      <c r="I133" s="18" t="n">
        <v>45805</v>
      </c>
      <c r="J133" s="13" t="inlineStr">
        <is>
          <t>21 Birchwood Lane</t>
        </is>
      </c>
      <c r="K133" s="13" t="inlineStr">
        <is>
          <t>Emerald Road</t>
        </is>
      </c>
      <c r="L133" s="13" t="inlineStr">
        <is>
          <t>PIN:899035 WODONGA</t>
        </is>
      </c>
      <c r="M133" s="13" t="inlineStr">
        <is>
          <t>MHA/IND/00132</t>
        </is>
      </c>
      <c r="N133" s="18" t="n">
        <v>45898</v>
      </c>
    </row>
    <row r="134">
      <c r="A134" s="28" t="n">
        <v>133</v>
      </c>
      <c r="B134" s="1" t="inlineStr">
        <is>
          <t>ANYA RAO</t>
        </is>
      </c>
      <c r="C134" s="33" t="n">
        <v>45936</v>
      </c>
      <c r="D134" s="11" t="inlineStr">
        <is>
          <t>IPSWICH</t>
        </is>
      </c>
      <c r="E134" s="12" t="inlineStr">
        <is>
          <t>IND/MEL/00133</t>
        </is>
      </c>
      <c r="F134" s="13" t="inlineStr">
        <is>
          <t>F</t>
        </is>
      </c>
      <c r="G134" s="11" t="inlineStr">
        <is>
          <t>Neil Rao</t>
        </is>
      </c>
      <c r="H134" s="11" t="inlineStr">
        <is>
          <t>Diya Rao</t>
        </is>
      </c>
      <c r="I134" s="18" t="n">
        <v>45992</v>
      </c>
      <c r="J134" s="13" t="inlineStr">
        <is>
          <t>125 Birchwood Lane</t>
        </is>
      </c>
      <c r="K134" s="13" t="inlineStr">
        <is>
          <t>Emerald Road</t>
        </is>
      </c>
      <c r="L134" s="13" t="inlineStr">
        <is>
          <t>PIN:344922 IPSWICH</t>
        </is>
      </c>
      <c r="M134" s="13" t="inlineStr">
        <is>
          <t>MHA/IND/00133</t>
        </is>
      </c>
      <c r="N134" s="18" t="n">
        <v>45877</v>
      </c>
    </row>
    <row r="135" ht="45" customHeight="1">
      <c r="A135" s="28" t="n">
        <v>134</v>
      </c>
      <c r="B135" s="1" t="inlineStr">
        <is>
          <t>NINA KALEON</t>
        </is>
      </c>
      <c r="C135" s="33" t="n">
        <v>45743</v>
      </c>
      <c r="D135" s="11" t="inlineStr">
        <is>
          <t>BERWICK</t>
        </is>
      </c>
      <c r="E135" s="12" t="inlineStr">
        <is>
          <t>IND/MEL/00134</t>
        </is>
      </c>
      <c r="F135" s="13" t="inlineStr">
        <is>
          <t>F</t>
        </is>
      </c>
      <c r="G135" s="11" t="inlineStr">
        <is>
          <t>Arjun Kaleon</t>
        </is>
      </c>
      <c r="H135" s="11" t="inlineStr">
        <is>
          <t>Anya Kaleon</t>
        </is>
      </c>
      <c r="I135" s="18" t="n">
        <v>45754</v>
      </c>
      <c r="J135" s="13" t="inlineStr">
        <is>
          <t>68 Birchwood Lane</t>
        </is>
      </c>
      <c r="K135" s="13" t="inlineStr">
        <is>
          <t>Emerald Road</t>
        </is>
      </c>
      <c r="L135" s="13" t="inlineStr">
        <is>
          <t>PIN:360661 BERWICK</t>
        </is>
      </c>
      <c r="M135" s="13" t="inlineStr">
        <is>
          <t>MHA/IND/00134</t>
        </is>
      </c>
      <c r="N135" s="18" t="n">
        <v>45872</v>
      </c>
    </row>
    <row r="136">
      <c r="A136" s="28" t="n">
        <v>135</v>
      </c>
      <c r="B136" s="1" t="inlineStr">
        <is>
          <t>ANYA MYRTHOS</t>
        </is>
      </c>
      <c r="C136" s="33" t="n">
        <v>45950</v>
      </c>
      <c r="D136" s="11" t="inlineStr">
        <is>
          <t>CANBERRA</t>
        </is>
      </c>
      <c r="E136" s="12" t="inlineStr">
        <is>
          <t>IND/MEL/00135</t>
        </is>
      </c>
      <c r="F136" s="13" t="inlineStr">
        <is>
          <t>F</t>
        </is>
      </c>
      <c r="G136" s="11" t="inlineStr">
        <is>
          <t>Arjun Myrthos</t>
        </is>
      </c>
      <c r="H136" s="11" t="inlineStr">
        <is>
          <t>Nina Myrthos</t>
        </is>
      </c>
      <c r="I136" s="18" t="n">
        <v>45969</v>
      </c>
      <c r="J136" s="13" t="inlineStr">
        <is>
          <t>196 Birchwood Lane</t>
        </is>
      </c>
      <c r="K136" s="13" t="inlineStr">
        <is>
          <t>Emerald Road</t>
        </is>
      </c>
      <c r="L136" s="13" t="inlineStr">
        <is>
          <t>PIN:308984 CANBERRA</t>
        </is>
      </c>
      <c r="M136" s="13" t="inlineStr">
        <is>
          <t>MHA/IND/00135</t>
        </is>
      </c>
      <c r="N136" s="18" t="n">
        <v>45840</v>
      </c>
    </row>
    <row r="137" ht="45" customHeight="1">
      <c r="A137" s="28" t="n">
        <v>136</v>
      </c>
      <c r="B137" s="1" t="inlineStr">
        <is>
          <t>ANYA KALEON</t>
        </is>
      </c>
      <c r="C137" s="33" t="n">
        <v>45659</v>
      </c>
      <c r="D137" s="11" t="inlineStr">
        <is>
          <t>CLAYTON</t>
        </is>
      </c>
      <c r="E137" s="12" t="inlineStr">
        <is>
          <t>IND/MEL/00136</t>
        </is>
      </c>
      <c r="F137" s="13" t="inlineStr">
        <is>
          <t>F</t>
        </is>
      </c>
      <c r="G137" s="11" t="inlineStr">
        <is>
          <t>Aren Kaleon</t>
        </is>
      </c>
      <c r="H137" s="11" t="inlineStr">
        <is>
          <t>Alya Kaleon</t>
        </is>
      </c>
      <c r="I137" s="18" t="n">
        <v>45686</v>
      </c>
      <c r="J137" s="13" t="inlineStr">
        <is>
          <t>37 Birchwood Lane</t>
        </is>
      </c>
      <c r="K137" s="13" t="inlineStr">
        <is>
          <t>Emerald Road</t>
        </is>
      </c>
      <c r="L137" s="13" t="inlineStr">
        <is>
          <t>PIN:907143 CLAYTON</t>
        </is>
      </c>
      <c r="M137" s="13" t="inlineStr">
        <is>
          <t>MHA/IND/00136</t>
        </is>
      </c>
      <c r="N137" s="18" t="n">
        <v>45858</v>
      </c>
    </row>
    <row r="138">
      <c r="A138" s="28" t="n">
        <v>137</v>
      </c>
      <c r="B138" s="1" t="inlineStr">
        <is>
          <t>RIYA MYRTHOS</t>
        </is>
      </c>
      <c r="C138" s="33" t="n">
        <v>45841</v>
      </c>
      <c r="D138" s="11" t="inlineStr">
        <is>
          <t>BRISBANE</t>
        </is>
      </c>
      <c r="E138" s="12" t="inlineStr">
        <is>
          <t>IND/MEL/00137</t>
        </is>
      </c>
      <c r="F138" s="13" t="inlineStr">
        <is>
          <t>F</t>
        </is>
      </c>
      <c r="G138" s="11" t="inlineStr">
        <is>
          <t>Aren Myrthos</t>
        </is>
      </c>
      <c r="H138" s="11" t="inlineStr">
        <is>
          <t>Sara Myrthos</t>
        </is>
      </c>
      <c r="I138" s="18" t="n">
        <v>45924</v>
      </c>
      <c r="J138" s="13" t="inlineStr">
        <is>
          <t>78 Birchwood Lane</t>
        </is>
      </c>
      <c r="K138" s="13" t="inlineStr">
        <is>
          <t>Emerald Road</t>
        </is>
      </c>
      <c r="L138" s="13" t="inlineStr">
        <is>
          <t>PIN:350260 BRISBANE</t>
        </is>
      </c>
      <c r="M138" s="13" t="inlineStr">
        <is>
          <t>MHA/IND/00137</t>
        </is>
      </c>
      <c r="N138" s="18" t="n">
        <v>45859</v>
      </c>
    </row>
    <row r="139" ht="45" customHeight="1">
      <c r="A139" s="28" t="n">
        <v>138</v>
      </c>
      <c r="B139" s="1" t="inlineStr">
        <is>
          <t>NEIL KALEON</t>
        </is>
      </c>
      <c r="C139" s="33" t="n">
        <v>45835</v>
      </c>
      <c r="D139" s="11" t="inlineStr">
        <is>
          <t>KINGSWOOD</t>
        </is>
      </c>
      <c r="E139" s="12" t="inlineStr">
        <is>
          <t>IND/MEL/00138</t>
        </is>
      </c>
      <c r="F139" s="13" t="inlineStr">
        <is>
          <t>M</t>
        </is>
      </c>
      <c r="G139" s="11" t="inlineStr">
        <is>
          <t>Kiran Kaleon</t>
        </is>
      </c>
      <c r="H139" s="11" t="inlineStr">
        <is>
          <t>Diya Kaleon</t>
        </is>
      </c>
      <c r="I139" s="18" t="n">
        <v>45893</v>
      </c>
      <c r="J139" s="13" t="inlineStr">
        <is>
          <t>112 Birchwood Lane</t>
        </is>
      </c>
      <c r="K139" s="13" t="inlineStr">
        <is>
          <t>Emerald Road</t>
        </is>
      </c>
      <c r="L139" s="13" t="inlineStr">
        <is>
          <t>PIN:337234 KINGSWOOD</t>
        </is>
      </c>
      <c r="M139" s="13" t="inlineStr">
        <is>
          <t>MHA/IND/00138</t>
        </is>
      </c>
      <c r="N139" s="18" t="n">
        <v>45846</v>
      </c>
    </row>
    <row r="140" ht="30" customHeight="1">
      <c r="A140" s="28" t="n">
        <v>139</v>
      </c>
      <c r="B140" s="1" t="inlineStr">
        <is>
          <t>KABIR SHARMA</t>
        </is>
      </c>
      <c r="C140" s="33" t="n">
        <v>45926</v>
      </c>
      <c r="D140" s="11" t="inlineStr">
        <is>
          <t>CAMPBELLTOWN</t>
        </is>
      </c>
      <c r="E140" s="12" t="inlineStr">
        <is>
          <t>IND/MEL/00139</t>
        </is>
      </c>
      <c r="F140" s="13" t="inlineStr">
        <is>
          <t>M</t>
        </is>
      </c>
      <c r="G140" s="11" t="inlineStr">
        <is>
          <t>Arjun Sharma</t>
        </is>
      </c>
      <c r="H140" s="11" t="inlineStr">
        <is>
          <t>Mira Sharma</t>
        </is>
      </c>
      <c r="I140" s="18" t="n">
        <v>45969</v>
      </c>
      <c r="J140" s="13" t="inlineStr">
        <is>
          <t>84 Birchwood Lane</t>
        </is>
      </c>
      <c r="K140" s="13" t="inlineStr">
        <is>
          <t>Emerald Road</t>
        </is>
      </c>
      <c r="L140" s="13" t="inlineStr">
        <is>
          <t>PIN:403707 CAMPBELLTOWN</t>
        </is>
      </c>
      <c r="M140" s="13" t="inlineStr">
        <is>
          <t>MHA/IND/00139</t>
        </is>
      </c>
      <c r="N140" s="18" t="n">
        <v>45896</v>
      </c>
    </row>
    <row r="141">
      <c r="A141" s="28" t="n">
        <v>140</v>
      </c>
      <c r="B141" s="1" t="inlineStr">
        <is>
          <t>ANYA RISHKAN</t>
        </is>
      </c>
      <c r="C141" s="33" t="n">
        <v>45663</v>
      </c>
      <c r="D141" s="11" t="inlineStr">
        <is>
          <t>BERWICK</t>
        </is>
      </c>
      <c r="E141" s="12" t="inlineStr">
        <is>
          <t>IND/MEL/00140</t>
        </is>
      </c>
      <c r="F141" s="13" t="inlineStr">
        <is>
          <t>F</t>
        </is>
      </c>
      <c r="G141" s="11" t="inlineStr">
        <is>
          <t>Arjun Rishkan</t>
        </is>
      </c>
      <c r="H141" s="11" t="inlineStr">
        <is>
          <t>Mira Rishkan</t>
        </is>
      </c>
      <c r="I141" s="18" t="n">
        <v>45730</v>
      </c>
      <c r="J141" s="13" t="inlineStr">
        <is>
          <t>61 Birchwood Lane</t>
        </is>
      </c>
      <c r="K141" s="13" t="inlineStr">
        <is>
          <t>Emerald Road</t>
        </is>
      </c>
      <c r="L141" s="13" t="inlineStr">
        <is>
          <t>PIN:379882 BERWICK</t>
        </is>
      </c>
      <c r="M141" s="13" t="inlineStr">
        <is>
          <t>MHA/IND/00140</t>
        </is>
      </c>
      <c r="N141" s="18" t="n">
        <v>45848</v>
      </c>
    </row>
    <row r="142">
      <c r="A142" s="28" t="n">
        <v>141</v>
      </c>
      <c r="B142" s="1" t="inlineStr">
        <is>
          <t>ISHAN RAO</t>
        </is>
      </c>
      <c r="C142" s="33" t="n">
        <v>45706</v>
      </c>
      <c r="D142" s="11" t="inlineStr">
        <is>
          <t>PERTH</t>
        </is>
      </c>
      <c r="E142" s="12" t="inlineStr">
        <is>
          <t>IND/MEL/00141</t>
        </is>
      </c>
      <c r="F142" s="13" t="inlineStr">
        <is>
          <t>M</t>
        </is>
      </c>
      <c r="G142" s="11" t="inlineStr">
        <is>
          <t>Arjun Rao</t>
        </is>
      </c>
      <c r="H142" s="11" t="inlineStr">
        <is>
          <t>Mira Rao</t>
        </is>
      </c>
      <c r="I142" s="18" t="n">
        <v>45815</v>
      </c>
      <c r="J142" s="13" t="inlineStr">
        <is>
          <t>15 Birchwood Lane</t>
        </is>
      </c>
      <c r="K142" s="13" t="inlineStr">
        <is>
          <t>Emerald Road</t>
        </is>
      </c>
      <c r="L142" s="13" t="inlineStr">
        <is>
          <t>PIN:909065 PERTH</t>
        </is>
      </c>
      <c r="M142" s="13" t="inlineStr">
        <is>
          <t>MHA/IND/00141</t>
        </is>
      </c>
      <c r="N142" s="18" t="n">
        <v>45884</v>
      </c>
    </row>
    <row r="143">
      <c r="A143" s="28" t="n">
        <v>142</v>
      </c>
      <c r="B143" s="1" t="inlineStr">
        <is>
          <t>DIYA SHARMA</t>
        </is>
      </c>
      <c r="C143" s="33" t="n">
        <v>45854</v>
      </c>
      <c r="D143" s="11" t="inlineStr">
        <is>
          <t>TRARALGON</t>
        </is>
      </c>
      <c r="E143" s="12" t="inlineStr">
        <is>
          <t>IND/MEL/00142</t>
        </is>
      </c>
      <c r="F143" s="13" t="inlineStr">
        <is>
          <t>F</t>
        </is>
      </c>
      <c r="G143" s="11" t="inlineStr">
        <is>
          <t>Rohit Sharma</t>
        </is>
      </c>
      <c r="H143" s="11" t="inlineStr">
        <is>
          <t>Anya Sharma</t>
        </is>
      </c>
      <c r="I143" s="18" t="n">
        <v>45971</v>
      </c>
      <c r="J143" s="13" t="inlineStr">
        <is>
          <t>105 Birchwood Lane</t>
        </is>
      </c>
      <c r="K143" s="13" t="inlineStr">
        <is>
          <t>Emerald Road</t>
        </is>
      </c>
      <c r="L143" s="13" t="inlineStr">
        <is>
          <t>PIN:749689 TRARALGON</t>
        </is>
      </c>
      <c r="M143" s="13" t="inlineStr">
        <is>
          <t>MHA/IND/00142</t>
        </is>
      </c>
      <c r="N143" s="18" t="n">
        <v>45872</v>
      </c>
    </row>
    <row r="144">
      <c r="A144" s="28" t="n">
        <v>143</v>
      </c>
      <c r="B144" s="1" t="inlineStr">
        <is>
          <t>SARA KALEON</t>
        </is>
      </c>
      <c r="C144" s="33" t="n">
        <v>45946</v>
      </c>
      <c r="D144" s="11" t="inlineStr">
        <is>
          <t>BRISBANE</t>
        </is>
      </c>
      <c r="E144" s="12" t="inlineStr">
        <is>
          <t>IND/MEL/00143</t>
        </is>
      </c>
      <c r="F144" s="13" t="inlineStr">
        <is>
          <t>F</t>
        </is>
      </c>
      <c r="G144" s="11" t="inlineStr">
        <is>
          <t>Ishan Kaleon</t>
        </is>
      </c>
      <c r="H144" s="11" t="inlineStr">
        <is>
          <t>Nina Kaleon</t>
        </is>
      </c>
      <c r="I144" s="18" t="n">
        <v>46009</v>
      </c>
      <c r="J144" s="13" t="inlineStr">
        <is>
          <t>151 Birchwood Lane</t>
        </is>
      </c>
      <c r="K144" s="13" t="inlineStr">
        <is>
          <t>Emerald Road</t>
        </is>
      </c>
      <c r="L144" s="13" t="inlineStr">
        <is>
          <t>PIN:690803 BRISBANE</t>
        </is>
      </c>
      <c r="M144" s="13" t="inlineStr">
        <is>
          <t>MHA/IND/00143</t>
        </is>
      </c>
      <c r="N144" s="18" t="n">
        <v>45841</v>
      </c>
    </row>
    <row r="145">
      <c r="A145" s="28" t="n">
        <v>144</v>
      </c>
      <c r="B145" s="1" t="inlineStr">
        <is>
          <t>KABIR RAO</t>
        </is>
      </c>
      <c r="C145" s="33" t="n">
        <v>45940</v>
      </c>
      <c r="D145" s="11" t="inlineStr">
        <is>
          <t>GEELONG</t>
        </is>
      </c>
      <c r="E145" s="12" t="inlineStr">
        <is>
          <t>IND/MEL/00144</t>
        </is>
      </c>
      <c r="F145" s="13" t="inlineStr">
        <is>
          <t>M</t>
        </is>
      </c>
      <c r="G145" s="11" t="inlineStr">
        <is>
          <t>Neil Rao</t>
        </is>
      </c>
      <c r="H145" s="11" t="inlineStr">
        <is>
          <t>Riya Rao</t>
        </is>
      </c>
      <c r="I145" s="18" t="n">
        <v>46053</v>
      </c>
      <c r="J145" s="13" t="inlineStr">
        <is>
          <t>28 Birchwood Lane</t>
        </is>
      </c>
      <c r="K145" s="13" t="inlineStr">
        <is>
          <t>Emerald Road</t>
        </is>
      </c>
      <c r="L145" s="13" t="inlineStr">
        <is>
          <t>PIN:862049 GEELONG</t>
        </is>
      </c>
      <c r="M145" s="13" t="inlineStr">
        <is>
          <t>MHA/IND/00144</t>
        </is>
      </c>
      <c r="N145" s="18" t="n">
        <v>45845</v>
      </c>
    </row>
    <row r="146">
      <c r="A146" s="28" t="n">
        <v>145</v>
      </c>
      <c r="B146" s="1" t="inlineStr">
        <is>
          <t>NEIL SHARMA</t>
        </is>
      </c>
      <c r="C146" s="33" t="n">
        <v>45698</v>
      </c>
      <c r="D146" s="11" t="inlineStr">
        <is>
          <t>WONTHAGGI</t>
        </is>
      </c>
      <c r="E146" s="12" t="inlineStr">
        <is>
          <t>IND/MEL/00145</t>
        </is>
      </c>
      <c r="F146" s="13" t="inlineStr">
        <is>
          <t>M</t>
        </is>
      </c>
      <c r="G146" s="11" t="inlineStr">
        <is>
          <t>Aren Sharma</t>
        </is>
      </c>
      <c r="H146" s="11" t="inlineStr">
        <is>
          <t>Tara Sharma</t>
        </is>
      </c>
      <c r="I146" s="18" t="n">
        <v>45746</v>
      </c>
      <c r="J146" s="13" t="inlineStr">
        <is>
          <t>49 Birchwood Lane</t>
        </is>
      </c>
      <c r="K146" s="13" t="inlineStr">
        <is>
          <t>Emerald Road</t>
        </is>
      </c>
      <c r="L146" s="13" t="inlineStr">
        <is>
          <t>PIN:481640 WONTHAGGI</t>
        </is>
      </c>
      <c r="M146" s="13" t="inlineStr">
        <is>
          <t>MHA/IND/00145</t>
        </is>
      </c>
      <c r="N146" s="18" t="n">
        <v>45876</v>
      </c>
    </row>
    <row r="147">
      <c r="A147" s="28" t="n">
        <v>146</v>
      </c>
      <c r="B147" s="1" t="inlineStr">
        <is>
          <t>NINA RAO</t>
        </is>
      </c>
      <c r="C147" s="33" t="n">
        <v>45786</v>
      </c>
      <c r="D147" s="11" t="inlineStr">
        <is>
          <t>BELCONNEN</t>
        </is>
      </c>
      <c r="E147" s="12" t="inlineStr">
        <is>
          <t>IND/MEL/00146</t>
        </is>
      </c>
      <c r="F147" s="13" t="inlineStr">
        <is>
          <t>F</t>
        </is>
      </c>
      <c r="G147" s="11" t="inlineStr">
        <is>
          <t>Neil Rao</t>
        </is>
      </c>
      <c r="H147" s="11" t="inlineStr">
        <is>
          <t>Anya Rao</t>
        </is>
      </c>
      <c r="I147" s="18" t="n">
        <v>45815</v>
      </c>
      <c r="J147" s="13" t="inlineStr">
        <is>
          <t>139 Birchwood Lane</t>
        </is>
      </c>
      <c r="K147" s="13" t="inlineStr">
        <is>
          <t>Emerald Road</t>
        </is>
      </c>
      <c r="L147" s="13" t="inlineStr">
        <is>
          <t>PIN:562907 BELCONNEN</t>
        </is>
      </c>
      <c r="M147" s="13" t="inlineStr">
        <is>
          <t>MHA/IND/00146</t>
        </is>
      </c>
      <c r="N147" s="18" t="n">
        <v>45890</v>
      </c>
    </row>
    <row r="148">
      <c r="A148" s="28" t="n">
        <v>147</v>
      </c>
      <c r="B148" s="1" t="inlineStr">
        <is>
          <t>ANYA VALZARI</t>
        </is>
      </c>
      <c r="C148" s="33" t="n">
        <v>45828</v>
      </c>
      <c r="D148" s="11" t="inlineStr">
        <is>
          <t>ST ALBANS</t>
        </is>
      </c>
      <c r="E148" s="12" t="inlineStr">
        <is>
          <t>IND/MEL/00147</t>
        </is>
      </c>
      <c r="F148" s="13" t="inlineStr">
        <is>
          <t>F</t>
        </is>
      </c>
      <c r="G148" s="11" t="inlineStr">
        <is>
          <t>Dev Valzari</t>
        </is>
      </c>
      <c r="H148" s="11" t="inlineStr">
        <is>
          <t>Tara Valzari</t>
        </is>
      </c>
      <c r="I148" s="18" t="n">
        <v>45852</v>
      </c>
      <c r="J148" s="13" t="inlineStr">
        <is>
          <t>121 Birchwood Lane</t>
        </is>
      </c>
      <c r="K148" s="13" t="inlineStr">
        <is>
          <t>Emerald Road</t>
        </is>
      </c>
      <c r="L148" s="13" t="inlineStr">
        <is>
          <t>PIN:447933 ST ALBANS</t>
        </is>
      </c>
      <c r="M148" s="13" t="inlineStr">
        <is>
          <t>MHA/IND/00147</t>
        </is>
      </c>
      <c r="N148" s="18" t="n">
        <v>45898</v>
      </c>
    </row>
    <row r="149">
      <c r="A149" s="28" t="n">
        <v>148</v>
      </c>
      <c r="B149" s="1" t="inlineStr">
        <is>
          <t>NINA RISHKAN</t>
        </is>
      </c>
      <c r="C149" s="33" t="n">
        <v>45699</v>
      </c>
      <c r="D149" s="11" t="inlineStr">
        <is>
          <t>TOWNSVILLE</t>
        </is>
      </c>
      <c r="E149" s="12" t="inlineStr">
        <is>
          <t>IND/MEL/00148</t>
        </is>
      </c>
      <c r="F149" s="13" t="inlineStr">
        <is>
          <t>F</t>
        </is>
      </c>
      <c r="G149" s="11" t="inlineStr">
        <is>
          <t>Rohit Rishkan</t>
        </is>
      </c>
      <c r="H149" s="11" t="inlineStr">
        <is>
          <t>Diya Rishkan</t>
        </is>
      </c>
      <c r="I149" s="18" t="n">
        <v>45809</v>
      </c>
      <c r="J149" s="13" t="inlineStr">
        <is>
          <t>13 Birchwood Lane</t>
        </is>
      </c>
      <c r="K149" s="13" t="inlineStr">
        <is>
          <t>Emerald Road</t>
        </is>
      </c>
      <c r="L149" s="13" t="inlineStr">
        <is>
          <t>PIN:803740 TOWNSVILLE</t>
        </is>
      </c>
      <c r="M149" s="13" t="inlineStr">
        <is>
          <t>MHA/IND/00148</t>
        </is>
      </c>
      <c r="N149" s="18" t="n">
        <v>45866</v>
      </c>
    </row>
    <row r="150">
      <c r="A150" s="28" t="n">
        <v>149</v>
      </c>
      <c r="B150" s="1" t="inlineStr">
        <is>
          <t>MIRA KALEON</t>
        </is>
      </c>
      <c r="C150" s="33" t="n">
        <v>45703</v>
      </c>
      <c r="D150" s="11" t="inlineStr">
        <is>
          <t>WOLLONGONG</t>
        </is>
      </c>
      <c r="E150" s="12" t="inlineStr">
        <is>
          <t>IND/MEL/00149</t>
        </is>
      </c>
      <c r="F150" s="13" t="inlineStr">
        <is>
          <t>F</t>
        </is>
      </c>
      <c r="G150" s="11" t="inlineStr">
        <is>
          <t>Kabir Kaleon</t>
        </is>
      </c>
      <c r="H150" s="11" t="inlineStr">
        <is>
          <t>Riya Kaleon</t>
        </is>
      </c>
      <c r="I150" s="18" t="n">
        <v>45820</v>
      </c>
      <c r="J150" s="13" t="inlineStr">
        <is>
          <t>31 Birchwood Lane</t>
        </is>
      </c>
      <c r="K150" s="13" t="inlineStr">
        <is>
          <t>Emerald Road</t>
        </is>
      </c>
      <c r="L150" s="13" t="inlineStr">
        <is>
          <t>PIN:595547 WOLLONGONG</t>
        </is>
      </c>
      <c r="M150" s="13" t="inlineStr">
        <is>
          <t>MHA/IND/00149</t>
        </is>
      </c>
      <c r="N150" s="18" t="n">
        <v>45897</v>
      </c>
    </row>
    <row r="151" ht="30" customHeight="1">
      <c r="A151" s="28" t="n">
        <v>150</v>
      </c>
      <c r="B151" s="1" t="inlineStr">
        <is>
          <t>ROHIT MYRTHOS</t>
        </is>
      </c>
      <c r="C151" s="33" t="n">
        <v>45737</v>
      </c>
      <c r="D151" s="11" t="inlineStr">
        <is>
          <t>CAMPBELLTOWN</t>
        </is>
      </c>
      <c r="E151" s="12" t="inlineStr">
        <is>
          <t>IND/MEL/00150</t>
        </is>
      </c>
      <c r="F151" s="13" t="inlineStr">
        <is>
          <t>M</t>
        </is>
      </c>
      <c r="G151" s="11" t="inlineStr">
        <is>
          <t>Rohit Myrthos</t>
        </is>
      </c>
      <c r="H151" s="11" t="inlineStr">
        <is>
          <t>Alya Myrthos</t>
        </is>
      </c>
      <c r="I151" s="18" t="n">
        <v>45800</v>
      </c>
      <c r="J151" s="13" t="inlineStr">
        <is>
          <t>59 Birchwood Lane</t>
        </is>
      </c>
      <c r="K151" s="13" t="inlineStr">
        <is>
          <t>Emerald Road</t>
        </is>
      </c>
      <c r="L151" s="13" t="inlineStr">
        <is>
          <t>PIN:475285 CAMPBELLTOWN</t>
        </is>
      </c>
      <c r="M151" s="13" t="inlineStr">
        <is>
          <t>MHA/IND/00150</t>
        </is>
      </c>
      <c r="N151" s="18" t="n">
        <v>45885</v>
      </c>
    </row>
    <row r="152">
      <c r="A152" s="28" t="n">
        <v>151</v>
      </c>
      <c r="B152" s="1" t="inlineStr">
        <is>
          <t>ISHAN SHARMA</t>
        </is>
      </c>
      <c r="C152" s="33" t="n">
        <v>45955</v>
      </c>
      <c r="D152" s="11" t="inlineStr">
        <is>
          <t>LENAH VALLEY</t>
        </is>
      </c>
      <c r="E152" s="12" t="inlineStr">
        <is>
          <t>IND/MEL/00151</t>
        </is>
      </c>
      <c r="F152" s="13" t="inlineStr">
        <is>
          <t>M</t>
        </is>
      </c>
      <c r="G152" s="11" t="inlineStr">
        <is>
          <t>Dev Sharma</t>
        </is>
      </c>
      <c r="H152" s="11" t="inlineStr">
        <is>
          <t>Riya Sharma</t>
        </is>
      </c>
      <c r="I152" s="18" t="n">
        <v>45983</v>
      </c>
      <c r="J152" s="13" t="inlineStr">
        <is>
          <t>55 Birchwood Lane</t>
        </is>
      </c>
      <c r="K152" s="13" t="inlineStr">
        <is>
          <t>Emerald Road</t>
        </is>
      </c>
      <c r="L152" s="13" t="inlineStr">
        <is>
          <t>PIN:883192 LENAH VALLEY</t>
        </is>
      </c>
      <c r="M152" s="13" t="inlineStr">
        <is>
          <t>MHA/IND/00151</t>
        </is>
      </c>
      <c r="N152" s="18" t="n">
        <v>45868</v>
      </c>
    </row>
    <row r="153">
      <c r="A153" s="28" t="n">
        <v>152</v>
      </c>
      <c r="B153" s="1" t="inlineStr">
        <is>
          <t>DEV VALZARI</t>
        </is>
      </c>
      <c r="C153" s="33" t="n">
        <v>45826</v>
      </c>
      <c r="D153" s="11" t="inlineStr">
        <is>
          <t>PARRAMATTA</t>
        </is>
      </c>
      <c r="E153" s="12" t="inlineStr">
        <is>
          <t>IND/MEL/00152</t>
        </is>
      </c>
      <c r="F153" s="13" t="inlineStr">
        <is>
          <t>M</t>
        </is>
      </c>
      <c r="G153" s="11" t="inlineStr">
        <is>
          <t>Kabir Valzari</t>
        </is>
      </c>
      <c r="H153" s="11" t="inlineStr">
        <is>
          <t>Anya Valzari</t>
        </is>
      </c>
      <c r="I153" s="18" t="n">
        <v>45840</v>
      </c>
      <c r="J153" s="13" t="inlineStr">
        <is>
          <t>18 Birchwood Lane</t>
        </is>
      </c>
      <c r="K153" s="13" t="inlineStr">
        <is>
          <t>Emerald Road</t>
        </is>
      </c>
      <c r="L153" s="13" t="inlineStr">
        <is>
          <t>PIN:623840 PARRAMATTA</t>
        </is>
      </c>
      <c r="M153" s="13" t="inlineStr">
        <is>
          <t>MHA/IND/00152</t>
        </is>
      </c>
      <c r="N153" s="18" t="n">
        <v>45858</v>
      </c>
    </row>
    <row r="154" ht="30" customHeight="1">
      <c r="A154" s="28" t="n">
        <v>153</v>
      </c>
      <c r="B154" s="1" t="inlineStr">
        <is>
          <t>ANYA RAO</t>
        </is>
      </c>
      <c r="C154" s="33" t="n">
        <v>45782</v>
      </c>
      <c r="D154" s="11" t="inlineStr">
        <is>
          <t>GEELONG</t>
        </is>
      </c>
      <c r="E154" s="12" t="inlineStr">
        <is>
          <t>IND/MEL/00153</t>
        </is>
      </c>
      <c r="F154" s="13" t="inlineStr">
        <is>
          <t>F</t>
        </is>
      </c>
      <c r="G154" s="11" t="inlineStr">
        <is>
          <t>Rohit Rao</t>
        </is>
      </c>
      <c r="H154" s="11" t="inlineStr">
        <is>
          <t>Alya Rao</t>
        </is>
      </c>
      <c r="I154" s="18" t="n">
        <v>45787</v>
      </c>
      <c r="J154" s="13" t="inlineStr">
        <is>
          <t>112 Birchwood Lane</t>
        </is>
      </c>
      <c r="K154" s="13" t="inlineStr">
        <is>
          <t>Emerald Road</t>
        </is>
      </c>
      <c r="L154" s="13" t="inlineStr">
        <is>
          <t>PIN:153426 GEELONG</t>
        </is>
      </c>
      <c r="M154" s="13" t="inlineStr">
        <is>
          <t>MHA/IND/00153</t>
        </is>
      </c>
      <c r="N154" s="18" t="n">
        <v>45852</v>
      </c>
    </row>
    <row r="155">
      <c r="A155" s="28" t="n">
        <v>154</v>
      </c>
      <c r="B155" s="1" t="inlineStr">
        <is>
          <t>ROHIT VALZARI</t>
        </is>
      </c>
      <c r="C155" s="33" t="n">
        <v>45754</v>
      </c>
      <c r="D155" s="11" t="inlineStr">
        <is>
          <t>PALMERSTON</t>
        </is>
      </c>
      <c r="E155" s="12" t="inlineStr">
        <is>
          <t>IND/MEL/00154</t>
        </is>
      </c>
      <c r="F155" s="13" t="inlineStr">
        <is>
          <t>M</t>
        </is>
      </c>
      <c r="G155" s="11" t="inlineStr">
        <is>
          <t>Aren Valzari</t>
        </is>
      </c>
      <c r="H155" s="11" t="inlineStr">
        <is>
          <t>Anya Valzari</t>
        </is>
      </c>
      <c r="I155" s="18" t="n">
        <v>45765</v>
      </c>
      <c r="J155" s="13" t="inlineStr">
        <is>
          <t>20 Birchwood Lane</t>
        </is>
      </c>
      <c r="K155" s="13" t="inlineStr">
        <is>
          <t>Emerald Road</t>
        </is>
      </c>
      <c r="L155" s="13" t="inlineStr">
        <is>
          <t>PIN:548726 PALMERSTON</t>
        </is>
      </c>
      <c r="M155" s="13" t="inlineStr">
        <is>
          <t>MHA/IND/00154</t>
        </is>
      </c>
      <c r="N155" s="18" t="n">
        <v>45855</v>
      </c>
    </row>
    <row r="156">
      <c r="A156" s="28" t="n">
        <v>155</v>
      </c>
      <c r="B156" s="1" t="inlineStr">
        <is>
          <t>ARJUN KALEON</t>
        </is>
      </c>
      <c r="C156" s="33" t="n">
        <v>45951</v>
      </c>
      <c r="D156" s="13" t="inlineStr">
        <is>
          <t>LENAH VALLEY</t>
        </is>
      </c>
      <c r="E156" s="12" t="inlineStr">
        <is>
          <t>IND/MEL/00155</t>
        </is>
      </c>
      <c r="F156" s="13" t="inlineStr">
        <is>
          <t>M</t>
        </is>
      </c>
      <c r="G156" s="11" t="inlineStr">
        <is>
          <t>Kabir Kaleon</t>
        </is>
      </c>
      <c r="H156" s="11" t="inlineStr">
        <is>
          <t>Riya Kaleon</t>
        </is>
      </c>
      <c r="I156" s="18" t="n">
        <v>46031</v>
      </c>
      <c r="J156" s="13" t="inlineStr">
        <is>
          <t>163 Birchwood Lane</t>
        </is>
      </c>
      <c r="K156" s="13" t="inlineStr">
        <is>
          <t>Emerald Road</t>
        </is>
      </c>
      <c r="L156" s="13" t="inlineStr">
        <is>
          <t>PIN:398774 LENAH VALLEY</t>
        </is>
      </c>
      <c r="M156" s="13" t="inlineStr">
        <is>
          <t>MHA/IND/00155</t>
        </is>
      </c>
      <c r="N156" s="18" t="n">
        <v>45880</v>
      </c>
    </row>
    <row r="157">
      <c r="A157" s="28" t="n">
        <v>156</v>
      </c>
      <c r="B157" s="1" t="inlineStr">
        <is>
          <t>AREN MYRTHOS</t>
        </is>
      </c>
      <c r="C157" s="33" t="n">
        <v>45804</v>
      </c>
      <c r="D157" s="13" t="inlineStr">
        <is>
          <t>MIDLAND</t>
        </is>
      </c>
      <c r="E157" s="12" t="inlineStr">
        <is>
          <t>IND/MEL/00156</t>
        </is>
      </c>
      <c r="F157" s="13" t="inlineStr">
        <is>
          <t>M</t>
        </is>
      </c>
      <c r="G157" s="11" t="inlineStr">
        <is>
          <t>Kabir Myrthos</t>
        </is>
      </c>
      <c r="H157" s="11" t="inlineStr">
        <is>
          <t>Nina Myrthos</t>
        </is>
      </c>
      <c r="I157" s="18" t="n">
        <v>45918</v>
      </c>
      <c r="J157" s="13" t="inlineStr">
        <is>
          <t>179 Birchwood Lane</t>
        </is>
      </c>
      <c r="K157" s="13" t="inlineStr">
        <is>
          <t>Emerald Road</t>
        </is>
      </c>
      <c r="L157" s="13" t="inlineStr">
        <is>
          <t>PIN:688803 MIDLAND</t>
        </is>
      </c>
      <c r="M157" s="13" t="inlineStr">
        <is>
          <t>MHA/IND/00156</t>
        </is>
      </c>
      <c r="N157" s="18" t="n">
        <v>45859</v>
      </c>
    </row>
    <row r="158" ht="30" customHeight="1">
      <c r="A158" s="28" t="n">
        <v>157</v>
      </c>
      <c r="B158" s="1" t="inlineStr">
        <is>
          <t>MIRA SINDALE</t>
        </is>
      </c>
      <c r="C158" s="33" t="n">
        <v>45908</v>
      </c>
      <c r="D158" s="13" t="inlineStr">
        <is>
          <t>ROCKHAMPTON</t>
        </is>
      </c>
      <c r="E158" s="12" t="inlineStr">
        <is>
          <t>IND/MEL/00157</t>
        </is>
      </c>
      <c r="F158" s="13" t="inlineStr">
        <is>
          <t>F</t>
        </is>
      </c>
      <c r="G158" s="11" t="inlineStr">
        <is>
          <t>Ishan Sindale</t>
        </is>
      </c>
      <c r="H158" s="11" t="inlineStr">
        <is>
          <t>Anya Sindale</t>
        </is>
      </c>
      <c r="I158" s="18" t="n">
        <v>45915</v>
      </c>
      <c r="J158" s="13" t="inlineStr">
        <is>
          <t>11 Birchwood Lane</t>
        </is>
      </c>
      <c r="K158" s="13" t="inlineStr">
        <is>
          <t>Emerald Road</t>
        </is>
      </c>
      <c r="L158" s="13" t="inlineStr">
        <is>
          <t>PIN:572879 ROCKHAMPTON</t>
        </is>
      </c>
      <c r="M158" s="13" t="inlineStr">
        <is>
          <t>MHA/IND/00157</t>
        </is>
      </c>
      <c r="N158" s="18" t="n">
        <v>45842</v>
      </c>
    </row>
    <row r="159" ht="45" customHeight="1">
      <c r="A159" s="28" t="n">
        <v>158</v>
      </c>
      <c r="B159" s="1" t="inlineStr">
        <is>
          <t>ALYA VALZARI</t>
        </is>
      </c>
      <c r="C159" s="33" t="n">
        <v>45692</v>
      </c>
      <c r="D159" s="13" t="inlineStr">
        <is>
          <t>MANDURAH</t>
        </is>
      </c>
      <c r="E159" s="12" t="inlineStr">
        <is>
          <t>IND/MEL/00158</t>
        </is>
      </c>
      <c r="F159" s="13" t="inlineStr">
        <is>
          <t>F</t>
        </is>
      </c>
      <c r="G159" s="11" t="inlineStr">
        <is>
          <t>Dev Valzari</t>
        </is>
      </c>
      <c r="H159" s="11" t="inlineStr">
        <is>
          <t>Alya Valzari</t>
        </is>
      </c>
      <c r="I159" s="18" t="n">
        <v>45717</v>
      </c>
      <c r="J159" s="13" t="inlineStr">
        <is>
          <t>69 Birchwood Lane</t>
        </is>
      </c>
      <c r="K159" s="13" t="inlineStr">
        <is>
          <t>Emerald Road</t>
        </is>
      </c>
      <c r="L159" s="13" t="inlineStr">
        <is>
          <t>PIN:775685 MANDURAH</t>
        </is>
      </c>
      <c r="M159" s="13" t="inlineStr">
        <is>
          <t>MHA/IND/00158</t>
        </is>
      </c>
      <c r="N159" s="18" t="n">
        <v>45886</v>
      </c>
    </row>
    <row r="160" ht="30" customHeight="1">
      <c r="A160" s="28" t="n">
        <v>159</v>
      </c>
      <c r="B160" s="1" t="inlineStr">
        <is>
          <t>ARJUN RISHKAN</t>
        </is>
      </c>
      <c r="C160" s="33" t="n">
        <v>45695</v>
      </c>
      <c r="D160" s="11" t="inlineStr">
        <is>
          <t>DALBY</t>
        </is>
      </c>
      <c r="E160" s="12" t="inlineStr">
        <is>
          <t>IND/MEL/00159</t>
        </is>
      </c>
      <c r="F160" s="13" t="inlineStr">
        <is>
          <t>M</t>
        </is>
      </c>
      <c r="G160" s="11" t="inlineStr">
        <is>
          <t>Arjun Rishkan</t>
        </is>
      </c>
      <c r="H160" s="11" t="inlineStr">
        <is>
          <t>Riya Rishkan</t>
        </is>
      </c>
      <c r="I160" s="18" t="n">
        <v>45747</v>
      </c>
      <c r="J160" s="13" t="inlineStr">
        <is>
          <t>16 Birchwood Lane</t>
        </is>
      </c>
      <c r="K160" s="13" t="inlineStr">
        <is>
          <t>Emerald Road</t>
        </is>
      </c>
      <c r="L160" s="13" t="inlineStr">
        <is>
          <t>PIN:294333 DALBY</t>
        </is>
      </c>
      <c r="M160" s="13" t="inlineStr">
        <is>
          <t>MHA/IND/00159</t>
        </is>
      </c>
      <c r="N160" s="18" t="n">
        <v>45892</v>
      </c>
    </row>
    <row r="161" ht="30" customHeight="1">
      <c r="A161" s="28" t="n">
        <v>160</v>
      </c>
      <c r="B161" s="1" t="inlineStr">
        <is>
          <t>ANYA RAO</t>
        </is>
      </c>
      <c r="C161" s="33" t="n">
        <v>45833</v>
      </c>
      <c r="D161" s="11" t="inlineStr">
        <is>
          <t>PARKVILLE</t>
        </is>
      </c>
      <c r="E161" s="12" t="inlineStr">
        <is>
          <t>IND/MEL/00160</t>
        </is>
      </c>
      <c r="F161" s="13" t="inlineStr">
        <is>
          <t>F</t>
        </is>
      </c>
      <c r="G161" s="11" t="inlineStr">
        <is>
          <t>Ishan Rao</t>
        </is>
      </c>
      <c r="H161" s="11" t="inlineStr">
        <is>
          <t>Riya Rao</t>
        </is>
      </c>
      <c r="I161" s="18" t="n">
        <v>45856</v>
      </c>
      <c r="J161" s="11" t="inlineStr">
        <is>
          <t>89 Birchwood Lane</t>
        </is>
      </c>
      <c r="K161" s="13" t="inlineStr">
        <is>
          <t>Emerald Road</t>
        </is>
      </c>
      <c r="L161" s="13" t="inlineStr">
        <is>
          <t>PIN:778480 PARKVILLE</t>
        </is>
      </c>
      <c r="M161" s="11" t="inlineStr">
        <is>
          <t>MHA/IND/00160</t>
        </is>
      </c>
      <c r="N161" s="18" t="n">
        <v>45893</v>
      </c>
    </row>
    <row r="162">
      <c r="A162" s="28" t="n">
        <v>161</v>
      </c>
      <c r="B162" s="1" t="inlineStr">
        <is>
          <t>TARA RISHKAN</t>
        </is>
      </c>
      <c r="C162" s="33" t="n">
        <v>45812</v>
      </c>
      <c r="D162" s="11" t="inlineStr">
        <is>
          <t>ADELAIDE</t>
        </is>
      </c>
      <c r="E162" s="12" t="inlineStr">
        <is>
          <t>IND/MEL/00161</t>
        </is>
      </c>
      <c r="F162" s="13" t="inlineStr">
        <is>
          <t>F</t>
        </is>
      </c>
      <c r="G162" s="11" t="inlineStr">
        <is>
          <t>Kabir Rishkan</t>
        </is>
      </c>
      <c r="H162" s="11" t="inlineStr">
        <is>
          <t>Sara Rishkan</t>
        </is>
      </c>
      <c r="I162" s="18" t="n">
        <v>45931</v>
      </c>
      <c r="J162" s="11" t="inlineStr">
        <is>
          <t>77 Birchwood Lane</t>
        </is>
      </c>
      <c r="K162" s="13" t="inlineStr">
        <is>
          <t>Emerald Road</t>
        </is>
      </c>
      <c r="L162" s="13" t="inlineStr">
        <is>
          <t>PIN:952963 ADELAIDE</t>
        </is>
      </c>
      <c r="M162" s="13" t="inlineStr">
        <is>
          <t>MHA/IND/00161</t>
        </is>
      </c>
      <c r="N162" s="18" t="n">
        <v>45877</v>
      </c>
    </row>
    <row r="163" ht="30" customHeight="1">
      <c r="A163" s="28" t="n">
        <v>162</v>
      </c>
      <c r="B163" s="1" t="inlineStr">
        <is>
          <t>ISHAN RAO</t>
        </is>
      </c>
      <c r="C163" s="33" t="n">
        <v>45833</v>
      </c>
      <c r="D163" s="13" t="inlineStr">
        <is>
          <t>LOGAN</t>
        </is>
      </c>
      <c r="E163" s="12" t="inlineStr">
        <is>
          <t>IND/MEL/00162</t>
        </is>
      </c>
      <c r="F163" s="13" t="inlineStr">
        <is>
          <t>M</t>
        </is>
      </c>
      <c r="G163" s="11" t="inlineStr">
        <is>
          <t>Arjun Rao</t>
        </is>
      </c>
      <c r="H163" s="11" t="inlineStr">
        <is>
          <t>Nina Rao</t>
        </is>
      </c>
      <c r="I163" s="18" t="n">
        <v>45935</v>
      </c>
      <c r="J163" s="13" t="inlineStr">
        <is>
          <t>190 Birchwood Lane</t>
        </is>
      </c>
      <c r="K163" s="13" t="inlineStr">
        <is>
          <t>Emerald Road</t>
        </is>
      </c>
      <c r="L163" s="13" t="inlineStr">
        <is>
          <t>PIN:921501 LOGAN</t>
        </is>
      </c>
      <c r="M163" s="13" t="inlineStr">
        <is>
          <t>MHA/IND/00162</t>
        </is>
      </c>
      <c r="N163" s="18" t="n">
        <v>45848</v>
      </c>
    </row>
    <row r="164">
      <c r="A164" s="28" t="n">
        <v>163</v>
      </c>
      <c r="B164" s="1" t="inlineStr">
        <is>
          <t>NEIL RISHKAN</t>
        </is>
      </c>
      <c r="C164" s="33" t="n">
        <v>45834</v>
      </c>
      <c r="D164" s="11" t="inlineStr">
        <is>
          <t>FRANKSTON</t>
        </is>
      </c>
      <c r="E164" s="12" t="inlineStr">
        <is>
          <t>IND/MEL/00163</t>
        </is>
      </c>
      <c r="F164" s="13" t="inlineStr">
        <is>
          <t>M</t>
        </is>
      </c>
      <c r="G164" s="11" t="inlineStr">
        <is>
          <t>Neil Rishkan</t>
        </is>
      </c>
      <c r="H164" s="11" t="inlineStr">
        <is>
          <t>Tara Rishkan</t>
        </is>
      </c>
      <c r="I164" s="18" t="n">
        <v>45866</v>
      </c>
      <c r="J164" s="13" t="inlineStr">
        <is>
          <t>135 Birchwood Lane</t>
        </is>
      </c>
      <c r="K164" s="13" t="inlineStr">
        <is>
          <t>Emerald Road</t>
        </is>
      </c>
      <c r="L164" s="13" t="inlineStr">
        <is>
          <t>PIN:461997 FRANKSTON</t>
        </is>
      </c>
      <c r="M164" s="13" t="inlineStr">
        <is>
          <t>MHA/IND/00163</t>
        </is>
      </c>
      <c r="N164" s="18" t="n">
        <v>45881</v>
      </c>
    </row>
    <row r="165" ht="30" customHeight="1">
      <c r="A165" s="28" t="n">
        <v>164</v>
      </c>
      <c r="B165" s="1" t="inlineStr">
        <is>
          <t>KIRAN MYRTHOS</t>
        </is>
      </c>
      <c r="C165" s="33" t="n">
        <v>45787</v>
      </c>
      <c r="D165" s="11" t="inlineStr">
        <is>
          <t>ST ALBANS</t>
        </is>
      </c>
      <c r="E165" s="12" t="inlineStr">
        <is>
          <t>IND/MEL/00164</t>
        </is>
      </c>
      <c r="F165" s="13" t="inlineStr">
        <is>
          <t>M</t>
        </is>
      </c>
      <c r="G165" s="11" t="inlineStr">
        <is>
          <t>Arjun Myrthos</t>
        </is>
      </c>
      <c r="H165" s="11" t="inlineStr">
        <is>
          <t>Sara Myrthos</t>
        </is>
      </c>
      <c r="I165" s="18" t="n">
        <v>45833</v>
      </c>
      <c r="J165" s="13" t="inlineStr">
        <is>
          <t>118 Birchwood Lane</t>
        </is>
      </c>
      <c r="K165" s="13" t="inlineStr">
        <is>
          <t>Emerald Road</t>
        </is>
      </c>
      <c r="L165" s="13" t="inlineStr">
        <is>
          <t>PIN:541304 ST ALBANS</t>
        </is>
      </c>
      <c r="M165" s="13" t="inlineStr">
        <is>
          <t>MHA/IND/00164</t>
        </is>
      </c>
      <c r="N165" s="18" t="n">
        <v>45878</v>
      </c>
    </row>
    <row r="166">
      <c r="A166" s="28" t="n">
        <v>165</v>
      </c>
      <c r="B166" s="1" t="inlineStr">
        <is>
          <t>DEV RISHKAN</t>
        </is>
      </c>
      <c r="C166" s="33" t="n">
        <v>45667</v>
      </c>
      <c r="D166" s="11" t="inlineStr">
        <is>
          <t>MANDURAH</t>
        </is>
      </c>
      <c r="E166" s="12" t="inlineStr">
        <is>
          <t>IND/MEL/00165</t>
        </is>
      </c>
      <c r="F166" s="13" t="inlineStr">
        <is>
          <t>M</t>
        </is>
      </c>
      <c r="G166" s="11" t="inlineStr">
        <is>
          <t>Arjun Rishkan</t>
        </is>
      </c>
      <c r="H166" s="11" t="inlineStr">
        <is>
          <t>Sara Rishkan</t>
        </is>
      </c>
      <c r="I166" s="18" t="n">
        <v>45721</v>
      </c>
      <c r="J166" s="13" t="inlineStr">
        <is>
          <t>10 Birchwood Lane</t>
        </is>
      </c>
      <c r="K166" s="13" t="inlineStr">
        <is>
          <t>Emerald Road</t>
        </is>
      </c>
      <c r="L166" s="13" t="inlineStr">
        <is>
          <t>PIN:613365 MANDURAH</t>
        </is>
      </c>
      <c r="M166" s="13" t="inlineStr">
        <is>
          <t>MHA/IND/00165</t>
        </is>
      </c>
      <c r="N166" s="18" t="n">
        <v>45877</v>
      </c>
    </row>
    <row r="167">
      <c r="A167" s="28" t="n">
        <v>166</v>
      </c>
      <c r="B167" s="1" t="inlineStr">
        <is>
          <t>SARA VALZARI</t>
        </is>
      </c>
      <c r="C167" s="33" t="n">
        <v>45956</v>
      </c>
      <c r="D167" s="13" t="inlineStr">
        <is>
          <t>BEDFORD PARK</t>
        </is>
      </c>
      <c r="E167" s="12" t="inlineStr">
        <is>
          <t>IND/MEL/00166</t>
        </is>
      </c>
      <c r="F167" s="13" t="inlineStr">
        <is>
          <t>F</t>
        </is>
      </c>
      <c r="G167" s="11" t="inlineStr">
        <is>
          <t>Arjun Valzari</t>
        </is>
      </c>
      <c r="H167" s="11" t="inlineStr">
        <is>
          <t>Diya Valzari</t>
        </is>
      </c>
      <c r="I167" s="18" t="n">
        <v>45962</v>
      </c>
      <c r="J167" s="13" t="inlineStr">
        <is>
          <t>184 Birchwood Lane</t>
        </is>
      </c>
      <c r="K167" s="13" t="inlineStr">
        <is>
          <t>Emerald Road</t>
        </is>
      </c>
      <c r="L167" s="13" t="inlineStr">
        <is>
          <t>PIN:462170 BEDFORD PARK</t>
        </is>
      </c>
      <c r="M167" s="13" t="inlineStr">
        <is>
          <t>MHA/IND/00166</t>
        </is>
      </c>
      <c r="N167" s="18" t="n">
        <v>45864</v>
      </c>
    </row>
    <row r="168">
      <c r="A168" s="28" t="n">
        <v>167</v>
      </c>
      <c r="B168" s="1" t="inlineStr">
        <is>
          <t>ROHIT MYRTHOS</t>
        </is>
      </c>
      <c r="C168" s="33" t="n">
        <v>45901</v>
      </c>
      <c r="D168" s="13" t="inlineStr">
        <is>
          <t>WERRIBEE</t>
        </is>
      </c>
      <c r="E168" s="12" t="inlineStr">
        <is>
          <t>IND/MEL/00167</t>
        </is>
      </c>
      <c r="F168" s="13" t="inlineStr">
        <is>
          <t>M</t>
        </is>
      </c>
      <c r="G168" s="11" t="inlineStr">
        <is>
          <t>Arjun Myrthos</t>
        </is>
      </c>
      <c r="H168" s="11" t="inlineStr">
        <is>
          <t>Nina Myrthos</t>
        </is>
      </c>
      <c r="I168" s="18" t="n">
        <v>45941</v>
      </c>
      <c r="J168" s="13" t="inlineStr">
        <is>
          <t>35 Birchwood Lane</t>
        </is>
      </c>
      <c r="K168" s="13" t="inlineStr">
        <is>
          <t>Emerald Road</t>
        </is>
      </c>
      <c r="L168" s="13" t="inlineStr">
        <is>
          <t>PIN:345085 WERRIBEE</t>
        </is>
      </c>
      <c r="M168" s="13" t="inlineStr">
        <is>
          <t>MHA/IND/00167</t>
        </is>
      </c>
      <c r="N168" s="18" t="n">
        <v>45857</v>
      </c>
    </row>
    <row r="169">
      <c r="A169" s="28" t="n">
        <v>168</v>
      </c>
      <c r="B169" s="1" t="inlineStr">
        <is>
          <t>KABIR RAO</t>
        </is>
      </c>
      <c r="C169" s="33" t="n">
        <v>45860</v>
      </c>
      <c r="D169" s="11" t="inlineStr">
        <is>
          <t>BUNDABERG</t>
        </is>
      </c>
      <c r="E169" s="12" t="inlineStr">
        <is>
          <t>IND/MEL/00168</t>
        </is>
      </c>
      <c r="F169" s="13" t="inlineStr">
        <is>
          <t>M</t>
        </is>
      </c>
      <c r="G169" s="11" t="inlineStr">
        <is>
          <t>Neil Rao</t>
        </is>
      </c>
      <c r="H169" s="11" t="inlineStr">
        <is>
          <t>Sara Rao</t>
        </is>
      </c>
      <c r="I169" s="18" t="n">
        <v>45905</v>
      </c>
      <c r="J169" s="13" t="inlineStr">
        <is>
          <t>131 Birchwood Lane</t>
        </is>
      </c>
      <c r="K169" s="13" t="inlineStr">
        <is>
          <t>Emerald Road</t>
        </is>
      </c>
      <c r="L169" s="13" t="inlineStr">
        <is>
          <t>PIN:834366 BUNDABERG</t>
        </is>
      </c>
      <c r="M169" s="13" t="inlineStr">
        <is>
          <t>MHA/IND/00168</t>
        </is>
      </c>
      <c r="N169" s="18" t="n">
        <v>45844</v>
      </c>
    </row>
    <row r="170" ht="30" customHeight="1">
      <c r="A170" s="28" t="n">
        <v>169</v>
      </c>
      <c r="B170" s="1" t="inlineStr">
        <is>
          <t>DIYA RAO</t>
        </is>
      </c>
      <c r="C170" s="33" t="n">
        <v>45828</v>
      </c>
      <c r="D170" s="11" t="inlineStr">
        <is>
          <t>PERTH</t>
        </is>
      </c>
      <c r="E170" s="12" t="inlineStr">
        <is>
          <t>IND/MEL/00169</t>
        </is>
      </c>
      <c r="F170" s="13" t="inlineStr">
        <is>
          <t>F</t>
        </is>
      </c>
      <c r="G170" s="11" t="inlineStr">
        <is>
          <t>Neil Rao</t>
        </is>
      </c>
      <c r="H170" s="11" t="inlineStr">
        <is>
          <t>Riya Rao</t>
        </is>
      </c>
      <c r="I170" s="18" t="n">
        <v>45872</v>
      </c>
      <c r="J170" s="13" t="inlineStr">
        <is>
          <t>32 Birchwood Lane</t>
        </is>
      </c>
      <c r="K170" s="13" t="inlineStr">
        <is>
          <t>Emerald Road</t>
        </is>
      </c>
      <c r="L170" s="13" t="inlineStr">
        <is>
          <t>PIN:127602 PERTH</t>
        </is>
      </c>
      <c r="M170" s="13" t="inlineStr">
        <is>
          <t>MHA/IND/00169</t>
        </is>
      </c>
      <c r="N170" s="18" t="n">
        <v>45864</v>
      </c>
    </row>
    <row r="171">
      <c r="A171" s="28" t="n">
        <v>170</v>
      </c>
      <c r="B171" s="1" t="inlineStr">
        <is>
          <t>KIRAN MYRTHOS</t>
        </is>
      </c>
      <c r="C171" s="33" t="n">
        <v>45775</v>
      </c>
      <c r="D171" s="11" t="inlineStr">
        <is>
          <t>NEWCASTLE</t>
        </is>
      </c>
      <c r="E171" s="12" t="inlineStr">
        <is>
          <t>IND/MEL/00170</t>
        </is>
      </c>
      <c r="F171" s="13" t="inlineStr">
        <is>
          <t>M</t>
        </is>
      </c>
      <c r="G171" s="11" t="inlineStr">
        <is>
          <t>Ishan Myrthos</t>
        </is>
      </c>
      <c r="H171" s="11" t="inlineStr">
        <is>
          <t>Anya Myrthos</t>
        </is>
      </c>
      <c r="I171" s="18" t="n">
        <v>45873</v>
      </c>
      <c r="J171" s="13" t="inlineStr">
        <is>
          <t>139 Birchwood Lane</t>
        </is>
      </c>
      <c r="K171" s="13" t="inlineStr">
        <is>
          <t>Emerald Road</t>
        </is>
      </c>
      <c r="L171" s="13" t="inlineStr">
        <is>
          <t>PIN:884260 NEWCASTLE</t>
        </is>
      </c>
      <c r="M171" s="13" t="inlineStr">
        <is>
          <t>MHA/IND/00170</t>
        </is>
      </c>
      <c r="N171" s="18" t="n">
        <v>45840</v>
      </c>
    </row>
    <row r="172" ht="45" customHeight="1">
      <c r="A172" s="28" t="n">
        <v>171</v>
      </c>
      <c r="B172" s="1" t="inlineStr">
        <is>
          <t>NEIL SINDALE</t>
        </is>
      </c>
      <c r="C172" s="33" t="n">
        <v>45733</v>
      </c>
      <c r="D172" s="11" t="inlineStr">
        <is>
          <t>PARKVILLE</t>
        </is>
      </c>
      <c r="E172" s="12" t="inlineStr">
        <is>
          <t>IND/MEL/00171</t>
        </is>
      </c>
      <c r="F172" s="13" t="inlineStr">
        <is>
          <t>M</t>
        </is>
      </c>
      <c r="G172" s="11" t="inlineStr">
        <is>
          <t>Kabir Sindale</t>
        </is>
      </c>
      <c r="H172" s="11" t="inlineStr">
        <is>
          <t>Sara Sindale</t>
        </is>
      </c>
      <c r="I172" s="18" t="n">
        <v>45786</v>
      </c>
      <c r="J172" s="13" t="inlineStr">
        <is>
          <t>164 Birchwood Lane</t>
        </is>
      </c>
      <c r="K172" s="13" t="inlineStr">
        <is>
          <t>Emerald Road</t>
        </is>
      </c>
      <c r="L172" s="13" t="inlineStr">
        <is>
          <t>PIN:603548 PARKVILLE</t>
        </is>
      </c>
      <c r="M172" s="13" t="inlineStr">
        <is>
          <t>MHA/IND/00171</t>
        </is>
      </c>
      <c r="N172" s="18" t="n">
        <v>45868</v>
      </c>
    </row>
    <row r="173">
      <c r="A173" s="28" t="n">
        <v>172</v>
      </c>
      <c r="B173" s="1" t="inlineStr">
        <is>
          <t>ANYA RISHKAN</t>
        </is>
      </c>
      <c r="C173" s="33" t="n">
        <v>45813</v>
      </c>
      <c r="D173" s="11" t="inlineStr">
        <is>
          <t>CLAYTON</t>
        </is>
      </c>
      <c r="E173" s="12" t="inlineStr">
        <is>
          <t>IND/MEL/00172</t>
        </is>
      </c>
      <c r="F173" s="13" t="inlineStr">
        <is>
          <t>F</t>
        </is>
      </c>
      <c r="G173" s="11" t="inlineStr">
        <is>
          <t>Arjun Rishkan</t>
        </is>
      </c>
      <c r="H173" s="11" t="inlineStr">
        <is>
          <t>Riya Rishkan</t>
        </is>
      </c>
      <c r="I173" s="18" t="n">
        <v>45881</v>
      </c>
      <c r="J173" s="13" t="inlineStr">
        <is>
          <t>115 Birchwood Lane</t>
        </is>
      </c>
      <c r="K173" s="13" t="inlineStr">
        <is>
          <t>Emerald Road</t>
        </is>
      </c>
      <c r="L173" s="13" t="inlineStr">
        <is>
          <t>PIN:420167 CLAYTON</t>
        </is>
      </c>
      <c r="M173" s="13" t="inlineStr">
        <is>
          <t>MHA/IND/00172</t>
        </is>
      </c>
      <c r="N173" s="18" t="n">
        <v>45849</v>
      </c>
    </row>
    <row r="174">
      <c r="A174" s="28" t="n">
        <v>173</v>
      </c>
      <c r="B174" s="1" t="inlineStr">
        <is>
          <t>ISHAN MYRTHOS</t>
        </is>
      </c>
      <c r="C174" s="33" t="n">
        <v>45884</v>
      </c>
      <c r="D174" s="11" t="inlineStr">
        <is>
          <t>SYDNEY</t>
        </is>
      </c>
      <c r="E174" s="12" t="inlineStr">
        <is>
          <t>IND/MEL/00173</t>
        </is>
      </c>
      <c r="F174" s="13" t="inlineStr">
        <is>
          <t>M</t>
        </is>
      </c>
      <c r="G174" s="11" t="inlineStr">
        <is>
          <t>Rohit Myrthos</t>
        </is>
      </c>
      <c r="H174" s="11" t="inlineStr">
        <is>
          <t>Sara Myrthos</t>
        </is>
      </c>
      <c r="I174" s="18" t="n">
        <v>45929</v>
      </c>
      <c r="J174" s="13" t="inlineStr">
        <is>
          <t>87 Birchwood Lane</t>
        </is>
      </c>
      <c r="K174" s="13" t="inlineStr">
        <is>
          <t>Emerald Road</t>
        </is>
      </c>
      <c r="L174" s="13" t="inlineStr">
        <is>
          <t>PIN:467770 SYDNEY</t>
        </is>
      </c>
      <c r="M174" s="13" t="inlineStr">
        <is>
          <t>MHA/IND/00173</t>
        </is>
      </c>
      <c r="N174" s="18" t="n">
        <v>45855</v>
      </c>
    </row>
    <row r="175">
      <c r="A175" s="28" t="n">
        <v>174</v>
      </c>
      <c r="B175" s="1" t="inlineStr">
        <is>
          <t>ROHIT KALEON</t>
        </is>
      </c>
      <c r="C175" s="33" t="n">
        <v>45922</v>
      </c>
      <c r="D175" s="13" t="inlineStr">
        <is>
          <t>SHEPPARTON</t>
        </is>
      </c>
      <c r="E175" s="12" t="inlineStr">
        <is>
          <t>IND/MEL/00174</t>
        </is>
      </c>
      <c r="F175" s="13" t="inlineStr">
        <is>
          <t>M</t>
        </is>
      </c>
      <c r="G175" s="11" t="inlineStr">
        <is>
          <t>Arjun Kaleon</t>
        </is>
      </c>
      <c r="H175" s="11" t="inlineStr">
        <is>
          <t>Nina Kaleon</t>
        </is>
      </c>
      <c r="I175" s="18" t="n">
        <v>46024</v>
      </c>
      <c r="J175" s="13" t="inlineStr">
        <is>
          <t>77 Birchwood Lane</t>
        </is>
      </c>
      <c r="K175" s="13" t="inlineStr">
        <is>
          <t>Emerald Road</t>
        </is>
      </c>
      <c r="L175" s="13" t="inlineStr">
        <is>
          <t>PIN:757926 SHEPPARTON</t>
        </is>
      </c>
      <c r="M175" s="13" t="inlineStr">
        <is>
          <t>MHA/IND/00174</t>
        </is>
      </c>
      <c r="N175" s="18" t="n">
        <v>45879</v>
      </c>
    </row>
    <row r="176">
      <c r="A176" s="28" t="n">
        <v>175</v>
      </c>
      <c r="B176" s="1" t="inlineStr">
        <is>
          <t>NEIL KALEON</t>
        </is>
      </c>
      <c r="C176" s="33" t="n">
        <v>45768</v>
      </c>
      <c r="D176" s="13" t="inlineStr">
        <is>
          <t>WERRIBEE</t>
        </is>
      </c>
      <c r="E176" s="12" t="inlineStr">
        <is>
          <t>IND/MEL/00175</t>
        </is>
      </c>
      <c r="F176" s="13" t="inlineStr">
        <is>
          <t>M</t>
        </is>
      </c>
      <c r="G176" s="11" t="inlineStr">
        <is>
          <t>Rohit Kaleon</t>
        </is>
      </c>
      <c r="H176" s="11" t="inlineStr">
        <is>
          <t>Diya Kaleon</t>
        </is>
      </c>
      <c r="I176" s="18" t="n">
        <v>45776</v>
      </c>
      <c r="J176" s="13" t="inlineStr">
        <is>
          <t>59 Birchwood Lane</t>
        </is>
      </c>
      <c r="K176" s="13" t="inlineStr">
        <is>
          <t>Emerald Road</t>
        </is>
      </c>
      <c r="L176" s="13" t="inlineStr">
        <is>
          <t>PIN:445229 WERRIBEE</t>
        </is>
      </c>
      <c r="M176" s="13" t="inlineStr">
        <is>
          <t>MHA/IND/00175</t>
        </is>
      </c>
      <c r="N176" s="18" t="n">
        <v>45897</v>
      </c>
    </row>
    <row r="177" ht="30" customHeight="1">
      <c r="A177" s="28" t="n">
        <v>176</v>
      </c>
      <c r="B177" s="1" t="inlineStr">
        <is>
          <t>MIRA KALEON</t>
        </is>
      </c>
      <c r="C177" s="33" t="n">
        <v>45957</v>
      </c>
      <c r="D177" s="11" t="inlineStr">
        <is>
          <t>MOUNT WAVERLEY</t>
        </is>
      </c>
      <c r="E177" s="12" t="inlineStr">
        <is>
          <t>IND/MEL/00176</t>
        </is>
      </c>
      <c r="F177" s="13" t="inlineStr">
        <is>
          <t>F</t>
        </is>
      </c>
      <c r="G177" s="11" t="inlineStr">
        <is>
          <t>Arjun Kaleon</t>
        </is>
      </c>
      <c r="H177" s="11" t="inlineStr">
        <is>
          <t>Diya Kaleon</t>
        </is>
      </c>
      <c r="I177" s="18" t="n">
        <v>45976</v>
      </c>
      <c r="J177" s="13" t="inlineStr">
        <is>
          <t>97 Birchwood Lane</t>
        </is>
      </c>
      <c r="K177" s="13" t="inlineStr">
        <is>
          <t>Emerald Road</t>
        </is>
      </c>
      <c r="L177" s="13" t="inlineStr">
        <is>
          <t>PIN:563405 MOUNT WAVERLEY</t>
        </is>
      </c>
      <c r="M177" s="13" t="inlineStr">
        <is>
          <t>MHA/IND/00176</t>
        </is>
      </c>
      <c r="N177" s="18" t="n">
        <v>45839</v>
      </c>
    </row>
    <row r="178" ht="30" customHeight="1">
      <c r="A178" s="28" t="n">
        <v>177</v>
      </c>
      <c r="B178" s="1" t="inlineStr">
        <is>
          <t>DIYA KALEON</t>
        </is>
      </c>
      <c r="C178" s="33" t="n">
        <v>45849</v>
      </c>
      <c r="D178" s="13" t="inlineStr">
        <is>
          <t>BRISBANE</t>
        </is>
      </c>
      <c r="E178" s="12" t="inlineStr">
        <is>
          <t>IND/MEL/00177</t>
        </is>
      </c>
      <c r="F178" s="13" t="inlineStr">
        <is>
          <t>F</t>
        </is>
      </c>
      <c r="G178" s="11" t="inlineStr">
        <is>
          <t>Dev Kaleon</t>
        </is>
      </c>
      <c r="H178" s="11" t="inlineStr">
        <is>
          <t>Anya Kaleon</t>
        </is>
      </c>
      <c r="I178" s="18" t="n">
        <v>45956</v>
      </c>
      <c r="J178" s="13" t="inlineStr">
        <is>
          <t>27 Birchwood Lane</t>
        </is>
      </c>
      <c r="K178" s="13" t="inlineStr">
        <is>
          <t>Emerald Road</t>
        </is>
      </c>
      <c r="L178" s="13" t="inlineStr">
        <is>
          <t>PIN:220650 BRISBANE</t>
        </is>
      </c>
      <c r="M178" s="13" t="inlineStr">
        <is>
          <t>MHA/IND/00177</t>
        </is>
      </c>
      <c r="N178" s="18" t="n">
        <v>45893</v>
      </c>
    </row>
    <row r="179">
      <c r="A179" s="28" t="n">
        <v>178</v>
      </c>
      <c r="B179" s="1" t="inlineStr">
        <is>
          <t>KABIR MYRTHOS</t>
        </is>
      </c>
      <c r="C179" s="33" t="n">
        <v>45704</v>
      </c>
      <c r="D179" s="13" t="inlineStr">
        <is>
          <t>MILDURA</t>
        </is>
      </c>
      <c r="E179" s="12" t="inlineStr">
        <is>
          <t>IND/MEL/00178</t>
        </is>
      </c>
      <c r="F179" s="13" t="inlineStr">
        <is>
          <t>M</t>
        </is>
      </c>
      <c r="G179" s="11" t="inlineStr">
        <is>
          <t>Kiran Myrthos</t>
        </is>
      </c>
      <c r="H179" s="11" t="inlineStr">
        <is>
          <t>Sara Myrthos</t>
        </is>
      </c>
      <c r="I179" s="18" t="n">
        <v>45773</v>
      </c>
      <c r="J179" s="13" t="inlineStr">
        <is>
          <t>198 Birchwood Lane</t>
        </is>
      </c>
      <c r="K179" s="13" t="inlineStr">
        <is>
          <t>Emerald Road</t>
        </is>
      </c>
      <c r="L179" s="13" t="inlineStr">
        <is>
          <t>PIN:462004 MILDURA</t>
        </is>
      </c>
      <c r="M179" s="13" t="inlineStr">
        <is>
          <t>MHA/IND/00178</t>
        </is>
      </c>
      <c r="N179" s="18" t="n">
        <v>45881</v>
      </c>
    </row>
    <row r="180">
      <c r="A180" s="28" t="n">
        <v>179</v>
      </c>
      <c r="B180" s="1" t="inlineStr">
        <is>
          <t>ROHIT RISHKAN</t>
        </is>
      </c>
      <c r="C180" s="33" t="n">
        <v>45702</v>
      </c>
      <c r="D180" s="11" t="inlineStr">
        <is>
          <t>KINGSWOOD</t>
        </is>
      </c>
      <c r="E180" s="12" t="inlineStr">
        <is>
          <t>IND/MEL/00179</t>
        </is>
      </c>
      <c r="F180" s="13" t="inlineStr">
        <is>
          <t>M</t>
        </is>
      </c>
      <c r="G180" s="11" t="inlineStr">
        <is>
          <t>Arjun Rishkan</t>
        </is>
      </c>
      <c r="H180" s="11" t="inlineStr">
        <is>
          <t>Anya Rishkan</t>
        </is>
      </c>
      <c r="I180" s="18" t="n">
        <v>45741</v>
      </c>
      <c r="J180" s="13" t="inlineStr">
        <is>
          <t>83 Birchwood Lane</t>
        </is>
      </c>
      <c r="K180" s="13" t="inlineStr">
        <is>
          <t>Emerald Road</t>
        </is>
      </c>
      <c r="L180" s="13" t="inlineStr">
        <is>
          <t>PIN:270087 KINGSWOOD</t>
        </is>
      </c>
      <c r="M180" s="13" t="inlineStr">
        <is>
          <t>MHA/IND/00179</t>
        </is>
      </c>
      <c r="N180" s="18" t="n">
        <v>45862</v>
      </c>
    </row>
    <row r="181">
      <c r="A181" s="28" t="n">
        <v>180</v>
      </c>
      <c r="B181" s="1" t="inlineStr">
        <is>
          <t>ROHIT MYRTHOS</t>
        </is>
      </c>
      <c r="C181" s="33" t="n">
        <v>45917</v>
      </c>
      <c r="D181" s="11" t="inlineStr">
        <is>
          <t>TUGGERANONG</t>
        </is>
      </c>
      <c r="E181" s="12" t="inlineStr">
        <is>
          <t>IND/MEL/00180</t>
        </is>
      </c>
      <c r="F181" s="13" t="inlineStr">
        <is>
          <t>M</t>
        </is>
      </c>
      <c r="G181" s="11" t="inlineStr">
        <is>
          <t>Neil Myrthos</t>
        </is>
      </c>
      <c r="H181" s="11" t="inlineStr">
        <is>
          <t>Riya Myrthos</t>
        </is>
      </c>
      <c r="I181" s="18" t="n">
        <v>45969</v>
      </c>
      <c r="J181" s="13" t="inlineStr">
        <is>
          <t>97 Birchwood Lane</t>
        </is>
      </c>
      <c r="K181" s="13" t="inlineStr">
        <is>
          <t>Emerald Road</t>
        </is>
      </c>
      <c r="L181" s="13" t="inlineStr">
        <is>
          <t>PIN:639992 TUGGERANONG</t>
        </is>
      </c>
      <c r="M181" s="13" t="inlineStr">
        <is>
          <t>MHA/IND/00180</t>
        </is>
      </c>
      <c r="N181" s="18" t="n">
        <v>45886</v>
      </c>
    </row>
    <row r="182">
      <c r="A182" s="28" t="n">
        <v>181</v>
      </c>
      <c r="B182" s="1" t="inlineStr">
        <is>
          <t>ALYA RAO</t>
        </is>
      </c>
      <c r="C182" s="33" t="n">
        <v>45671</v>
      </c>
      <c r="D182" s="11" t="inlineStr">
        <is>
          <t>HEIDELBERG</t>
        </is>
      </c>
      <c r="E182" s="12" t="inlineStr">
        <is>
          <t>IND/MEL/00181</t>
        </is>
      </c>
      <c r="F182" s="13" t="inlineStr">
        <is>
          <t>F</t>
        </is>
      </c>
      <c r="G182" s="11" t="inlineStr">
        <is>
          <t>Rohit Rao</t>
        </is>
      </c>
      <c r="H182" s="11" t="inlineStr">
        <is>
          <t>Alya Rao</t>
        </is>
      </c>
      <c r="I182" s="18" t="n">
        <v>45780</v>
      </c>
      <c r="J182" s="13" t="inlineStr">
        <is>
          <t>140 Birchwood Lane</t>
        </is>
      </c>
      <c r="K182" s="13" t="inlineStr">
        <is>
          <t>Emerald Road</t>
        </is>
      </c>
      <c r="L182" s="13" t="inlineStr">
        <is>
          <t>PIN:499471 HEIDELBERG</t>
        </is>
      </c>
      <c r="M182" s="13" t="inlineStr">
        <is>
          <t>MHA/IND/00181</t>
        </is>
      </c>
      <c r="N182" s="18" t="n">
        <v>45866</v>
      </c>
    </row>
    <row r="183">
      <c r="A183" s="28" t="n">
        <v>182</v>
      </c>
      <c r="B183" s="1" t="inlineStr">
        <is>
          <t>NEIL RISHKAN</t>
        </is>
      </c>
      <c r="C183" s="33" t="n">
        <v>45800</v>
      </c>
      <c r="D183" s="11" t="inlineStr">
        <is>
          <t>BALLARAT CENTRAL</t>
        </is>
      </c>
      <c r="E183" s="12" t="inlineStr">
        <is>
          <t>IND/MEL/00182</t>
        </is>
      </c>
      <c r="F183" s="13" t="inlineStr">
        <is>
          <t>M</t>
        </is>
      </c>
      <c r="G183" s="11" t="inlineStr">
        <is>
          <t>Neil Rishkan</t>
        </is>
      </c>
      <c r="H183" s="11" t="inlineStr">
        <is>
          <t>Nina Rishkan</t>
        </is>
      </c>
      <c r="I183" s="18" t="n">
        <v>45822</v>
      </c>
      <c r="J183" s="13" t="inlineStr">
        <is>
          <t>80 Birchwood Lane</t>
        </is>
      </c>
      <c r="K183" s="13" t="inlineStr">
        <is>
          <t>Emerald Road</t>
        </is>
      </c>
      <c r="L183" s="13" t="inlineStr">
        <is>
          <t>PIN:295625 BALLARAT CENTRAL</t>
        </is>
      </c>
      <c r="M183" s="13" t="inlineStr">
        <is>
          <t>MHA/IND/00182</t>
        </is>
      </c>
      <c r="N183" s="18" t="n">
        <v>45851</v>
      </c>
    </row>
    <row r="184">
      <c r="A184" s="28" t="n">
        <v>183</v>
      </c>
      <c r="B184" s="1" t="inlineStr">
        <is>
          <t>RIYA SHARMA</t>
        </is>
      </c>
      <c r="C184" s="33" t="n">
        <v>45932</v>
      </c>
      <c r="D184" s="13" t="inlineStr">
        <is>
          <t>BUNDABERG</t>
        </is>
      </c>
      <c r="E184" s="12" t="inlineStr">
        <is>
          <t>IND/MEL/00183</t>
        </is>
      </c>
      <c r="F184" s="13" t="inlineStr">
        <is>
          <t>F</t>
        </is>
      </c>
      <c r="G184" s="11" t="inlineStr">
        <is>
          <t>Kabir Sharma</t>
        </is>
      </c>
      <c r="H184" s="11" t="inlineStr">
        <is>
          <t>Alya Sharma</t>
        </is>
      </c>
      <c r="I184" s="18" t="n">
        <v>45950</v>
      </c>
      <c r="J184" s="13" t="inlineStr">
        <is>
          <t>164 Birchwood Lane</t>
        </is>
      </c>
      <c r="K184" s="13" t="inlineStr">
        <is>
          <t>Emerald Road</t>
        </is>
      </c>
      <c r="L184" s="13" t="inlineStr">
        <is>
          <t>PIN:842372 BUNDABERG</t>
        </is>
      </c>
      <c r="M184" s="13" t="inlineStr">
        <is>
          <t>MHA/IND/00183</t>
        </is>
      </c>
      <c r="N184" s="18" t="n">
        <v>45885</v>
      </c>
    </row>
    <row r="185" ht="30" customHeight="1">
      <c r="A185" s="28" t="n">
        <v>184</v>
      </c>
      <c r="B185" s="1" t="inlineStr">
        <is>
          <t>ALYA SHARMA</t>
        </is>
      </c>
      <c r="C185" s="33" t="n">
        <v>45775</v>
      </c>
      <c r="D185" s="13" t="inlineStr">
        <is>
          <t>LAUNCESTON</t>
        </is>
      </c>
      <c r="E185" s="12" t="inlineStr">
        <is>
          <t>IND/MEL/00184</t>
        </is>
      </c>
      <c r="F185" s="13" t="inlineStr">
        <is>
          <t>F</t>
        </is>
      </c>
      <c r="G185" s="11" t="inlineStr">
        <is>
          <t>Kabir Sharma</t>
        </is>
      </c>
      <c r="H185" s="11" t="inlineStr">
        <is>
          <t>Alya Sharma</t>
        </is>
      </c>
      <c r="I185" s="18" t="n">
        <v>45864</v>
      </c>
      <c r="J185" s="13" t="inlineStr">
        <is>
          <t>15 Birchwood Lane</t>
        </is>
      </c>
      <c r="K185" s="13" t="inlineStr">
        <is>
          <t>Emerald Road</t>
        </is>
      </c>
      <c r="L185" s="13" t="inlineStr">
        <is>
          <t>PIN:931268 LAUNCESTON</t>
        </is>
      </c>
      <c r="M185" s="13" t="inlineStr">
        <is>
          <t>MHA/IND/00184</t>
        </is>
      </c>
      <c r="N185" s="18" t="n">
        <v>45897</v>
      </c>
    </row>
    <row r="186">
      <c r="A186" s="28" t="n">
        <v>185</v>
      </c>
      <c r="B186" s="1" t="inlineStr">
        <is>
          <t>SARA KALEON</t>
        </is>
      </c>
      <c r="C186" s="33" t="n">
        <v>45942</v>
      </c>
      <c r="D186" s="13" t="inlineStr">
        <is>
          <t>BUNDOORA</t>
        </is>
      </c>
      <c r="E186" s="12" t="inlineStr">
        <is>
          <t>IND/MEL/00185</t>
        </is>
      </c>
      <c r="F186" s="13" t="inlineStr">
        <is>
          <t>F</t>
        </is>
      </c>
      <c r="G186" s="11" t="inlineStr">
        <is>
          <t>Kabir Kaleon</t>
        </is>
      </c>
      <c r="H186" s="11" t="inlineStr">
        <is>
          <t>Mira Kaleon</t>
        </is>
      </c>
      <c r="I186" s="18" t="n">
        <v>45975</v>
      </c>
      <c r="J186" s="13" t="inlineStr">
        <is>
          <t>100 Birchwood Lane</t>
        </is>
      </c>
      <c r="K186" s="13" t="inlineStr">
        <is>
          <t>Emerald Road</t>
        </is>
      </c>
      <c r="L186" s="13" t="inlineStr">
        <is>
          <t>PIN:115514 BUNDOORA</t>
        </is>
      </c>
      <c r="M186" s="13" t="inlineStr">
        <is>
          <t>MHA/IND/00185</t>
        </is>
      </c>
      <c r="N186" s="18" t="n">
        <v>45858</v>
      </c>
    </row>
    <row r="187" ht="30" customHeight="1">
      <c r="A187" s="28" t="n">
        <v>186</v>
      </c>
      <c r="B187" s="1" t="inlineStr">
        <is>
          <t>ARJUN VALZARI</t>
        </is>
      </c>
      <c r="C187" s="33" t="n">
        <v>45664</v>
      </c>
      <c r="D187" s="11" t="inlineStr">
        <is>
          <t>ST ALBANS</t>
        </is>
      </c>
      <c r="E187" s="12" t="inlineStr">
        <is>
          <t>IND/MEL/00186</t>
        </is>
      </c>
      <c r="F187" s="13" t="inlineStr">
        <is>
          <t>M</t>
        </is>
      </c>
      <c r="G187" s="11" t="inlineStr">
        <is>
          <t>Arjun Valzari</t>
        </is>
      </c>
      <c r="H187" s="11" t="inlineStr">
        <is>
          <t>Alya Valzari</t>
        </is>
      </c>
      <c r="I187" s="18" t="n">
        <v>45725</v>
      </c>
      <c r="J187" s="13" t="inlineStr">
        <is>
          <t>140 Birchwood Lane</t>
        </is>
      </c>
      <c r="K187" s="13" t="inlineStr">
        <is>
          <t>Emerald Road</t>
        </is>
      </c>
      <c r="L187" s="13" t="inlineStr">
        <is>
          <t>PIN:979619 ST ALBANS</t>
        </is>
      </c>
      <c r="M187" s="13" t="inlineStr">
        <is>
          <t>MHA/IND/00186</t>
        </is>
      </c>
      <c r="N187" s="18" t="n">
        <v>45859</v>
      </c>
    </row>
    <row r="188">
      <c r="A188" s="28" t="n">
        <v>187</v>
      </c>
      <c r="B188" s="1" t="inlineStr">
        <is>
          <t>NEIL VALZARI</t>
        </is>
      </c>
      <c r="C188" s="33" t="n">
        <v>45894</v>
      </c>
      <c r="D188" s="11" t="inlineStr">
        <is>
          <t>BLACKTOWN</t>
        </is>
      </c>
      <c r="E188" s="12" t="inlineStr">
        <is>
          <t>IND/MEL/00187</t>
        </is>
      </c>
      <c r="F188" s="13" t="inlineStr">
        <is>
          <t>M</t>
        </is>
      </c>
      <c r="G188" s="11" t="inlineStr">
        <is>
          <t>Ishan Valzari</t>
        </is>
      </c>
      <c r="H188" s="11" t="inlineStr">
        <is>
          <t>Sara Valzari</t>
        </is>
      </c>
      <c r="I188" s="18" t="n">
        <v>45951</v>
      </c>
      <c r="J188" s="13" t="inlineStr">
        <is>
          <t>59 Birchwood Lane</t>
        </is>
      </c>
      <c r="K188" s="13" t="inlineStr">
        <is>
          <t>Emerald Road</t>
        </is>
      </c>
      <c r="L188" s="13" t="inlineStr">
        <is>
          <t>PIN:338900 BLACKTOWN</t>
        </is>
      </c>
      <c r="M188" s="13" t="inlineStr">
        <is>
          <t>MHA/IND/00187</t>
        </is>
      </c>
      <c r="N188" s="18" t="n">
        <v>45895</v>
      </c>
    </row>
    <row r="189" ht="30" customHeight="1">
      <c r="A189" s="28" t="n">
        <v>188</v>
      </c>
      <c r="B189" s="1" t="inlineStr">
        <is>
          <t>ANYA RISHKAN</t>
        </is>
      </c>
      <c r="C189" s="33" t="n">
        <v>45891</v>
      </c>
      <c r="D189" s="11" t="inlineStr">
        <is>
          <t>DARWIN</t>
        </is>
      </c>
      <c r="E189" s="12" t="inlineStr">
        <is>
          <t>IND/MEL/00188</t>
        </is>
      </c>
      <c r="F189" s="13" t="inlineStr">
        <is>
          <t>F</t>
        </is>
      </c>
      <c r="G189" s="11" t="inlineStr">
        <is>
          <t>Rohit Rishkan</t>
        </is>
      </c>
      <c r="H189" s="11" t="inlineStr">
        <is>
          <t>Mira Rishkan</t>
        </is>
      </c>
      <c r="I189" s="18" t="n">
        <v>45934</v>
      </c>
      <c r="J189" s="13" t="inlineStr">
        <is>
          <t>125 Birchwood Lane</t>
        </is>
      </c>
      <c r="K189" s="13" t="inlineStr">
        <is>
          <t>Emerald Road</t>
        </is>
      </c>
      <c r="L189" s="13" t="inlineStr">
        <is>
          <t>PIN:311709 DARWIN</t>
        </is>
      </c>
      <c r="M189" s="13" t="inlineStr">
        <is>
          <t>MHA/IND/00188</t>
        </is>
      </c>
      <c r="N189" s="18" t="n">
        <v>45884</v>
      </c>
    </row>
    <row r="190">
      <c r="A190" s="28" t="n">
        <v>189</v>
      </c>
      <c r="B190" s="1" t="inlineStr">
        <is>
          <t>RIYA VALZARI</t>
        </is>
      </c>
      <c r="C190" s="33" t="n">
        <v>45681</v>
      </c>
      <c r="D190" s="11" t="inlineStr">
        <is>
          <t>TOWNSVILLE</t>
        </is>
      </c>
      <c r="E190" s="12" t="inlineStr">
        <is>
          <t>IND/MEL/00189</t>
        </is>
      </c>
      <c r="F190" s="13" t="inlineStr">
        <is>
          <t>F</t>
        </is>
      </c>
      <c r="G190" s="11" t="inlineStr">
        <is>
          <t>Kiran Valzari</t>
        </is>
      </c>
      <c r="H190" s="11" t="inlineStr">
        <is>
          <t>Riya Valzari</t>
        </is>
      </c>
      <c r="I190" s="18" t="n">
        <v>45731</v>
      </c>
      <c r="J190" s="13" t="inlineStr">
        <is>
          <t>66 Birchwood Lane</t>
        </is>
      </c>
      <c r="K190" s="13" t="inlineStr">
        <is>
          <t>Emerald Road</t>
        </is>
      </c>
      <c r="L190" s="13" t="inlineStr">
        <is>
          <t>PIN:614427 TOWNSVILLE</t>
        </is>
      </c>
      <c r="M190" s="13" t="inlineStr">
        <is>
          <t>MHA/IND/00189</t>
        </is>
      </c>
      <c r="N190" s="18" t="n">
        <v>45857</v>
      </c>
    </row>
    <row r="191" ht="30" customHeight="1">
      <c r="A191" s="28" t="n">
        <v>190</v>
      </c>
      <c r="B191" s="1" t="inlineStr">
        <is>
          <t>NINA MYRTHOS</t>
        </is>
      </c>
      <c r="C191" s="33" t="n">
        <v>45792</v>
      </c>
      <c r="D191" s="13" t="inlineStr">
        <is>
          <t>MANDURAH</t>
        </is>
      </c>
      <c r="E191" s="12" t="inlineStr">
        <is>
          <t>IND/MEL/00190</t>
        </is>
      </c>
      <c r="F191" s="13" t="inlineStr">
        <is>
          <t>F</t>
        </is>
      </c>
      <c r="G191" s="11" t="inlineStr">
        <is>
          <t>Neil Myrthos</t>
        </is>
      </c>
      <c r="H191" s="11" t="inlineStr">
        <is>
          <t>Mira Myrthos</t>
        </is>
      </c>
      <c r="I191" s="18" t="n">
        <v>45804</v>
      </c>
      <c r="J191" s="13" t="inlineStr">
        <is>
          <t>141 Birchwood Lane</t>
        </is>
      </c>
      <c r="K191" s="13" t="inlineStr">
        <is>
          <t>Emerald Road</t>
        </is>
      </c>
      <c r="L191" s="13" t="inlineStr">
        <is>
          <t>PIN:221704 MANDURAH</t>
        </is>
      </c>
      <c r="M191" s="13" t="inlineStr">
        <is>
          <t>MHA/IND/00190</t>
        </is>
      </c>
      <c r="N191" s="18" t="n">
        <v>45856</v>
      </c>
    </row>
    <row r="192" ht="30" customHeight="1">
      <c r="A192" s="28" t="n">
        <v>191</v>
      </c>
      <c r="B192" s="1" t="inlineStr">
        <is>
          <t>KABIR KALEON</t>
        </is>
      </c>
      <c r="C192" s="33" t="n">
        <v>45720</v>
      </c>
      <c r="D192" s="13" t="inlineStr">
        <is>
          <t>CLAYTON</t>
        </is>
      </c>
      <c r="E192" s="12" t="inlineStr">
        <is>
          <t>IND/MEL/00191</t>
        </is>
      </c>
      <c r="F192" s="13" t="inlineStr">
        <is>
          <t>M</t>
        </is>
      </c>
      <c r="G192" s="11" t="inlineStr">
        <is>
          <t>Kabir Kaleon</t>
        </is>
      </c>
      <c r="H192" s="11" t="inlineStr">
        <is>
          <t>Tara Kaleon</t>
        </is>
      </c>
      <c r="I192" s="18" t="n">
        <v>45828</v>
      </c>
      <c r="J192" s="13" t="inlineStr">
        <is>
          <t>185 Birchwood Lane</t>
        </is>
      </c>
      <c r="K192" s="13" t="inlineStr">
        <is>
          <t>Emerald Road</t>
        </is>
      </c>
      <c r="L192" s="13" t="inlineStr">
        <is>
          <t>PIN:746995 CLAYTON</t>
        </is>
      </c>
      <c r="M192" s="13" t="inlineStr">
        <is>
          <t>MHA/IND/00191</t>
        </is>
      </c>
      <c r="N192" s="18" t="n">
        <v>45870</v>
      </c>
    </row>
    <row r="193" ht="30" customHeight="1">
      <c r="A193" s="28" t="n">
        <v>192</v>
      </c>
      <c r="B193" s="1" t="inlineStr">
        <is>
          <t>MIRA MYRTHOS</t>
        </is>
      </c>
      <c r="C193" s="33" t="n">
        <v>45902</v>
      </c>
      <c r="D193" s="11" t="inlineStr">
        <is>
          <t>WAGGA WAGGA</t>
        </is>
      </c>
      <c r="E193" s="12" t="inlineStr">
        <is>
          <t>IND/MEL/00192</t>
        </is>
      </c>
      <c r="F193" s="13" t="inlineStr">
        <is>
          <t>F</t>
        </is>
      </c>
      <c r="G193" s="11" t="inlineStr">
        <is>
          <t>Kiran Myrthos</t>
        </is>
      </c>
      <c r="H193" s="11" t="inlineStr">
        <is>
          <t>Sara Myrthos</t>
        </is>
      </c>
      <c r="I193" s="18" t="n">
        <v>45948</v>
      </c>
      <c r="J193" s="13" t="inlineStr">
        <is>
          <t>91 Birchwood Lane</t>
        </is>
      </c>
      <c r="K193" s="13" t="inlineStr">
        <is>
          <t>Emerald Road</t>
        </is>
      </c>
      <c r="L193" s="13" t="inlineStr">
        <is>
          <t>PIN:224333 WAGGA WAGGA</t>
        </is>
      </c>
      <c r="M193" s="9" t="inlineStr">
        <is>
          <t>MHA/IND/00192</t>
        </is>
      </c>
      <c r="N193" s="33" t="n">
        <v>45885</v>
      </c>
    </row>
    <row r="194" ht="30" customHeight="1">
      <c r="A194" s="28" t="n">
        <v>193</v>
      </c>
      <c r="B194" s="1" t="inlineStr">
        <is>
          <t>KIRAN SHARMA</t>
        </is>
      </c>
      <c r="C194" s="33" t="n">
        <v>45772</v>
      </c>
      <c r="D194" s="11" t="inlineStr">
        <is>
          <t>BOX HILL</t>
        </is>
      </c>
      <c r="E194" s="12" t="inlineStr">
        <is>
          <t>IND/MEL/00193</t>
        </is>
      </c>
      <c r="F194" s="13" t="inlineStr">
        <is>
          <t>M</t>
        </is>
      </c>
      <c r="G194" s="11" t="inlineStr">
        <is>
          <t>Rohit Sharma</t>
        </is>
      </c>
      <c r="H194" s="11" t="inlineStr">
        <is>
          <t>Anya Sharma</t>
        </is>
      </c>
      <c r="I194" s="18" t="n">
        <v>45866</v>
      </c>
      <c r="J194" s="13" t="inlineStr">
        <is>
          <t>177 Birchwood Lane</t>
        </is>
      </c>
      <c r="K194" s="13" t="inlineStr">
        <is>
          <t>Emerald Road</t>
        </is>
      </c>
      <c r="L194" s="13" t="inlineStr">
        <is>
          <t>PIN:240679 BOX HILL</t>
        </is>
      </c>
      <c r="M194" s="10" t="inlineStr">
        <is>
          <t>MHA/IND/00193</t>
        </is>
      </c>
      <c r="N194" s="18" t="n">
        <v>45871</v>
      </c>
    </row>
    <row r="195">
      <c r="A195" s="28" t="n">
        <v>194</v>
      </c>
      <c r="B195" s="1" t="inlineStr">
        <is>
          <t>KIRAN KALEON</t>
        </is>
      </c>
      <c r="C195" s="33" t="n">
        <v>45877</v>
      </c>
      <c r="D195" s="11" t="inlineStr">
        <is>
          <t>ARMADALE</t>
        </is>
      </c>
      <c r="E195" s="12" t="inlineStr">
        <is>
          <t>IND/MEL/00194</t>
        </is>
      </c>
      <c r="F195" s="13" t="inlineStr">
        <is>
          <t>M</t>
        </is>
      </c>
      <c r="G195" s="11" t="inlineStr">
        <is>
          <t>Neil Kaleon</t>
        </is>
      </c>
      <c r="H195" s="11" t="inlineStr">
        <is>
          <t>Alya Kaleon</t>
        </is>
      </c>
      <c r="I195" s="18" t="n">
        <v>45911</v>
      </c>
      <c r="J195" s="13" t="inlineStr">
        <is>
          <t>129 Birchwood Lane</t>
        </is>
      </c>
      <c r="K195" s="13" t="inlineStr">
        <is>
          <t>Emerald Road</t>
        </is>
      </c>
      <c r="L195" s="13" t="inlineStr">
        <is>
          <t>PIN:586924 ARMADALE</t>
        </is>
      </c>
      <c r="M195" s="10" t="inlineStr">
        <is>
          <t>MHA/IND/00194</t>
        </is>
      </c>
      <c r="N195" s="18" t="n">
        <v>45861</v>
      </c>
    </row>
    <row r="196">
      <c r="A196" s="28" t="n">
        <v>195</v>
      </c>
      <c r="B196" s="1" t="inlineStr">
        <is>
          <t>TARA SINDALE</t>
        </is>
      </c>
      <c r="C196" s="33" t="n">
        <v>45719</v>
      </c>
      <c r="D196" s="11" t="inlineStr">
        <is>
          <t>BUNDABERG</t>
        </is>
      </c>
      <c r="E196" s="12" t="inlineStr">
        <is>
          <t>IND/MEL/00195</t>
        </is>
      </c>
      <c r="F196" s="13" t="inlineStr">
        <is>
          <t>F</t>
        </is>
      </c>
      <c r="G196" s="11" t="inlineStr">
        <is>
          <t>Kiran Sindale</t>
        </is>
      </c>
      <c r="H196" s="11" t="inlineStr">
        <is>
          <t>Riya Sindale</t>
        </is>
      </c>
      <c r="I196" s="18" t="n">
        <v>45770</v>
      </c>
      <c r="J196" s="13" t="inlineStr">
        <is>
          <t>16 Birchwood Lane</t>
        </is>
      </c>
      <c r="K196" s="13" t="inlineStr">
        <is>
          <t>Emerald Road</t>
        </is>
      </c>
      <c r="L196" s="13" t="inlineStr">
        <is>
          <t>PIN:282096 BUNDABERG</t>
        </is>
      </c>
      <c r="M196" s="10" t="inlineStr">
        <is>
          <t>MHA/IND/00195</t>
        </is>
      </c>
      <c r="N196" s="18" t="n">
        <v>45873</v>
      </c>
    </row>
    <row r="197" ht="30" customHeight="1">
      <c r="A197" s="28" t="n">
        <v>196</v>
      </c>
      <c r="B197" s="1" t="inlineStr">
        <is>
          <t>DEV RAO</t>
        </is>
      </c>
      <c r="C197" s="33" t="n">
        <v>45744</v>
      </c>
      <c r="D197" s="11" t="inlineStr">
        <is>
          <t>CANBERRA</t>
        </is>
      </c>
      <c r="E197" s="12" t="inlineStr">
        <is>
          <t>IND/MEL/00196</t>
        </is>
      </c>
      <c r="F197" s="13" t="inlineStr">
        <is>
          <t>M</t>
        </is>
      </c>
      <c r="G197" s="11" t="inlineStr">
        <is>
          <t>Arjun Rao</t>
        </is>
      </c>
      <c r="H197" s="11" t="inlineStr">
        <is>
          <t>Sara Rao</t>
        </is>
      </c>
      <c r="I197" s="18" t="n">
        <v>45788</v>
      </c>
      <c r="J197" s="13" t="inlineStr">
        <is>
          <t>41 Birchwood Lane</t>
        </is>
      </c>
      <c r="K197" s="13" t="inlineStr">
        <is>
          <t>Emerald Road</t>
        </is>
      </c>
      <c r="L197" s="13" t="inlineStr">
        <is>
          <t>PIN:342753 CANBERRA</t>
        </is>
      </c>
      <c r="M197" s="10" t="inlineStr">
        <is>
          <t>MHA/IND/00196</t>
        </is>
      </c>
      <c r="N197" s="18" t="n">
        <v>45853</v>
      </c>
    </row>
    <row r="198">
      <c r="A198" s="28" t="n">
        <v>197</v>
      </c>
      <c r="B198" s="1" t="inlineStr">
        <is>
          <t>ISHAN RISHKAN</t>
        </is>
      </c>
      <c r="C198" s="33" t="n">
        <v>45825</v>
      </c>
      <c r="D198" s="13" t="inlineStr">
        <is>
          <t>DALBY</t>
        </is>
      </c>
      <c r="E198" s="12" t="inlineStr">
        <is>
          <t>IND/MEL/00197</t>
        </is>
      </c>
      <c r="F198" s="13" t="inlineStr">
        <is>
          <t>M</t>
        </is>
      </c>
      <c r="G198" s="11" t="inlineStr">
        <is>
          <t>Arjun Rishkan</t>
        </is>
      </c>
      <c r="H198" s="11" t="inlineStr">
        <is>
          <t>Sara Rishkan</t>
        </is>
      </c>
      <c r="I198" s="18" t="n">
        <v>45852</v>
      </c>
      <c r="J198" s="13" t="inlineStr">
        <is>
          <t>153 Birchwood Lane</t>
        </is>
      </c>
      <c r="K198" s="13" t="inlineStr">
        <is>
          <t>Emerald Road</t>
        </is>
      </c>
      <c r="L198" s="13" t="inlineStr">
        <is>
          <t>PIN:321233 DALBY</t>
        </is>
      </c>
      <c r="M198" s="10" t="inlineStr">
        <is>
          <t>MHA/IND/00197</t>
        </is>
      </c>
      <c r="N198" s="18" t="n">
        <v>45865</v>
      </c>
    </row>
    <row r="199">
      <c r="A199" s="28" t="n">
        <v>198</v>
      </c>
      <c r="B199" s="1" t="inlineStr">
        <is>
          <t>KABIR SINDALE</t>
        </is>
      </c>
      <c r="C199" s="33" t="n">
        <v>45917</v>
      </c>
      <c r="D199" s="13" t="inlineStr">
        <is>
          <t>FREMANTLE</t>
        </is>
      </c>
      <c r="E199" s="12" t="inlineStr">
        <is>
          <t>IND/MEL/00198</t>
        </is>
      </c>
      <c r="F199" s="13" t="inlineStr">
        <is>
          <t>M</t>
        </is>
      </c>
      <c r="G199" s="11" t="inlineStr">
        <is>
          <t>Dev Sindale</t>
        </is>
      </c>
      <c r="H199" s="11" t="inlineStr">
        <is>
          <t>Mira Sindale</t>
        </is>
      </c>
      <c r="I199" s="18" t="n">
        <v>46021</v>
      </c>
      <c r="J199" s="13" t="inlineStr">
        <is>
          <t>85 Birchwood Lane</t>
        </is>
      </c>
      <c r="K199" s="13" t="inlineStr">
        <is>
          <t>Emerald Road</t>
        </is>
      </c>
      <c r="L199" s="13" t="inlineStr">
        <is>
          <t>PIN:895271 FREMANTLE</t>
        </is>
      </c>
      <c r="M199" s="10" t="inlineStr">
        <is>
          <t>MHA/IND/00198</t>
        </is>
      </c>
      <c r="N199" s="18" t="n">
        <v>45840</v>
      </c>
    </row>
    <row r="200">
      <c r="A200" s="28" t="n">
        <v>199</v>
      </c>
      <c r="B200" s="1" t="inlineStr">
        <is>
          <t>KABIR SINDALE</t>
        </is>
      </c>
      <c r="C200" s="33" t="n">
        <v>45872</v>
      </c>
      <c r="D200" s="13" t="inlineStr">
        <is>
          <t>MILDURA</t>
        </is>
      </c>
      <c r="E200" s="12" t="inlineStr">
        <is>
          <t>IND/MEL/00199</t>
        </is>
      </c>
      <c r="F200" s="13" t="inlineStr">
        <is>
          <t>M</t>
        </is>
      </c>
      <c r="G200" s="11" t="inlineStr">
        <is>
          <t>Rohit Sindale</t>
        </is>
      </c>
      <c r="H200" s="11" t="inlineStr">
        <is>
          <t>Riya Sindale</t>
        </is>
      </c>
      <c r="I200" s="18" t="n">
        <v>45939</v>
      </c>
      <c r="J200" s="13" t="inlineStr">
        <is>
          <t>79 Birchwood Lane</t>
        </is>
      </c>
      <c r="K200" s="13" t="inlineStr">
        <is>
          <t>Emerald Road</t>
        </is>
      </c>
      <c r="L200" s="13" t="inlineStr">
        <is>
          <t>PIN:922144 MILDURA</t>
        </is>
      </c>
      <c r="M200" s="10" t="inlineStr">
        <is>
          <t>MHA/IND/00199</t>
        </is>
      </c>
      <c r="N200" s="18" t="n">
        <v>45878</v>
      </c>
    </row>
    <row r="201" ht="30" customHeight="1">
      <c r="A201" s="28" t="n">
        <v>200</v>
      </c>
      <c r="B201" s="1" t="inlineStr">
        <is>
          <t>AREN RAO</t>
        </is>
      </c>
      <c r="C201" s="33" t="n">
        <v>45678</v>
      </c>
      <c r="D201" s="11" t="inlineStr">
        <is>
          <t>BENDIGO</t>
        </is>
      </c>
      <c r="E201" s="12" t="inlineStr">
        <is>
          <t>IND/MEL/00200</t>
        </is>
      </c>
      <c r="F201" s="13" t="inlineStr">
        <is>
          <t>M</t>
        </is>
      </c>
      <c r="G201" s="11" t="inlineStr">
        <is>
          <t>Rohit Rao</t>
        </is>
      </c>
      <c r="H201" s="11" t="inlineStr">
        <is>
          <t>Alya Rao</t>
        </is>
      </c>
      <c r="I201" s="18" t="n">
        <v>45741</v>
      </c>
      <c r="J201" s="13" t="inlineStr">
        <is>
          <t>196 Birchwood Lane</t>
        </is>
      </c>
      <c r="K201" s="13" t="inlineStr">
        <is>
          <t>Emerald Road</t>
        </is>
      </c>
      <c r="L201" s="13" t="inlineStr">
        <is>
          <t>PIN:670585 BENDIGO</t>
        </is>
      </c>
      <c r="M201" s="10" t="inlineStr">
        <is>
          <t>MHA/IND/00200</t>
        </is>
      </c>
      <c r="N201" s="18" t="n">
        <v>45845</v>
      </c>
    </row>
    <row r="202" ht="30" customHeight="1">
      <c r="A202" s="28" t="n">
        <v>201</v>
      </c>
      <c r="B202" s="1" t="inlineStr">
        <is>
          <t>ANYA KALEON</t>
        </is>
      </c>
      <c r="C202" s="33" t="n">
        <v>45871</v>
      </c>
      <c r="D202" s="13" t="inlineStr">
        <is>
          <t>ELIZABETH VALE</t>
        </is>
      </c>
      <c r="E202" s="12" t="inlineStr">
        <is>
          <t>IND/MEL/00201</t>
        </is>
      </c>
      <c r="F202" s="13" t="inlineStr">
        <is>
          <t>F</t>
        </is>
      </c>
      <c r="G202" s="11" t="inlineStr">
        <is>
          <t>Arjun Kaleon</t>
        </is>
      </c>
      <c r="H202" s="11" t="inlineStr">
        <is>
          <t>Diya Kaleon</t>
        </is>
      </c>
      <c r="I202" s="18" t="n">
        <v>45877</v>
      </c>
      <c r="J202" s="13" t="inlineStr">
        <is>
          <t>21 Birchwood Lane</t>
        </is>
      </c>
      <c r="K202" s="13" t="inlineStr">
        <is>
          <t>Emerald Road</t>
        </is>
      </c>
      <c r="L202" s="13" t="inlineStr">
        <is>
          <t>PIN:270043 ELIZABETH VALE</t>
        </is>
      </c>
      <c r="M202" s="10" t="inlineStr">
        <is>
          <t>MHA/IND/00201</t>
        </is>
      </c>
      <c r="N202" s="18" t="n">
        <v>45858</v>
      </c>
    </row>
    <row r="203">
      <c r="A203" s="28" t="n">
        <v>202</v>
      </c>
      <c r="B203" s="1" t="inlineStr">
        <is>
          <t>TARA SHARMA</t>
        </is>
      </c>
      <c r="C203" s="33" t="n">
        <v>45678</v>
      </c>
      <c r="D203" s="13" t="inlineStr">
        <is>
          <t>ROCKHAMPTON</t>
        </is>
      </c>
      <c r="E203" s="12" t="inlineStr">
        <is>
          <t>IND/MEL/00202</t>
        </is>
      </c>
      <c r="F203" s="13" t="inlineStr">
        <is>
          <t>F</t>
        </is>
      </c>
      <c r="G203" s="11" t="inlineStr">
        <is>
          <t>Ishan Sharma</t>
        </is>
      </c>
      <c r="H203" s="11" t="inlineStr">
        <is>
          <t>Alya Sharma</t>
        </is>
      </c>
      <c r="I203" s="18" t="n">
        <v>45723</v>
      </c>
      <c r="J203" s="13" t="inlineStr">
        <is>
          <t>18 Birchwood Lane</t>
        </is>
      </c>
      <c r="K203" s="13" t="inlineStr">
        <is>
          <t>Emerald Road</t>
        </is>
      </c>
      <c r="L203" s="13" t="inlineStr">
        <is>
          <t>PIN:303591 ROCKHAMPTON</t>
        </is>
      </c>
      <c r="M203" s="10" t="inlineStr">
        <is>
          <t>MHA/IND/00202</t>
        </is>
      </c>
      <c r="N203" s="18" t="n">
        <v>45865</v>
      </c>
    </row>
    <row r="204">
      <c r="A204" s="28" t="n">
        <v>203</v>
      </c>
      <c r="B204" s="1" t="inlineStr">
        <is>
          <t>NINA RISHKAN</t>
        </is>
      </c>
      <c r="C204" s="33" t="n">
        <v>45759</v>
      </c>
      <c r="D204" s="13" t="inlineStr">
        <is>
          <t>PENRITH</t>
        </is>
      </c>
      <c r="E204" s="12" t="inlineStr">
        <is>
          <t>IND/MEL/00203</t>
        </is>
      </c>
      <c r="F204" s="13" t="inlineStr">
        <is>
          <t>F</t>
        </is>
      </c>
      <c r="G204" s="11" t="inlineStr">
        <is>
          <t>Rohit Rishkan</t>
        </is>
      </c>
      <c r="H204" s="11" t="inlineStr">
        <is>
          <t>Diya Rishkan</t>
        </is>
      </c>
      <c r="I204" s="18" t="n">
        <v>45784</v>
      </c>
      <c r="J204" s="13" t="inlineStr">
        <is>
          <t>15 Birchwood Lane</t>
        </is>
      </c>
      <c r="K204" s="13" t="inlineStr">
        <is>
          <t>Emerald Road</t>
        </is>
      </c>
      <c r="L204" s="13" t="inlineStr">
        <is>
          <t>PIN:224030 PENRITH</t>
        </is>
      </c>
      <c r="M204" s="10" t="inlineStr">
        <is>
          <t>MHA/IND/00203</t>
        </is>
      </c>
      <c r="N204" s="18" t="n">
        <v>45885</v>
      </c>
    </row>
    <row r="205">
      <c r="A205" s="28" t="n">
        <v>204</v>
      </c>
      <c r="B205" s="1" t="inlineStr">
        <is>
          <t>ISHAN SHARMA</t>
        </is>
      </c>
      <c r="C205" s="33" t="n">
        <v>45922</v>
      </c>
      <c r="D205" s="13" t="inlineStr">
        <is>
          <t>SHEPPARTON</t>
        </is>
      </c>
      <c r="E205" s="12" t="inlineStr">
        <is>
          <t>IND/MEL/00204</t>
        </is>
      </c>
      <c r="F205" s="13" t="inlineStr">
        <is>
          <t>M</t>
        </is>
      </c>
      <c r="G205" s="11" t="inlineStr">
        <is>
          <t>Kiran Sharma</t>
        </is>
      </c>
      <c r="H205" s="11" t="inlineStr">
        <is>
          <t>Anya Sharma</t>
        </is>
      </c>
      <c r="I205" s="18" t="n">
        <v>46001</v>
      </c>
      <c r="J205" s="13" t="inlineStr">
        <is>
          <t>80 Birchwood Lane</t>
        </is>
      </c>
      <c r="K205" s="13" t="inlineStr">
        <is>
          <t>Emerald Road</t>
        </is>
      </c>
      <c r="L205" s="13" t="inlineStr">
        <is>
          <t>PIN:482859 SHEPPARTON</t>
        </is>
      </c>
      <c r="M205" s="10" t="inlineStr">
        <is>
          <t>MHA/IND/00204</t>
        </is>
      </c>
      <c r="N205" s="18" t="n">
        <v>45867</v>
      </c>
    </row>
    <row r="206" ht="16.5" customHeight="1" thickBot="1">
      <c r="A206" s="28" t="n">
        <v>205</v>
      </c>
      <c r="B206" s="1" t="inlineStr">
        <is>
          <t>DIYA KALEON</t>
        </is>
      </c>
      <c r="C206" s="43" t="n">
        <v>45951</v>
      </c>
      <c r="D206" s="13" t="inlineStr">
        <is>
          <t>CANBERRA</t>
        </is>
      </c>
      <c r="E206" s="12" t="inlineStr">
        <is>
          <t>IND/MEL/00205</t>
        </is>
      </c>
      <c r="F206" s="13" t="inlineStr">
        <is>
          <t>F</t>
        </is>
      </c>
      <c r="G206" s="11" t="inlineStr">
        <is>
          <t>Rohit Kaleon</t>
        </is>
      </c>
      <c r="H206" s="11" t="inlineStr">
        <is>
          <t>Tara Kaleon</t>
        </is>
      </c>
      <c r="I206" s="18" t="n">
        <v>45996</v>
      </c>
      <c r="J206" s="13" t="inlineStr">
        <is>
          <t>125 Birchwood Lane</t>
        </is>
      </c>
      <c r="K206" s="13" t="inlineStr">
        <is>
          <t>Emerald Road</t>
        </is>
      </c>
      <c r="L206" s="13" t="inlineStr">
        <is>
          <t>PIN:924013 CANBERRA</t>
        </is>
      </c>
      <c r="M206" s="10" t="inlineStr">
        <is>
          <t>MHA/IND/00205</t>
        </is>
      </c>
      <c r="N206" s="18" t="n">
        <v>45895</v>
      </c>
    </row>
    <row r="207" ht="30" customHeight="1">
      <c r="A207" s="28" t="n">
        <v>206</v>
      </c>
      <c r="B207" s="1" t="inlineStr">
        <is>
          <t>SARA SINDALE</t>
        </is>
      </c>
      <c r="C207" s="33" t="n">
        <v>45810</v>
      </c>
      <c r="D207" s="13" t="inlineStr">
        <is>
          <t>KINGSWOOD</t>
        </is>
      </c>
      <c r="E207" s="12" t="inlineStr">
        <is>
          <t>IND/MEL/00206</t>
        </is>
      </c>
      <c r="F207" s="13" t="inlineStr">
        <is>
          <t>F</t>
        </is>
      </c>
      <c r="G207" s="11" t="inlineStr">
        <is>
          <t>Dev Sindale</t>
        </is>
      </c>
      <c r="H207" s="11" t="inlineStr">
        <is>
          <t>Sara Sindale</t>
        </is>
      </c>
      <c r="I207" s="18" t="n">
        <v>45883</v>
      </c>
      <c r="J207" s="13" t="inlineStr">
        <is>
          <t>41 Birchwood Lane</t>
        </is>
      </c>
      <c r="K207" s="13" t="inlineStr">
        <is>
          <t>Emerald Road</t>
        </is>
      </c>
      <c r="L207" s="13" t="inlineStr">
        <is>
          <t>PIN:781777 KINGSWOOD</t>
        </is>
      </c>
      <c r="M207" s="10" t="inlineStr">
        <is>
          <t>MHA/IND/00206</t>
        </is>
      </c>
      <c r="N207" s="18" t="n">
        <v>45847</v>
      </c>
    </row>
    <row r="208" ht="30" customHeight="1">
      <c r="A208" s="28" t="n">
        <v>207</v>
      </c>
      <c r="B208" s="1" t="inlineStr">
        <is>
          <t>ANYA RISHKAN</t>
        </is>
      </c>
      <c r="C208" s="33" t="n">
        <v>45803</v>
      </c>
      <c r="D208" s="13" t="inlineStr">
        <is>
          <t>LOGAN</t>
        </is>
      </c>
      <c r="E208" s="12" t="inlineStr">
        <is>
          <t>IND/MEL/00207</t>
        </is>
      </c>
      <c r="F208" s="13" t="inlineStr">
        <is>
          <t>F</t>
        </is>
      </c>
      <c r="G208" s="11" t="inlineStr">
        <is>
          <t>Ishan Rishkan</t>
        </is>
      </c>
      <c r="H208" s="11" t="inlineStr">
        <is>
          <t>Nina Rishkan</t>
        </is>
      </c>
      <c r="I208" s="18" t="n">
        <v>45810</v>
      </c>
      <c r="J208" s="13" t="inlineStr">
        <is>
          <t>185 Birchwood Lane</t>
        </is>
      </c>
      <c r="K208" s="13" t="inlineStr">
        <is>
          <t>Emerald Road</t>
        </is>
      </c>
      <c r="L208" s="13" t="inlineStr">
        <is>
          <t>PIN:787279 LOGAN</t>
        </is>
      </c>
      <c r="M208" s="10" t="inlineStr">
        <is>
          <t>MHA/IND/00207</t>
        </is>
      </c>
      <c r="N208" s="18" t="n">
        <v>45896</v>
      </c>
    </row>
    <row r="209" ht="16.5" customHeight="1" thickBot="1">
      <c r="A209" s="28" t="n">
        <v>208</v>
      </c>
      <c r="B209" s="1" t="inlineStr">
        <is>
          <t>ISHAN VALZARI</t>
        </is>
      </c>
      <c r="C209" s="43" t="n">
        <v>45745</v>
      </c>
      <c r="D209" s="13" t="inlineStr">
        <is>
          <t>WOLLONGONG</t>
        </is>
      </c>
      <c r="E209" s="12" t="inlineStr">
        <is>
          <t>IND/MEL/00208</t>
        </is>
      </c>
      <c r="F209" s="13" t="inlineStr">
        <is>
          <t>M</t>
        </is>
      </c>
      <c r="G209" s="11" t="inlineStr">
        <is>
          <t>Rohit Valzari</t>
        </is>
      </c>
      <c r="H209" s="11" t="inlineStr">
        <is>
          <t>Anya Valzari</t>
        </is>
      </c>
      <c r="I209" s="18" t="n">
        <v>45765</v>
      </c>
      <c r="J209" s="13" t="inlineStr">
        <is>
          <t>164 Birchwood Lane</t>
        </is>
      </c>
      <c r="K209" s="13" t="inlineStr">
        <is>
          <t>Emerald Road</t>
        </is>
      </c>
      <c r="L209" s="13" t="inlineStr">
        <is>
          <t>PIN:587534 WOLLONGONG</t>
        </is>
      </c>
      <c r="M209" s="10" t="inlineStr">
        <is>
          <t>MHA/IND/00208</t>
        </is>
      </c>
      <c r="N209" s="18" t="n">
        <v>45858</v>
      </c>
    </row>
    <row r="210" ht="30" customHeight="1">
      <c r="A210" s="28" t="n">
        <v>209</v>
      </c>
      <c r="B210" s="1" t="inlineStr">
        <is>
          <t>ANYA SHARMA</t>
        </is>
      </c>
      <c r="C210" s="33" t="n">
        <v>45710</v>
      </c>
      <c r="D210" s="13" t="inlineStr">
        <is>
          <t>LENAH VALLEY</t>
        </is>
      </c>
      <c r="E210" s="12" t="inlineStr">
        <is>
          <t>IND/MEL/00209</t>
        </is>
      </c>
      <c r="F210" s="13" t="inlineStr">
        <is>
          <t>F</t>
        </is>
      </c>
      <c r="G210" s="11" t="inlineStr">
        <is>
          <t>Ishan Sharma</t>
        </is>
      </c>
      <c r="H210" s="11" t="inlineStr">
        <is>
          <t>Mira Sharma</t>
        </is>
      </c>
      <c r="I210" s="18" t="n">
        <v>45826</v>
      </c>
      <c r="J210" s="13" t="inlineStr">
        <is>
          <t>173 Birchwood Lane</t>
        </is>
      </c>
      <c r="K210" s="13" t="inlineStr">
        <is>
          <t>Emerald Road</t>
        </is>
      </c>
      <c r="L210" s="13" t="inlineStr">
        <is>
          <t>PIN:603275 LENAH VALLEY</t>
        </is>
      </c>
      <c r="M210" s="10" t="inlineStr">
        <is>
          <t>MHA/IND/00209</t>
        </is>
      </c>
      <c r="N210" s="18" t="n">
        <v>45869</v>
      </c>
    </row>
    <row r="211">
      <c r="A211" s="28" t="n">
        <v>210</v>
      </c>
      <c r="B211" s="1" t="inlineStr">
        <is>
          <t>AREN SHARMA</t>
        </is>
      </c>
      <c r="C211" s="33" t="n">
        <v>45924</v>
      </c>
      <c r="D211" s="13" t="inlineStr">
        <is>
          <t>ST ALBANS</t>
        </is>
      </c>
      <c r="E211" s="12" t="inlineStr">
        <is>
          <t>IND/MEL/00210</t>
        </is>
      </c>
      <c r="F211" s="13" t="inlineStr">
        <is>
          <t>M</t>
        </is>
      </c>
      <c r="G211" s="11" t="inlineStr">
        <is>
          <t>Ishan Sharma</t>
        </is>
      </c>
      <c r="H211" s="11" t="inlineStr">
        <is>
          <t>Sara Sharma</t>
        </is>
      </c>
      <c r="I211" s="18" t="n">
        <v>45978</v>
      </c>
      <c r="J211" s="13" t="inlineStr">
        <is>
          <t>185 Birchwood Lane</t>
        </is>
      </c>
      <c r="K211" s="13" t="inlineStr">
        <is>
          <t>Emerald Road</t>
        </is>
      </c>
      <c r="L211" s="13" t="inlineStr">
        <is>
          <t>PIN:267223 ST ALBANS</t>
        </is>
      </c>
      <c r="M211" s="10" t="inlineStr">
        <is>
          <t>MHA/IND/00210</t>
        </is>
      </c>
      <c r="N211" s="18" t="n">
        <v>45853</v>
      </c>
    </row>
    <row r="212">
      <c r="A212" s="28" t="n">
        <v>211</v>
      </c>
      <c r="B212" s="1" t="inlineStr">
        <is>
          <t>KIRAN RAO</t>
        </is>
      </c>
      <c r="C212" s="33" t="n">
        <v>45884</v>
      </c>
      <c r="D212" s="13" t="inlineStr">
        <is>
          <t>MOUNT BARKER</t>
        </is>
      </c>
      <c r="E212" s="12" t="inlineStr">
        <is>
          <t>IND/MEL/00211</t>
        </is>
      </c>
      <c r="F212" s="13" t="inlineStr">
        <is>
          <t>M</t>
        </is>
      </c>
      <c r="G212" s="11" t="inlineStr">
        <is>
          <t>Arjun Rao</t>
        </is>
      </c>
      <c r="H212" s="11" t="inlineStr">
        <is>
          <t>Nina Rao</t>
        </is>
      </c>
      <c r="I212" s="18" t="n">
        <v>45993</v>
      </c>
      <c r="J212" s="13" t="inlineStr">
        <is>
          <t>34 Birchwood Lane</t>
        </is>
      </c>
      <c r="K212" s="13" t="inlineStr">
        <is>
          <t>Emerald Road</t>
        </is>
      </c>
      <c r="L212" s="13" t="inlineStr">
        <is>
          <t>PIN:714417 MOUNT BARKER</t>
        </is>
      </c>
      <c r="M212" s="10" t="inlineStr">
        <is>
          <t>MHA/IND/00211</t>
        </is>
      </c>
      <c r="N212" s="18" t="n">
        <v>45893</v>
      </c>
    </row>
    <row r="213" ht="30" customHeight="1">
      <c r="A213" s="28" t="n">
        <v>212</v>
      </c>
      <c r="B213" s="1" t="inlineStr">
        <is>
          <t>DIYA MYRTHOS</t>
        </is>
      </c>
      <c r="C213" s="33" t="n">
        <v>45849</v>
      </c>
      <c r="D213" s="13" t="inlineStr">
        <is>
          <t>WAGGA WAGGA</t>
        </is>
      </c>
      <c r="E213" s="12" t="inlineStr">
        <is>
          <t>IND/MEL/00212</t>
        </is>
      </c>
      <c r="F213" s="13" t="inlineStr">
        <is>
          <t>F</t>
        </is>
      </c>
      <c r="G213" s="11" t="inlineStr">
        <is>
          <t>Dev Myrthos</t>
        </is>
      </c>
      <c r="H213" s="11" t="inlineStr">
        <is>
          <t>Anya Myrthos</t>
        </is>
      </c>
      <c r="I213" s="18" t="n">
        <v>45947</v>
      </c>
      <c r="J213" s="13" t="inlineStr">
        <is>
          <t>180 Birchwood Lane</t>
        </is>
      </c>
      <c r="K213" s="13" t="inlineStr">
        <is>
          <t>Emerald Road</t>
        </is>
      </c>
      <c r="L213" s="13" t="inlineStr">
        <is>
          <t>PIN:547163 WAGGA WAGGA</t>
        </is>
      </c>
      <c r="M213" s="10" t="inlineStr">
        <is>
          <t>MHA/IND/00212</t>
        </is>
      </c>
      <c r="N213" s="18" t="n">
        <v>45868</v>
      </c>
    </row>
    <row r="214">
      <c r="A214" s="28" t="n">
        <v>213</v>
      </c>
      <c r="B214" s="1" t="inlineStr">
        <is>
          <t>RIYA KALEON</t>
        </is>
      </c>
      <c r="C214" s="33" t="n">
        <v>45828</v>
      </c>
      <c r="D214" s="13" t="inlineStr">
        <is>
          <t>MANDURAH</t>
        </is>
      </c>
      <c r="E214" s="12" t="inlineStr">
        <is>
          <t>IND/MEL/00213</t>
        </is>
      </c>
      <c r="F214" s="13" t="inlineStr">
        <is>
          <t>F</t>
        </is>
      </c>
      <c r="G214" s="11" t="inlineStr">
        <is>
          <t>Kiran Kaleon</t>
        </is>
      </c>
      <c r="H214" s="11" t="inlineStr">
        <is>
          <t>Diya Kaleon</t>
        </is>
      </c>
      <c r="I214" s="18" t="n">
        <v>45920</v>
      </c>
      <c r="J214" s="13" t="inlineStr">
        <is>
          <t>175 Birchwood Lane</t>
        </is>
      </c>
      <c r="K214" s="13" t="inlineStr">
        <is>
          <t>Emerald Road</t>
        </is>
      </c>
      <c r="L214" s="13" t="inlineStr">
        <is>
          <t>PIN:580720 MANDURAH</t>
        </is>
      </c>
      <c r="M214" s="10" t="inlineStr">
        <is>
          <t>MHA/IND/00213</t>
        </is>
      </c>
      <c r="N214" s="18" t="n">
        <v>45885</v>
      </c>
    </row>
    <row r="215" ht="45" customHeight="1">
      <c r="A215" s="28" t="n">
        <v>214</v>
      </c>
      <c r="B215" s="1" t="inlineStr">
        <is>
          <t>AREN VALZARI</t>
        </is>
      </c>
      <c r="C215" s="33" t="n">
        <v>45846</v>
      </c>
      <c r="D215" s="11" t="inlineStr">
        <is>
          <t>BERWICK</t>
        </is>
      </c>
      <c r="E215" s="12" t="inlineStr">
        <is>
          <t>IND/MEL/00214</t>
        </is>
      </c>
      <c r="F215" s="13" t="inlineStr">
        <is>
          <t>M</t>
        </is>
      </c>
      <c r="G215" s="11" t="inlineStr">
        <is>
          <t>Kabir Valzari</t>
        </is>
      </c>
      <c r="H215" s="11" t="inlineStr">
        <is>
          <t>Anya Valzari</t>
        </is>
      </c>
      <c r="I215" s="18" t="n">
        <v>45910</v>
      </c>
      <c r="J215" s="13" t="inlineStr">
        <is>
          <t>172 Birchwood Lane</t>
        </is>
      </c>
      <c r="K215" s="13" t="inlineStr">
        <is>
          <t>Emerald Road</t>
        </is>
      </c>
      <c r="L215" s="13" t="inlineStr">
        <is>
          <t>PIN:562388 BERWICK</t>
        </is>
      </c>
      <c r="M215" s="10" t="inlineStr">
        <is>
          <t>MHA/IND/00214</t>
        </is>
      </c>
      <c r="N215" s="18" t="n">
        <v>45878</v>
      </c>
    </row>
    <row r="216">
      <c r="A216" s="28" t="n">
        <v>215</v>
      </c>
      <c r="B216" s="1" t="inlineStr">
        <is>
          <t>SARA VALZARI</t>
        </is>
      </c>
      <c r="C216" s="33" t="n">
        <v>45841</v>
      </c>
      <c r="D216" s="13" t="inlineStr">
        <is>
          <t>BERWICK</t>
        </is>
      </c>
      <c r="E216" s="12" t="inlineStr">
        <is>
          <t>IND/MEL/00215</t>
        </is>
      </c>
      <c r="F216" s="13" t="inlineStr">
        <is>
          <t>F</t>
        </is>
      </c>
      <c r="G216" s="11" t="inlineStr">
        <is>
          <t>Arjun Valzari</t>
        </is>
      </c>
      <c r="H216" s="11" t="inlineStr">
        <is>
          <t>Riya Valzari</t>
        </is>
      </c>
      <c r="I216" s="18" t="n">
        <v>45873</v>
      </c>
      <c r="J216" s="13" t="inlineStr">
        <is>
          <t>82 Birchwood Lane</t>
        </is>
      </c>
      <c r="K216" s="13" t="inlineStr">
        <is>
          <t>Emerald Road</t>
        </is>
      </c>
      <c r="L216" s="13" t="inlineStr">
        <is>
          <t>PIN:894635 BERWICK</t>
        </is>
      </c>
      <c r="M216" s="10" t="inlineStr">
        <is>
          <t>MHA/IND/00215</t>
        </is>
      </c>
      <c r="N216" s="18" t="n">
        <v>45854</v>
      </c>
    </row>
    <row r="217">
      <c r="A217" s="28" t="n">
        <v>216</v>
      </c>
      <c r="B217" s="1" t="inlineStr">
        <is>
          <t>KABIR MYRTHOS</t>
        </is>
      </c>
      <c r="C217" s="33" t="n">
        <v>45922</v>
      </c>
      <c r="D217" s="13" t="inlineStr">
        <is>
          <t>LIVERPOOL</t>
        </is>
      </c>
      <c r="E217" s="12" t="inlineStr">
        <is>
          <t>IND/MEL/00216</t>
        </is>
      </c>
      <c r="F217" s="13" t="inlineStr">
        <is>
          <t>M</t>
        </is>
      </c>
      <c r="G217" s="11" t="inlineStr">
        <is>
          <t>Dev Myrthos</t>
        </is>
      </c>
      <c r="H217" s="11" t="inlineStr">
        <is>
          <t>Riya Myrthos</t>
        </is>
      </c>
      <c r="I217" s="18" t="n">
        <v>45983</v>
      </c>
      <c r="J217" s="13" t="inlineStr">
        <is>
          <t>164 Birchwood Lane</t>
        </is>
      </c>
      <c r="K217" s="13" t="inlineStr">
        <is>
          <t>Emerald Road</t>
        </is>
      </c>
      <c r="L217" s="13" t="inlineStr">
        <is>
          <t>PIN:165275 LIVERPOOL</t>
        </is>
      </c>
      <c r="M217" s="10" t="inlineStr">
        <is>
          <t>MHA/IND/00216</t>
        </is>
      </c>
      <c r="N217" s="18" t="n">
        <v>45844</v>
      </c>
    </row>
    <row r="218" ht="30.75" customHeight="1" thickBot="1">
      <c r="A218" s="28" t="n">
        <v>217</v>
      </c>
      <c r="B218" s="1" t="inlineStr">
        <is>
          <t>KIRAN SHARMA</t>
        </is>
      </c>
      <c r="C218" s="43" t="n">
        <v>45721</v>
      </c>
      <c r="D218" s="13" t="inlineStr">
        <is>
          <t>NEWCASTLE</t>
        </is>
      </c>
      <c r="E218" s="12" t="inlineStr">
        <is>
          <t>IND/MEL/00217</t>
        </is>
      </c>
      <c r="F218" s="13" t="inlineStr">
        <is>
          <t>M</t>
        </is>
      </c>
      <c r="G218" s="11" t="inlineStr">
        <is>
          <t>Aren Sharma</t>
        </is>
      </c>
      <c r="H218" s="11" t="inlineStr">
        <is>
          <t>Diya Sharma</t>
        </is>
      </c>
      <c r="I218" s="18" t="n">
        <v>45744</v>
      </c>
      <c r="J218" s="13" t="inlineStr">
        <is>
          <t>151 Birchwood Lane</t>
        </is>
      </c>
      <c r="K218" s="13" t="inlineStr">
        <is>
          <t>Emerald Road</t>
        </is>
      </c>
      <c r="L218" s="13" t="inlineStr">
        <is>
          <t>PIN:313133 NEWCASTLE</t>
        </is>
      </c>
      <c r="M218" s="10" t="inlineStr">
        <is>
          <t>MHA/IND/00217</t>
        </is>
      </c>
      <c r="N218" s="18" t="n">
        <v>45885</v>
      </c>
    </row>
    <row r="219">
      <c r="A219" s="28" t="n">
        <v>218</v>
      </c>
      <c r="B219" s="1" t="inlineStr">
        <is>
          <t>TARA SINDALE</t>
        </is>
      </c>
      <c r="C219" s="33" t="n">
        <v>45751</v>
      </c>
      <c r="D219" s="13" t="inlineStr">
        <is>
          <t>LIVERPOOL</t>
        </is>
      </c>
      <c r="E219" s="12" t="inlineStr">
        <is>
          <t>IND/MEL/00218</t>
        </is>
      </c>
      <c r="F219" s="13" t="inlineStr">
        <is>
          <t>F</t>
        </is>
      </c>
      <c r="G219" s="11" t="inlineStr">
        <is>
          <t>Aren Sindale</t>
        </is>
      </c>
      <c r="H219" s="11" t="inlineStr">
        <is>
          <t>Riya Sindale</t>
        </is>
      </c>
      <c r="I219" s="18" t="n">
        <v>45763</v>
      </c>
      <c r="J219" s="13" t="inlineStr">
        <is>
          <t>29 Birchwood Lane</t>
        </is>
      </c>
      <c r="K219" s="13" t="inlineStr">
        <is>
          <t>Emerald Road</t>
        </is>
      </c>
      <c r="L219" s="13" t="inlineStr">
        <is>
          <t>PIN:978049 LIVERPOOL</t>
        </is>
      </c>
      <c r="M219" s="10" t="inlineStr">
        <is>
          <t>MHA/IND/00218</t>
        </is>
      </c>
      <c r="N219" s="18" t="n">
        <v>45891</v>
      </c>
    </row>
    <row r="220">
      <c r="A220" s="28" t="n">
        <v>219</v>
      </c>
      <c r="B220" s="1" t="inlineStr">
        <is>
          <t>ARJUN KALEON</t>
        </is>
      </c>
      <c r="C220" s="33" t="n">
        <v>45863</v>
      </c>
      <c r="D220" s="13" t="inlineStr">
        <is>
          <t>NEWCASTLE</t>
        </is>
      </c>
      <c r="E220" s="12" t="inlineStr">
        <is>
          <t>IND/MEL/00219</t>
        </is>
      </c>
      <c r="F220" s="13" t="inlineStr">
        <is>
          <t>M</t>
        </is>
      </c>
      <c r="G220" s="11" t="inlineStr">
        <is>
          <t>Arjun Kaleon</t>
        </is>
      </c>
      <c r="H220" s="11" t="inlineStr">
        <is>
          <t>Alya Kaleon</t>
        </is>
      </c>
      <c r="I220" s="18" t="n">
        <v>45879</v>
      </c>
      <c r="J220" s="13" t="inlineStr">
        <is>
          <t>62 Birchwood Lane</t>
        </is>
      </c>
      <c r="K220" s="13" t="inlineStr">
        <is>
          <t>Emerald Road</t>
        </is>
      </c>
      <c r="L220" s="13" t="inlineStr">
        <is>
          <t>PIN:759250 NEWCASTLE</t>
        </is>
      </c>
      <c r="M220" s="10" t="inlineStr">
        <is>
          <t>MHA/IND/00219</t>
        </is>
      </c>
      <c r="N220" s="18" t="n">
        <v>45847</v>
      </c>
    </row>
    <row r="221" ht="30" customHeight="1">
      <c r="A221" s="28" t="n">
        <v>220</v>
      </c>
      <c r="B221" s="1" t="inlineStr">
        <is>
          <t>DEV SHARMA</t>
        </is>
      </c>
      <c r="C221" s="33" t="n">
        <v>45678</v>
      </c>
      <c r="D221" s="13" t="inlineStr">
        <is>
          <t>LIVERPOOL</t>
        </is>
      </c>
      <c r="E221" s="12" t="inlineStr">
        <is>
          <t>IND/MEL/00220</t>
        </is>
      </c>
      <c r="F221" s="13" t="inlineStr">
        <is>
          <t>M</t>
        </is>
      </c>
      <c r="G221" s="11" t="inlineStr">
        <is>
          <t>Rohit Sharma</t>
        </is>
      </c>
      <c r="H221" s="11" t="inlineStr">
        <is>
          <t>Alya Sharma</t>
        </is>
      </c>
      <c r="I221" s="18" t="n">
        <v>45709</v>
      </c>
      <c r="J221" s="13" t="inlineStr">
        <is>
          <t>136 Birchwood Lane</t>
        </is>
      </c>
      <c r="K221" s="13" t="inlineStr">
        <is>
          <t>Emerald Road</t>
        </is>
      </c>
      <c r="L221" s="13" t="inlineStr">
        <is>
          <t>PIN:265684 LIVERPOOL</t>
        </is>
      </c>
      <c r="M221" s="10" t="inlineStr">
        <is>
          <t>MHA/IND/00220</t>
        </is>
      </c>
      <c r="N221" s="18" t="n">
        <v>45884</v>
      </c>
    </row>
    <row r="222" ht="30" customHeight="1">
      <c r="A222" s="28" t="n">
        <v>221</v>
      </c>
      <c r="B222" s="1" t="inlineStr">
        <is>
          <t>KABIR KALEON</t>
        </is>
      </c>
      <c r="C222" s="33" t="n">
        <v>45815</v>
      </c>
      <c r="D222" s="13" t="inlineStr">
        <is>
          <t>BENDIGO</t>
        </is>
      </c>
      <c r="E222" s="12" t="inlineStr">
        <is>
          <t>IND/MEL/00221</t>
        </is>
      </c>
      <c r="F222" s="13" t="inlineStr">
        <is>
          <t>M</t>
        </is>
      </c>
      <c r="G222" s="11" t="inlineStr">
        <is>
          <t>Dev Kaleon</t>
        </is>
      </c>
      <c r="H222" s="11" t="inlineStr">
        <is>
          <t>Tara Kaleon</t>
        </is>
      </c>
      <c r="I222" s="18" t="n">
        <v>45869</v>
      </c>
      <c r="J222" s="13" t="inlineStr">
        <is>
          <t>70 Birchwood Lane</t>
        </is>
      </c>
      <c r="K222" s="13" t="inlineStr">
        <is>
          <t>Emerald Road</t>
        </is>
      </c>
      <c r="L222" s="13" t="inlineStr">
        <is>
          <t>PIN:669525 BENDIGO</t>
        </is>
      </c>
      <c r="M222" s="10" t="inlineStr">
        <is>
          <t>MHA/IND/00221</t>
        </is>
      </c>
      <c r="N222" s="18" t="n">
        <v>45873</v>
      </c>
    </row>
    <row r="223">
      <c r="A223" s="28" t="n">
        <v>222</v>
      </c>
      <c r="B223" s="1" t="inlineStr">
        <is>
          <t>ALYA SINDALE</t>
        </is>
      </c>
      <c r="C223" s="33" t="n">
        <v>45851</v>
      </c>
      <c r="D223" s="13" t="inlineStr">
        <is>
          <t>WOLLONGONG</t>
        </is>
      </c>
      <c r="E223" s="12" t="inlineStr">
        <is>
          <t>IND/MEL/00222</t>
        </is>
      </c>
      <c r="F223" s="13" t="inlineStr">
        <is>
          <t>F</t>
        </is>
      </c>
      <c r="G223" s="11" t="inlineStr">
        <is>
          <t>Rohit Sindale</t>
        </is>
      </c>
      <c r="H223" s="11" t="inlineStr">
        <is>
          <t>Nina Sindale</t>
        </is>
      </c>
      <c r="I223" s="18" t="n">
        <v>45889</v>
      </c>
      <c r="J223" s="13" t="inlineStr">
        <is>
          <t>71 Birchwood Lane</t>
        </is>
      </c>
      <c r="K223" s="13" t="inlineStr">
        <is>
          <t>Emerald Road</t>
        </is>
      </c>
      <c r="L223" s="13" t="inlineStr">
        <is>
          <t>PIN:806096 WOLLONGONG</t>
        </is>
      </c>
      <c r="M223" s="10" t="inlineStr">
        <is>
          <t>MHA/IND/00222</t>
        </is>
      </c>
      <c r="N223" s="18" t="n">
        <v>45844</v>
      </c>
    </row>
    <row r="224">
      <c r="A224" s="28" t="n">
        <v>223</v>
      </c>
      <c r="B224" s="1" t="inlineStr">
        <is>
          <t>MIRA KALEON</t>
        </is>
      </c>
      <c r="C224" s="33" t="n">
        <v>45825</v>
      </c>
      <c r="D224" s="13" t="inlineStr">
        <is>
          <t>DALBY</t>
        </is>
      </c>
      <c r="E224" s="12" t="inlineStr">
        <is>
          <t>IND/MEL/00223</t>
        </is>
      </c>
      <c r="F224" s="13" t="inlineStr">
        <is>
          <t>F</t>
        </is>
      </c>
      <c r="G224" s="11" t="inlineStr">
        <is>
          <t>Kabir Kaleon</t>
        </is>
      </c>
      <c r="H224" s="11" t="inlineStr">
        <is>
          <t>Alya Kaleon</t>
        </is>
      </c>
      <c r="I224" s="18" t="n">
        <v>45844</v>
      </c>
      <c r="J224" s="13" t="inlineStr">
        <is>
          <t>123 Birchwood Lane</t>
        </is>
      </c>
      <c r="K224" s="13" t="inlineStr">
        <is>
          <t>Emerald Road</t>
        </is>
      </c>
      <c r="L224" s="13" t="inlineStr">
        <is>
          <t>PIN:836079 DALBY</t>
        </is>
      </c>
      <c r="M224" s="10" t="inlineStr">
        <is>
          <t>MHA/IND/00223</t>
        </is>
      </c>
      <c r="N224" s="18" t="n">
        <v>45887</v>
      </c>
    </row>
    <row r="225" ht="30" customHeight="1">
      <c r="A225" s="28" t="n">
        <v>224</v>
      </c>
      <c r="B225" s="1" t="inlineStr">
        <is>
          <t>ROHIT MYRTHOS</t>
        </is>
      </c>
      <c r="C225" s="33" t="n">
        <v>45685</v>
      </c>
      <c r="D225" s="13" t="inlineStr">
        <is>
          <t>CLAYTON</t>
        </is>
      </c>
      <c r="E225" s="12" t="inlineStr">
        <is>
          <t>IND/MEL/00224</t>
        </is>
      </c>
      <c r="F225" s="13" t="inlineStr">
        <is>
          <t>M</t>
        </is>
      </c>
      <c r="G225" s="11" t="inlineStr">
        <is>
          <t>Kabir Myrthos</t>
        </is>
      </c>
      <c r="H225" s="11" t="inlineStr">
        <is>
          <t>Mira Myrthos</t>
        </is>
      </c>
      <c r="I225" s="18" t="n">
        <v>45709</v>
      </c>
      <c r="J225" s="13" t="inlineStr">
        <is>
          <t>106 Birchwood Lane</t>
        </is>
      </c>
      <c r="K225" s="13" t="inlineStr">
        <is>
          <t>Emerald Road</t>
        </is>
      </c>
      <c r="L225" s="13" t="inlineStr">
        <is>
          <t>PIN:528267 CLAYTON</t>
        </is>
      </c>
      <c r="M225" s="10" t="inlineStr">
        <is>
          <t>MHA/IND/00224</t>
        </is>
      </c>
      <c r="N225" s="18" t="n">
        <v>45858</v>
      </c>
    </row>
    <row r="226" ht="30" customHeight="1">
      <c r="A226" s="28" t="n">
        <v>225</v>
      </c>
      <c r="B226" s="1" t="inlineStr">
        <is>
          <t>TARA SINDALE</t>
        </is>
      </c>
      <c r="C226" s="33" t="n">
        <v>45841</v>
      </c>
      <c r="D226" s="13" t="inlineStr">
        <is>
          <t>MANDURAH</t>
        </is>
      </c>
      <c r="E226" s="12" t="inlineStr">
        <is>
          <t>IND/MEL/00225</t>
        </is>
      </c>
      <c r="F226" s="13" t="inlineStr">
        <is>
          <t>F</t>
        </is>
      </c>
      <c r="G226" s="11" t="inlineStr">
        <is>
          <t>Dev Sindale</t>
        </is>
      </c>
      <c r="H226" s="11" t="inlineStr">
        <is>
          <t>Nina Sindale</t>
        </is>
      </c>
      <c r="I226" s="18" t="n">
        <v>45884</v>
      </c>
      <c r="J226" s="13" t="inlineStr">
        <is>
          <t>163 Birchwood Lane</t>
        </is>
      </c>
      <c r="K226" s="13" t="inlineStr">
        <is>
          <t>Emerald Road</t>
        </is>
      </c>
      <c r="L226" s="13" t="inlineStr">
        <is>
          <t>PIN:587920 MANDURAH</t>
        </is>
      </c>
      <c r="M226" s="10" t="inlineStr">
        <is>
          <t>MHA/IND/00225</t>
        </is>
      </c>
      <c r="N226" s="18" t="n">
        <v>45860</v>
      </c>
    </row>
    <row r="227">
      <c r="A227" s="28" t="n">
        <v>226</v>
      </c>
      <c r="B227" s="1" t="inlineStr">
        <is>
          <t>ANYA RAO</t>
        </is>
      </c>
      <c r="C227" s="33" t="n">
        <v>45815</v>
      </c>
      <c r="D227" s="13" t="inlineStr">
        <is>
          <t>BUNDOORA</t>
        </is>
      </c>
      <c r="E227" s="12" t="inlineStr">
        <is>
          <t>IND/MEL/00226</t>
        </is>
      </c>
      <c r="F227" s="13" t="inlineStr">
        <is>
          <t>F</t>
        </is>
      </c>
      <c r="G227" s="11" t="inlineStr">
        <is>
          <t>Kiran Rao</t>
        </is>
      </c>
      <c r="H227" s="11" t="inlineStr">
        <is>
          <t>Tara Rao</t>
        </is>
      </c>
      <c r="I227" s="18" t="n">
        <v>45833</v>
      </c>
      <c r="J227" s="13" t="inlineStr">
        <is>
          <t>166 Birchwood Lane</t>
        </is>
      </c>
      <c r="K227" s="13" t="inlineStr">
        <is>
          <t>Emerald Road</t>
        </is>
      </c>
      <c r="L227" s="13" t="inlineStr">
        <is>
          <t>PIN:443245 BUNDOORA</t>
        </is>
      </c>
      <c r="M227" s="10" t="inlineStr">
        <is>
          <t>MHA/IND/00226</t>
        </is>
      </c>
      <c r="N227" s="18" t="n">
        <v>45870</v>
      </c>
    </row>
    <row r="228">
      <c r="A228" s="28" t="n">
        <v>227</v>
      </c>
      <c r="B228" s="1" t="inlineStr">
        <is>
          <t>TARA RISHKAN</t>
        </is>
      </c>
      <c r="C228" s="33" t="n">
        <v>45803</v>
      </c>
      <c r="D228" s="13" t="inlineStr">
        <is>
          <t>BRISBANE</t>
        </is>
      </c>
      <c r="E228" s="12" t="inlineStr">
        <is>
          <t>IND/MEL/00227</t>
        </is>
      </c>
      <c r="F228" s="13" t="inlineStr">
        <is>
          <t>F</t>
        </is>
      </c>
      <c r="G228" s="11" t="inlineStr">
        <is>
          <t>Rohit Rishkan</t>
        </is>
      </c>
      <c r="H228" s="11" t="inlineStr">
        <is>
          <t>Sara Rishkan</t>
        </is>
      </c>
      <c r="I228" s="18" t="n">
        <v>45882</v>
      </c>
      <c r="J228" s="13" t="inlineStr">
        <is>
          <t>130 Birchwood Lane</t>
        </is>
      </c>
      <c r="K228" s="13" t="inlineStr">
        <is>
          <t>Emerald Road</t>
        </is>
      </c>
      <c r="L228" s="13" t="inlineStr">
        <is>
          <t>PIN:854044 BRISBANE</t>
        </is>
      </c>
      <c r="M228" s="10" t="inlineStr">
        <is>
          <t>MHA/IND/00227</t>
        </is>
      </c>
      <c r="N228" s="18" t="n">
        <v>45866</v>
      </c>
    </row>
    <row r="229" ht="30" customHeight="1">
      <c r="A229" s="28" t="n">
        <v>228</v>
      </c>
      <c r="B229" s="1" t="inlineStr">
        <is>
          <t>KABIR SINDALE</t>
        </is>
      </c>
      <c r="C229" s="33" t="n">
        <v>45729</v>
      </c>
      <c r="D229" s="13" t="inlineStr">
        <is>
          <t>BERWICK</t>
        </is>
      </c>
      <c r="E229" s="12" t="inlineStr">
        <is>
          <t>IND/MEL/00228</t>
        </is>
      </c>
      <c r="F229" s="13" t="inlineStr">
        <is>
          <t>M</t>
        </is>
      </c>
      <c r="G229" s="11" t="inlineStr">
        <is>
          <t>Neil Sindale</t>
        </is>
      </c>
      <c r="H229" s="11" t="inlineStr">
        <is>
          <t>Riya Sindale</t>
        </is>
      </c>
      <c r="I229" s="18" t="n">
        <v>45792</v>
      </c>
      <c r="J229" s="13" t="inlineStr">
        <is>
          <t>90 Birchwood Lane</t>
        </is>
      </c>
      <c r="K229" s="13" t="inlineStr">
        <is>
          <t>Emerald Road</t>
        </is>
      </c>
      <c r="L229" s="13" t="inlineStr">
        <is>
          <t>PIN:146112 BERWICK</t>
        </is>
      </c>
      <c r="M229" s="10" t="inlineStr">
        <is>
          <t>MHA/IND/00228</t>
        </is>
      </c>
      <c r="N229" s="18" t="n">
        <v>45858</v>
      </c>
    </row>
    <row r="230" ht="30" customHeight="1">
      <c r="A230" s="28" t="n">
        <v>229</v>
      </c>
      <c r="B230" s="1" t="inlineStr">
        <is>
          <t>MIRA SHARMA</t>
        </is>
      </c>
      <c r="C230" s="33" t="n">
        <v>45794</v>
      </c>
      <c r="D230" s="13" t="inlineStr">
        <is>
          <t>GOSFORD</t>
        </is>
      </c>
      <c r="E230" s="12" t="inlineStr">
        <is>
          <t>IND/MEL/00229</t>
        </is>
      </c>
      <c r="F230" s="13" t="inlineStr">
        <is>
          <t>F</t>
        </is>
      </c>
      <c r="G230" s="11" t="inlineStr">
        <is>
          <t>Kiran Sharma</t>
        </is>
      </c>
      <c r="H230" s="11" t="inlineStr">
        <is>
          <t>Diya Sharma</t>
        </is>
      </c>
      <c r="I230" s="18" t="n">
        <v>45856</v>
      </c>
      <c r="J230" s="13" t="inlineStr">
        <is>
          <t>187 Birchwood Lane</t>
        </is>
      </c>
      <c r="K230" s="13" t="inlineStr">
        <is>
          <t>Emerald Road</t>
        </is>
      </c>
      <c r="L230" s="13" t="inlineStr">
        <is>
          <t>PIN:116116 GOSFORD</t>
        </is>
      </c>
      <c r="M230" s="10" t="inlineStr">
        <is>
          <t>MHA/IND/00229</t>
        </is>
      </c>
      <c r="N230" s="18" t="n">
        <v>45880</v>
      </c>
    </row>
    <row r="231" ht="30" customHeight="1">
      <c r="A231" s="28" t="n">
        <v>230</v>
      </c>
      <c r="B231" s="1" t="inlineStr">
        <is>
          <t>ANYA KALEON</t>
        </is>
      </c>
      <c r="C231" s="33" t="n">
        <v>45942</v>
      </c>
      <c r="D231" s="13" t="inlineStr">
        <is>
          <t>ARMADALE</t>
        </is>
      </c>
      <c r="E231" s="12" t="inlineStr">
        <is>
          <t>IND/MEL/00230</t>
        </is>
      </c>
      <c r="F231" s="13" t="inlineStr">
        <is>
          <t>F</t>
        </is>
      </c>
      <c r="G231" s="11" t="inlineStr">
        <is>
          <t>Rohit Kaleon</t>
        </is>
      </c>
      <c r="H231" s="11" t="inlineStr">
        <is>
          <t>Tara Kaleon</t>
        </is>
      </c>
      <c r="I231" s="18" t="n">
        <v>45968</v>
      </c>
      <c r="J231" s="13" t="inlineStr">
        <is>
          <t>146 Birchwood Lane</t>
        </is>
      </c>
      <c r="K231" s="13" t="inlineStr">
        <is>
          <t>Emerald Road</t>
        </is>
      </c>
      <c r="L231" s="13" t="inlineStr">
        <is>
          <t>PIN:698609 ARMADALE</t>
        </is>
      </c>
      <c r="M231" s="10" t="inlineStr">
        <is>
          <t>MHA/IND/00230</t>
        </is>
      </c>
      <c r="N231" s="18" t="n">
        <v>45878</v>
      </c>
    </row>
    <row r="232">
      <c r="A232" s="28" t="n">
        <v>231</v>
      </c>
      <c r="B232" s="1" t="inlineStr">
        <is>
          <t>ALYA KALEON</t>
        </is>
      </c>
      <c r="C232" s="33" t="n">
        <v>45910</v>
      </c>
      <c r="D232" s="13" t="inlineStr">
        <is>
          <t>PARKVILLE</t>
        </is>
      </c>
      <c r="E232" s="12" t="inlineStr">
        <is>
          <t>IND/MEL/00231</t>
        </is>
      </c>
      <c r="F232" s="13" t="inlineStr">
        <is>
          <t>F</t>
        </is>
      </c>
      <c r="G232" s="11" t="inlineStr">
        <is>
          <t>Ishan Kaleon</t>
        </is>
      </c>
      <c r="H232" s="11" t="inlineStr">
        <is>
          <t>Nina Kaleon</t>
        </is>
      </c>
      <c r="I232" s="18" t="n">
        <v>45999</v>
      </c>
      <c r="J232" s="13" t="inlineStr">
        <is>
          <t>94 Birchwood Lane</t>
        </is>
      </c>
      <c r="K232" s="13" t="inlineStr">
        <is>
          <t>Emerald Road</t>
        </is>
      </c>
      <c r="L232" s="13" t="inlineStr">
        <is>
          <t>PIN:243403 PARKVILLE</t>
        </is>
      </c>
      <c r="M232" s="10" t="inlineStr">
        <is>
          <t>MHA/IND/00231</t>
        </is>
      </c>
      <c r="N232" s="18" t="n">
        <v>45895</v>
      </c>
    </row>
    <row r="233">
      <c r="A233" s="28" t="n">
        <v>232</v>
      </c>
      <c r="B233" s="1" t="inlineStr">
        <is>
          <t>ANYA MYRTHOS</t>
        </is>
      </c>
      <c r="C233" s="33" t="n">
        <v>45912</v>
      </c>
      <c r="D233" s="13" t="inlineStr">
        <is>
          <t>LIVERPOOL</t>
        </is>
      </c>
      <c r="E233" s="12" t="inlineStr">
        <is>
          <t>IND/MEL/00232</t>
        </is>
      </c>
      <c r="F233" s="13" t="inlineStr">
        <is>
          <t>F</t>
        </is>
      </c>
      <c r="G233" s="11" t="inlineStr">
        <is>
          <t>Rohit Myrthos</t>
        </is>
      </c>
      <c r="H233" s="11" t="inlineStr">
        <is>
          <t>Mira Myrthos</t>
        </is>
      </c>
      <c r="I233" s="18" t="n">
        <v>45979</v>
      </c>
      <c r="J233" s="13" t="inlineStr">
        <is>
          <t>61 Birchwood Lane</t>
        </is>
      </c>
      <c r="K233" s="13" t="inlineStr">
        <is>
          <t>Emerald Road</t>
        </is>
      </c>
      <c r="L233" s="13" t="inlineStr">
        <is>
          <t>PIN:333036 LIVERPOOL</t>
        </is>
      </c>
      <c r="M233" s="10" t="inlineStr">
        <is>
          <t>MHA/IND/00232</t>
        </is>
      </c>
      <c r="N233" s="18" t="n">
        <v>45894</v>
      </c>
    </row>
    <row r="234">
      <c r="A234" s="28" t="n">
        <v>233</v>
      </c>
      <c r="B234" s="1" t="inlineStr">
        <is>
          <t>ROHIT VALZARI</t>
        </is>
      </c>
      <c r="C234" s="33" t="n">
        <v>45743</v>
      </c>
      <c r="D234" s="13" t="inlineStr">
        <is>
          <t>BEDFORD PARK</t>
        </is>
      </c>
      <c r="E234" s="12" t="inlineStr">
        <is>
          <t>IND/MEL/00233</t>
        </is>
      </c>
      <c r="F234" s="13" t="inlineStr">
        <is>
          <t>M</t>
        </is>
      </c>
      <c r="G234" s="11" t="inlineStr">
        <is>
          <t>Aren Valzari</t>
        </is>
      </c>
      <c r="H234" s="11" t="inlineStr">
        <is>
          <t>Riya Valzari</t>
        </is>
      </c>
      <c r="I234" s="18" t="n">
        <v>45808</v>
      </c>
      <c r="J234" s="13" t="inlineStr">
        <is>
          <t>69 Birchwood Lane</t>
        </is>
      </c>
      <c r="K234" s="13" t="inlineStr">
        <is>
          <t>Emerald Road</t>
        </is>
      </c>
      <c r="L234" s="13" t="inlineStr">
        <is>
          <t>PIN:974106 BEDFORD PARK</t>
        </is>
      </c>
      <c r="M234" s="10" t="inlineStr">
        <is>
          <t>MHA/IND/00233</t>
        </is>
      </c>
      <c r="N234" s="18" t="n">
        <v>45846</v>
      </c>
    </row>
    <row r="235" ht="30" customHeight="1">
      <c r="A235" s="28" t="n">
        <v>234</v>
      </c>
      <c r="B235" s="1" t="inlineStr">
        <is>
          <t>KIRAN VALZARI</t>
        </is>
      </c>
      <c r="C235" s="33" t="n">
        <v>45749</v>
      </c>
      <c r="D235" s="13" t="inlineStr">
        <is>
          <t>WODONGA</t>
        </is>
      </c>
      <c r="E235" s="12" t="inlineStr">
        <is>
          <t>IND/MEL/00234</t>
        </is>
      </c>
      <c r="F235" s="13" t="inlineStr">
        <is>
          <t>M</t>
        </is>
      </c>
      <c r="G235" s="11" t="inlineStr">
        <is>
          <t>Rohit Valzari</t>
        </is>
      </c>
      <c r="H235" s="11" t="inlineStr">
        <is>
          <t>Alya Valzari</t>
        </is>
      </c>
      <c r="I235" s="18" t="n">
        <v>45786</v>
      </c>
      <c r="J235" s="13" t="inlineStr">
        <is>
          <t>130 Birchwood Lane</t>
        </is>
      </c>
      <c r="K235" s="13" t="inlineStr">
        <is>
          <t>Emerald Road</t>
        </is>
      </c>
      <c r="L235" s="13" t="inlineStr">
        <is>
          <t>PIN:903256 WODONGA</t>
        </is>
      </c>
      <c r="M235" s="10" t="inlineStr">
        <is>
          <t>MHA/IND/00234</t>
        </is>
      </c>
      <c r="N235" s="18" t="n">
        <v>45862</v>
      </c>
    </row>
    <row r="236">
      <c r="A236" s="28" t="n">
        <v>235</v>
      </c>
      <c r="B236" s="1" t="inlineStr">
        <is>
          <t>DEV SINDALE</t>
        </is>
      </c>
      <c r="C236" s="33" t="n">
        <v>45800</v>
      </c>
      <c r="D236" s="13" t="inlineStr">
        <is>
          <t>FRANKSTON</t>
        </is>
      </c>
      <c r="E236" s="12" t="inlineStr">
        <is>
          <t>IND/MEL/00235</t>
        </is>
      </c>
      <c r="F236" s="13" t="inlineStr">
        <is>
          <t>M</t>
        </is>
      </c>
      <c r="G236" s="11" t="inlineStr">
        <is>
          <t>Aren Sindale</t>
        </is>
      </c>
      <c r="H236" s="11" t="inlineStr">
        <is>
          <t>Riya Sindale</t>
        </is>
      </c>
      <c r="I236" s="18" t="n">
        <v>45873</v>
      </c>
      <c r="J236" s="13" t="inlineStr">
        <is>
          <t>161 Birchwood Lane</t>
        </is>
      </c>
      <c r="K236" s="13" t="inlineStr">
        <is>
          <t>Emerald Road</t>
        </is>
      </c>
      <c r="L236" s="13" t="inlineStr">
        <is>
          <t>PIN:724180 FRANKSTON</t>
        </is>
      </c>
      <c r="M236" s="10" t="inlineStr">
        <is>
          <t>MHA/IND/00235</t>
        </is>
      </c>
      <c r="N236" s="18" t="n">
        <v>45878</v>
      </c>
    </row>
    <row r="237">
      <c r="A237" s="28" t="n">
        <v>236</v>
      </c>
      <c r="B237" s="1" t="inlineStr">
        <is>
          <t>KIRAN SHARMA</t>
        </is>
      </c>
      <c r="C237" s="33" t="n">
        <v>45819</v>
      </c>
      <c r="D237" s="13" t="inlineStr">
        <is>
          <t>TUGGERANONG</t>
        </is>
      </c>
      <c r="E237" s="12" t="inlineStr">
        <is>
          <t>IND/MEL/00236</t>
        </is>
      </c>
      <c r="F237" s="13" t="inlineStr">
        <is>
          <t>M</t>
        </is>
      </c>
      <c r="G237" s="11" t="inlineStr">
        <is>
          <t>Dev Sharma</t>
        </is>
      </c>
      <c r="H237" s="11" t="inlineStr">
        <is>
          <t>Nina Sharma</t>
        </is>
      </c>
      <c r="I237" s="18" t="n">
        <v>45937</v>
      </c>
      <c r="J237" s="13" t="inlineStr">
        <is>
          <t>29 Birchwood Lane</t>
        </is>
      </c>
      <c r="K237" s="13" t="inlineStr">
        <is>
          <t>Emerald Road</t>
        </is>
      </c>
      <c r="L237" s="13" t="inlineStr">
        <is>
          <t>PIN:696956 TUGGERANONG</t>
        </is>
      </c>
      <c r="M237" s="10" t="inlineStr">
        <is>
          <t>MHA/IND/00236</t>
        </is>
      </c>
      <c r="N237" s="18" t="n">
        <v>45895</v>
      </c>
    </row>
    <row r="238">
      <c r="A238" s="28" t="n">
        <v>237</v>
      </c>
      <c r="B238" s="1" t="inlineStr">
        <is>
          <t>MIRA SHARMA</t>
        </is>
      </c>
      <c r="C238" s="33" t="n">
        <v>45778</v>
      </c>
      <c r="D238" s="13" t="inlineStr">
        <is>
          <t>LAUNCESTON</t>
        </is>
      </c>
      <c r="E238" s="12" t="inlineStr">
        <is>
          <t>IND/MEL/00237</t>
        </is>
      </c>
      <c r="F238" s="13" t="inlineStr">
        <is>
          <t>F</t>
        </is>
      </c>
      <c r="G238" s="11" t="inlineStr">
        <is>
          <t>Rohit Sharma</t>
        </is>
      </c>
      <c r="H238" s="11" t="inlineStr">
        <is>
          <t>Mira Sharma</t>
        </is>
      </c>
      <c r="I238" s="18" t="n">
        <v>45790</v>
      </c>
      <c r="J238" s="13" t="inlineStr">
        <is>
          <t>193 Birchwood Lane</t>
        </is>
      </c>
      <c r="K238" s="13" t="inlineStr">
        <is>
          <t>Emerald Road</t>
        </is>
      </c>
      <c r="L238" s="13" t="inlineStr">
        <is>
          <t>PIN:866652 LAUNCESTON</t>
        </is>
      </c>
      <c r="M238" s="10" t="inlineStr">
        <is>
          <t>MHA/IND/00237</t>
        </is>
      </c>
      <c r="N238" s="18" t="n">
        <v>45844</v>
      </c>
    </row>
    <row r="239">
      <c r="A239" s="28" t="n">
        <v>238</v>
      </c>
      <c r="B239" s="1" t="inlineStr">
        <is>
          <t>SARA KALEON</t>
        </is>
      </c>
      <c r="C239" s="35" t="n">
        <v>45735</v>
      </c>
      <c r="D239" s="1" t="inlineStr">
        <is>
          <t>NORTH ADELAIDE</t>
        </is>
      </c>
      <c r="E239" s="12" t="inlineStr">
        <is>
          <t>IND/MEL/00238</t>
        </is>
      </c>
      <c r="F239" s="1" t="inlineStr">
        <is>
          <t>F</t>
        </is>
      </c>
      <c r="G239" s="3" t="inlineStr">
        <is>
          <t>Rohit Kaleon</t>
        </is>
      </c>
      <c r="H239" s="3" t="inlineStr">
        <is>
          <t>Anya Kaleon</t>
        </is>
      </c>
      <c r="I239" s="18" t="n">
        <v>45767</v>
      </c>
      <c r="J239" s="1" t="inlineStr">
        <is>
          <t>141 Birchwood Lane</t>
        </is>
      </c>
      <c r="K239" s="1" t="inlineStr">
        <is>
          <t>Emerald Road</t>
        </is>
      </c>
      <c r="L239" s="1" t="inlineStr">
        <is>
          <t>PIN:277862 NORTH ADELAIDE</t>
        </is>
      </c>
      <c r="M239" s="2" t="inlineStr">
        <is>
          <t>MHA/IND/00238</t>
        </is>
      </c>
      <c r="N239" s="30" t="n">
        <v>45872</v>
      </c>
    </row>
    <row r="240" ht="30.75" customHeight="1" thickBot="1">
      <c r="A240" s="28" t="n">
        <v>239</v>
      </c>
      <c r="B240" s="1" t="inlineStr">
        <is>
          <t>RIYA RISHKAN</t>
        </is>
      </c>
      <c r="C240" s="44" t="n">
        <v>45865</v>
      </c>
      <c r="D240" s="1" t="inlineStr">
        <is>
          <t>TUGGERANONG</t>
        </is>
      </c>
      <c r="E240" s="12" t="inlineStr">
        <is>
          <t>IND/MEL/00239</t>
        </is>
      </c>
      <c r="F240" s="1" t="inlineStr">
        <is>
          <t>F</t>
        </is>
      </c>
      <c r="G240" s="3" t="inlineStr">
        <is>
          <t>Neil Rishkan</t>
        </is>
      </c>
      <c r="H240" s="3" t="inlineStr">
        <is>
          <t>Alya Rishkan</t>
        </is>
      </c>
      <c r="I240" s="30" t="n">
        <v>45873</v>
      </c>
      <c r="J240" s="1" t="inlineStr">
        <is>
          <t>57 Birchwood Lane</t>
        </is>
      </c>
      <c r="K240" s="1" t="inlineStr">
        <is>
          <t>Emerald Road</t>
        </is>
      </c>
      <c r="L240" s="1" t="inlineStr">
        <is>
          <t>PIN:771839 TUGGERANONG</t>
        </is>
      </c>
      <c r="M240" s="2" t="inlineStr">
        <is>
          <t>MHA/IND/00239</t>
        </is>
      </c>
      <c r="N240" s="30" t="n">
        <v>45852</v>
      </c>
    </row>
    <row r="241">
      <c r="A241" s="28" t="n">
        <v>240</v>
      </c>
      <c r="B241" s="1" t="inlineStr">
        <is>
          <t>ANYA SHARMA</t>
        </is>
      </c>
      <c r="C241" s="35" t="n">
        <v>45874</v>
      </c>
      <c r="D241" s="1" t="inlineStr">
        <is>
          <t>LIVERPOOL</t>
        </is>
      </c>
      <c r="E241" s="12" t="inlineStr">
        <is>
          <t>IND/MEL/00240</t>
        </is>
      </c>
      <c r="F241" s="1" t="inlineStr">
        <is>
          <t>F</t>
        </is>
      </c>
      <c r="G241" s="3" t="inlineStr">
        <is>
          <t>Dev Sharma</t>
        </is>
      </c>
      <c r="H241" s="3" t="inlineStr">
        <is>
          <t>Anya Sharma</t>
        </is>
      </c>
      <c r="I241" s="30" t="n">
        <v>45926</v>
      </c>
      <c r="J241" s="1" t="inlineStr">
        <is>
          <t>65 Birchwood Lane</t>
        </is>
      </c>
      <c r="K241" s="1" t="inlineStr">
        <is>
          <t>Emerald Road</t>
        </is>
      </c>
      <c r="L241" s="1" t="inlineStr">
        <is>
          <t>PIN:587081 LIVERPOOL</t>
        </is>
      </c>
      <c r="M241" s="2" t="inlineStr">
        <is>
          <t>MHA/IND/00240</t>
        </is>
      </c>
      <c r="N241" s="30" t="n">
        <v>45873</v>
      </c>
    </row>
    <row r="242" ht="30" customHeight="1">
      <c r="A242" s="28" t="n">
        <v>241</v>
      </c>
      <c r="B242" s="1" t="inlineStr">
        <is>
          <t>ANYA VALZARI</t>
        </is>
      </c>
      <c r="C242" s="35" t="n">
        <v>45670</v>
      </c>
      <c r="D242" s="1" t="inlineStr">
        <is>
          <t>BALLARAT CENTRAL</t>
        </is>
      </c>
      <c r="E242" s="12" t="inlineStr">
        <is>
          <t>IND/MEL/00241</t>
        </is>
      </c>
      <c r="F242" s="1" t="inlineStr">
        <is>
          <t>F</t>
        </is>
      </c>
      <c r="G242" s="3" t="inlineStr">
        <is>
          <t>Aren Valzari</t>
        </is>
      </c>
      <c r="H242" s="3" t="inlineStr">
        <is>
          <t>Anya Valzari</t>
        </is>
      </c>
      <c r="I242" s="30" t="n">
        <v>45679</v>
      </c>
      <c r="J242" s="1" t="inlineStr">
        <is>
          <t>74 Birchwood Lane</t>
        </is>
      </c>
      <c r="K242" s="1" t="inlineStr">
        <is>
          <t>Emerald Road</t>
        </is>
      </c>
      <c r="L242" s="1" t="inlineStr">
        <is>
          <t>PIN:832571 BALLARAT CENTRAL</t>
        </is>
      </c>
      <c r="M242" s="2" t="inlineStr">
        <is>
          <t>MHA/IND/00241</t>
        </is>
      </c>
      <c r="N242" s="30" t="n">
        <v>45844</v>
      </c>
    </row>
    <row r="243">
      <c r="A243" s="28" t="n">
        <v>242</v>
      </c>
      <c r="B243" s="1" t="inlineStr">
        <is>
          <t>ARJUN SINDALE</t>
        </is>
      </c>
      <c r="C243" s="35" t="n">
        <v>45874</v>
      </c>
      <c r="D243" s="1" t="inlineStr">
        <is>
          <t>FREMANTLE</t>
        </is>
      </c>
      <c r="E243" s="12" t="inlineStr">
        <is>
          <t>IND/MEL/00242</t>
        </is>
      </c>
      <c r="F243" s="1" t="inlineStr">
        <is>
          <t>M</t>
        </is>
      </c>
      <c r="G243" s="3" t="inlineStr">
        <is>
          <t>Ishan Sindale</t>
        </is>
      </c>
      <c r="H243" s="3" t="inlineStr">
        <is>
          <t>Nina Sindale</t>
        </is>
      </c>
      <c r="I243" s="30" t="n">
        <v>45982</v>
      </c>
      <c r="J243" s="1" t="inlineStr">
        <is>
          <t>26 Birchwood Lane</t>
        </is>
      </c>
      <c r="K243" s="1" t="inlineStr">
        <is>
          <t>Emerald Road</t>
        </is>
      </c>
      <c r="L243" s="1" t="inlineStr">
        <is>
          <t>PIN:919321 FREMANTLE</t>
        </is>
      </c>
      <c r="M243" s="2" t="inlineStr">
        <is>
          <t>MHA/IND/00242</t>
        </is>
      </c>
      <c r="N243" s="30" t="n">
        <v>45897</v>
      </c>
    </row>
    <row r="244" ht="16.5" customHeight="1" thickBot="1">
      <c r="A244" s="28" t="n">
        <v>243</v>
      </c>
      <c r="B244" s="1" t="inlineStr">
        <is>
          <t>TARA KALEON</t>
        </is>
      </c>
      <c r="C244" s="44" t="n">
        <v>45783</v>
      </c>
      <c r="D244" s="1" t="inlineStr">
        <is>
          <t>IPSWICH</t>
        </is>
      </c>
      <c r="E244" s="12" t="inlineStr">
        <is>
          <t>IND/MEL/00243</t>
        </is>
      </c>
      <c r="F244" s="1" t="inlineStr">
        <is>
          <t>F</t>
        </is>
      </c>
      <c r="G244" s="3" t="inlineStr">
        <is>
          <t>Rohit Kaleon</t>
        </is>
      </c>
      <c r="H244" s="3" t="inlineStr">
        <is>
          <t>Tara Kaleon</t>
        </is>
      </c>
      <c r="I244" s="30" t="n">
        <v>45863</v>
      </c>
      <c r="J244" s="1" t="inlineStr">
        <is>
          <t>109 Birchwood Lane</t>
        </is>
      </c>
      <c r="K244" s="1" t="inlineStr">
        <is>
          <t>Emerald Road</t>
        </is>
      </c>
      <c r="L244" s="1" t="inlineStr">
        <is>
          <t>PIN:713260 IPSWICH</t>
        </is>
      </c>
      <c r="M244" s="2" t="inlineStr">
        <is>
          <t>MHA/IND/00243</t>
        </is>
      </c>
      <c r="N244" s="30" t="n">
        <v>45862</v>
      </c>
    </row>
    <row r="245">
      <c r="A245" s="28" t="n">
        <v>244</v>
      </c>
      <c r="B245" s="1" t="inlineStr">
        <is>
          <t>KIRAN SHARMA</t>
        </is>
      </c>
      <c r="C245" s="35" t="n">
        <v>45945</v>
      </c>
      <c r="D245" s="1" t="inlineStr">
        <is>
          <t>MILDURA</t>
        </is>
      </c>
      <c r="E245" s="12" t="inlineStr">
        <is>
          <t>IND/MEL/00244</t>
        </is>
      </c>
      <c r="F245" s="1" t="inlineStr">
        <is>
          <t>M</t>
        </is>
      </c>
      <c r="G245" s="3" t="inlineStr">
        <is>
          <t>Ishan Sharma</t>
        </is>
      </c>
      <c r="H245" s="3" t="inlineStr">
        <is>
          <t>Riya Sharma</t>
        </is>
      </c>
      <c r="I245" s="30" t="n">
        <v>45955</v>
      </c>
      <c r="J245" s="1" t="inlineStr">
        <is>
          <t>21 Birchwood Lane</t>
        </is>
      </c>
      <c r="K245" s="1" t="inlineStr">
        <is>
          <t>Emerald Road</t>
        </is>
      </c>
      <c r="L245" s="1" t="inlineStr">
        <is>
          <t>PIN:384008 MILDURA</t>
        </is>
      </c>
      <c r="M245" s="2" t="inlineStr">
        <is>
          <t>MHA/IND/00244</t>
        </is>
      </c>
      <c r="N245" s="30" t="n">
        <v>45850</v>
      </c>
    </row>
    <row r="246">
      <c r="A246" s="28" t="n">
        <v>245</v>
      </c>
      <c r="B246" s="1" t="inlineStr">
        <is>
          <t>ANYA RAO</t>
        </is>
      </c>
      <c r="C246" s="35" t="n">
        <v>45679</v>
      </c>
      <c r="D246" s="1" t="inlineStr">
        <is>
          <t>ST ALBANS</t>
        </is>
      </c>
      <c r="E246" s="12" t="inlineStr">
        <is>
          <t>IND/MEL/00245</t>
        </is>
      </c>
      <c r="F246" s="1" t="inlineStr">
        <is>
          <t>F</t>
        </is>
      </c>
      <c r="G246" s="3" t="inlineStr">
        <is>
          <t>Neil Rao</t>
        </is>
      </c>
      <c r="H246" s="3" t="inlineStr">
        <is>
          <t>Tara Rao</t>
        </is>
      </c>
      <c r="I246" s="30" t="n">
        <v>45704</v>
      </c>
      <c r="J246" s="1" t="inlineStr">
        <is>
          <t>198 Birchwood Lane</t>
        </is>
      </c>
      <c r="K246" s="1" t="inlineStr">
        <is>
          <t>Emerald Road</t>
        </is>
      </c>
      <c r="L246" s="1" t="inlineStr">
        <is>
          <t>PIN:435572 ST ALBANS</t>
        </is>
      </c>
      <c r="M246" s="2" t="inlineStr">
        <is>
          <t>MHA/IND/00245</t>
        </is>
      </c>
      <c r="N246" s="30" t="n">
        <v>45888</v>
      </c>
    </row>
    <row r="247">
      <c r="A247" s="28" t="n">
        <v>246</v>
      </c>
      <c r="B247" s="1" t="inlineStr">
        <is>
          <t>DIYA MYRTHOS</t>
        </is>
      </c>
      <c r="C247" s="35" t="n">
        <v>45928</v>
      </c>
      <c r="D247" s="1" t="inlineStr">
        <is>
          <t>BENDIGO</t>
        </is>
      </c>
      <c r="E247" s="12" t="inlineStr">
        <is>
          <t>IND/MEL/00246</t>
        </is>
      </c>
      <c r="F247" s="1" t="inlineStr">
        <is>
          <t>F</t>
        </is>
      </c>
      <c r="G247" s="3" t="inlineStr">
        <is>
          <t>Rohit Myrthos</t>
        </is>
      </c>
      <c r="H247" s="3" t="inlineStr">
        <is>
          <t>Alya Myrthos</t>
        </is>
      </c>
      <c r="I247" s="30" t="n">
        <v>45960</v>
      </c>
      <c r="J247" s="1" t="inlineStr">
        <is>
          <t>157 Birchwood Lane</t>
        </is>
      </c>
      <c r="K247" s="1" t="inlineStr">
        <is>
          <t>Emerald Road</t>
        </is>
      </c>
      <c r="L247" s="1" t="inlineStr">
        <is>
          <t>PIN:557614 BENDIGO</t>
        </is>
      </c>
      <c r="M247" s="2" t="inlineStr">
        <is>
          <t>MHA/IND/00246</t>
        </is>
      </c>
      <c r="N247" s="30" t="n">
        <v>45881</v>
      </c>
    </row>
    <row r="248" ht="30" customHeight="1">
      <c r="A248" s="28" t="n">
        <v>247</v>
      </c>
      <c r="B248" s="1" t="inlineStr">
        <is>
          <t>DIYA RISHKAN</t>
        </is>
      </c>
      <c r="C248" s="35" t="n">
        <v>45947</v>
      </c>
      <c r="D248" s="1" t="inlineStr">
        <is>
          <t>WOLLONGONG</t>
        </is>
      </c>
      <c r="E248" s="12" t="inlineStr">
        <is>
          <t>IND/MEL/00247</t>
        </is>
      </c>
      <c r="F248" s="1" t="inlineStr">
        <is>
          <t>F</t>
        </is>
      </c>
      <c r="G248" s="3" t="inlineStr">
        <is>
          <t>Kabir Rishkan</t>
        </is>
      </c>
      <c r="H248" s="3" t="inlineStr">
        <is>
          <t>Nina Rishkan</t>
        </is>
      </c>
      <c r="I248" s="30" t="n">
        <v>46053</v>
      </c>
      <c r="J248" s="1" t="inlineStr">
        <is>
          <t>77 Birchwood Lane</t>
        </is>
      </c>
      <c r="K248" s="1" t="inlineStr">
        <is>
          <t>Emerald Road</t>
        </is>
      </c>
      <c r="L248" s="1" t="inlineStr">
        <is>
          <t>PIN:990720 WOLLONGONG</t>
        </is>
      </c>
      <c r="M248" s="2" t="inlineStr">
        <is>
          <t>MHA/IND/00247</t>
        </is>
      </c>
      <c r="N248" s="30" t="n">
        <v>45870</v>
      </c>
    </row>
    <row r="249">
      <c r="A249" s="28" t="n">
        <v>248</v>
      </c>
      <c r="B249" s="1" t="inlineStr">
        <is>
          <t>ANYA VALZARI</t>
        </is>
      </c>
      <c r="C249" s="35" t="n">
        <v>45765</v>
      </c>
      <c r="D249" s="11" t="inlineStr">
        <is>
          <t>WERRIBEE</t>
        </is>
      </c>
      <c r="E249" s="12" t="inlineStr">
        <is>
          <t>IND/MEL/00248</t>
        </is>
      </c>
      <c r="F249" s="1" t="inlineStr">
        <is>
          <t>F</t>
        </is>
      </c>
      <c r="G249" s="3" t="inlineStr">
        <is>
          <t>Neil Valzari</t>
        </is>
      </c>
      <c r="H249" s="3" t="inlineStr">
        <is>
          <t>Diya Valzari</t>
        </is>
      </c>
      <c r="I249" s="30" t="n">
        <v>45824</v>
      </c>
      <c r="J249" s="1" t="inlineStr">
        <is>
          <t>59 Birchwood Lane</t>
        </is>
      </c>
      <c r="K249" s="1" t="inlineStr">
        <is>
          <t>Emerald Road</t>
        </is>
      </c>
      <c r="L249" s="1" t="inlineStr">
        <is>
          <t>PIN:686666 WERRIBEE</t>
        </is>
      </c>
      <c r="M249" s="2" t="inlineStr">
        <is>
          <t>MHA/IND/00248</t>
        </is>
      </c>
      <c r="N249" s="30" t="n">
        <v>45879</v>
      </c>
    </row>
    <row r="250" ht="30" customHeight="1">
      <c r="A250" s="28" t="n">
        <v>249</v>
      </c>
      <c r="B250" s="1" t="inlineStr">
        <is>
          <t>DEV MYRTHOS</t>
        </is>
      </c>
      <c r="C250" s="35" t="n">
        <v>45887</v>
      </c>
      <c r="D250" s="1" t="inlineStr">
        <is>
          <t>MIDLAND</t>
        </is>
      </c>
      <c r="E250" s="12" t="inlineStr">
        <is>
          <t>IND/MEL/00249</t>
        </is>
      </c>
      <c r="F250" s="1" t="inlineStr">
        <is>
          <t>M</t>
        </is>
      </c>
      <c r="G250" s="3" t="inlineStr">
        <is>
          <t>Kabir Myrthos</t>
        </is>
      </c>
      <c r="H250" s="3" t="inlineStr">
        <is>
          <t>Mira Myrthos</t>
        </is>
      </c>
      <c r="I250" s="30" t="n">
        <v>45936</v>
      </c>
      <c r="J250" s="1" t="inlineStr">
        <is>
          <t>68 Birchwood Lane</t>
        </is>
      </c>
      <c r="K250" s="1" t="inlineStr">
        <is>
          <t>Emerald Road</t>
        </is>
      </c>
      <c r="L250" s="1" t="inlineStr">
        <is>
          <t>PIN:921614 MIDLAND</t>
        </is>
      </c>
      <c r="M250" s="2" t="inlineStr">
        <is>
          <t>MHA/IND/00249</t>
        </is>
      </c>
      <c r="N250" s="30" t="n">
        <v>45844</v>
      </c>
    </row>
    <row r="251">
      <c r="A251" s="28" t="n">
        <v>250</v>
      </c>
      <c r="B251" s="1" t="inlineStr">
        <is>
          <t>NINA MYRTHOS</t>
        </is>
      </c>
      <c r="C251" s="35" t="n">
        <v>45686</v>
      </c>
      <c r="D251" s="1" t="inlineStr">
        <is>
          <t>BUNDOORA</t>
        </is>
      </c>
      <c r="E251" s="12" t="inlineStr">
        <is>
          <t>IND/MEL/00250</t>
        </is>
      </c>
      <c r="F251" s="1" t="inlineStr">
        <is>
          <t>F</t>
        </is>
      </c>
      <c r="G251" s="3" t="inlineStr">
        <is>
          <t>Ishan Myrthos</t>
        </is>
      </c>
      <c r="H251" s="3" t="inlineStr">
        <is>
          <t>Alya Myrthos</t>
        </is>
      </c>
      <c r="I251" s="30" t="n">
        <v>45704</v>
      </c>
      <c r="J251" s="1" t="inlineStr">
        <is>
          <t>191 Birchwood Lane</t>
        </is>
      </c>
      <c r="K251" s="1" t="inlineStr">
        <is>
          <t>Emerald Road</t>
        </is>
      </c>
      <c r="L251" s="1" t="inlineStr">
        <is>
          <t>PIN:383372 BUNDOORA</t>
        </is>
      </c>
      <c r="M251" s="2" t="inlineStr">
        <is>
          <t>MHA/IND/00250</t>
        </is>
      </c>
      <c r="N251" s="30" t="n">
        <v>45898</v>
      </c>
    </row>
    <row r="252">
      <c r="A252" s="28" t="n">
        <v>251</v>
      </c>
      <c r="B252" s="1" t="inlineStr">
        <is>
          <t>ARJUN SINDALE</t>
        </is>
      </c>
      <c r="C252" s="35" t="n">
        <v>45768</v>
      </c>
      <c r="D252" s="1" t="inlineStr">
        <is>
          <t>ADELAIDE</t>
        </is>
      </c>
      <c r="E252" s="12" t="inlineStr">
        <is>
          <t>IND/MEL/00251</t>
        </is>
      </c>
      <c r="F252" s="1" t="inlineStr">
        <is>
          <t>M</t>
        </is>
      </c>
      <c r="G252" s="3" t="inlineStr">
        <is>
          <t>Aren Sindale</t>
        </is>
      </c>
      <c r="H252" s="3" t="inlineStr">
        <is>
          <t>Alya Sindale</t>
        </is>
      </c>
      <c r="I252" s="30" t="n">
        <v>45805</v>
      </c>
      <c r="J252" s="1" t="inlineStr">
        <is>
          <t>28 Birchwood Lane</t>
        </is>
      </c>
      <c r="K252" s="1" t="inlineStr">
        <is>
          <t>Emerald Road</t>
        </is>
      </c>
      <c r="L252" s="1" t="inlineStr">
        <is>
          <t>PIN:703922 ADELAIDE</t>
        </is>
      </c>
      <c r="M252" s="2" t="inlineStr">
        <is>
          <t>MHA/IND/00251</t>
        </is>
      </c>
      <c r="N252" s="30" t="n">
        <v>45853</v>
      </c>
    </row>
    <row r="253" ht="30" customHeight="1">
      <c r="A253" s="28" t="n">
        <v>252</v>
      </c>
      <c r="B253" s="1" t="inlineStr">
        <is>
          <t>DIYA SHARMA</t>
        </is>
      </c>
      <c r="C253" s="35" t="n">
        <v>45701</v>
      </c>
      <c r="D253" s="1" t="inlineStr">
        <is>
          <t>TOOWOOMBA</t>
        </is>
      </c>
      <c r="E253" s="12" t="inlineStr">
        <is>
          <t>IND/MEL/00252</t>
        </is>
      </c>
      <c r="F253" s="1" t="inlineStr">
        <is>
          <t>F</t>
        </is>
      </c>
      <c r="G253" s="3" t="inlineStr">
        <is>
          <t>Arjun Sharma</t>
        </is>
      </c>
      <c r="H253" s="3" t="inlineStr">
        <is>
          <t>Alya Sharma</t>
        </is>
      </c>
      <c r="I253" s="30" t="n">
        <v>45738</v>
      </c>
      <c r="J253" s="1" t="inlineStr">
        <is>
          <t>185 Birchwood Lane</t>
        </is>
      </c>
      <c r="K253" s="1" t="inlineStr">
        <is>
          <t>Emerald Road</t>
        </is>
      </c>
      <c r="L253" s="1" t="inlineStr">
        <is>
          <t>PIN:926264 TOOWOOMBA</t>
        </is>
      </c>
      <c r="M253" s="2" t="inlineStr">
        <is>
          <t>MHA/IND/00252</t>
        </is>
      </c>
      <c r="N253" s="30" t="n">
        <v>45841</v>
      </c>
    </row>
    <row r="254">
      <c r="A254" s="28" t="n">
        <v>253</v>
      </c>
      <c r="B254" s="1" t="inlineStr">
        <is>
          <t>ISHAN SINDALE</t>
        </is>
      </c>
      <c r="C254" s="35" t="n">
        <v>45709</v>
      </c>
      <c r="D254" s="1" t="inlineStr">
        <is>
          <t>PERTH</t>
        </is>
      </c>
      <c r="E254" s="12" t="inlineStr">
        <is>
          <t>IND/MEL/00253</t>
        </is>
      </c>
      <c r="F254" s="1" t="inlineStr">
        <is>
          <t>M</t>
        </is>
      </c>
      <c r="G254" s="3" t="inlineStr">
        <is>
          <t>Arjun Sindale</t>
        </is>
      </c>
      <c r="H254" s="3" t="inlineStr">
        <is>
          <t>Sara Sindale</t>
        </is>
      </c>
      <c r="I254" s="30" t="n">
        <v>45797</v>
      </c>
      <c r="J254" s="1" t="inlineStr">
        <is>
          <t>166 Birchwood Lane</t>
        </is>
      </c>
      <c r="K254" s="1" t="inlineStr">
        <is>
          <t>Emerald Road</t>
        </is>
      </c>
      <c r="L254" s="1" t="inlineStr">
        <is>
          <t>PIN:836568 PERTH</t>
        </is>
      </c>
      <c r="M254" s="2" t="inlineStr">
        <is>
          <t>MHA/IND/00253</t>
        </is>
      </c>
      <c r="N254" s="30" t="n">
        <v>45851</v>
      </c>
    </row>
    <row r="255">
      <c r="A255" s="28" t="n">
        <v>254</v>
      </c>
      <c r="B255" s="1" t="inlineStr">
        <is>
          <t>ALYA RAO</t>
        </is>
      </c>
      <c r="C255" s="35" t="n">
        <v>45811</v>
      </c>
      <c r="D255" s="1" t="inlineStr">
        <is>
          <t>NEWCASTLE</t>
        </is>
      </c>
      <c r="E255" s="12" t="inlineStr">
        <is>
          <t>IND/MEL/00254</t>
        </is>
      </c>
      <c r="F255" s="1" t="inlineStr">
        <is>
          <t>F</t>
        </is>
      </c>
      <c r="G255" s="3" t="inlineStr">
        <is>
          <t>Ishan Rao</t>
        </is>
      </c>
      <c r="H255" s="3" t="inlineStr">
        <is>
          <t>Diya Rao</t>
        </is>
      </c>
      <c r="I255" s="30" t="n">
        <v>45898</v>
      </c>
      <c r="J255" s="1" t="inlineStr">
        <is>
          <t>190 Birchwood Lane</t>
        </is>
      </c>
      <c r="K255" s="1" t="inlineStr">
        <is>
          <t>Emerald Road</t>
        </is>
      </c>
      <c r="L255" s="1" t="inlineStr">
        <is>
          <t>PIN:596001 NEWCASTLE</t>
        </is>
      </c>
      <c r="M255" s="2" t="inlineStr">
        <is>
          <t>MHA/IND/00254</t>
        </is>
      </c>
      <c r="N255" s="30" t="n">
        <v>45849</v>
      </c>
    </row>
    <row r="256">
      <c r="A256" s="28" t="n">
        <v>255</v>
      </c>
      <c r="B256" s="1" t="inlineStr">
        <is>
          <t>ISHAN SINDALE</t>
        </is>
      </c>
      <c r="C256" s="35" t="n">
        <v>45699</v>
      </c>
      <c r="D256" s="1" t="inlineStr">
        <is>
          <t>SHEPPARTON</t>
        </is>
      </c>
      <c r="E256" s="12" t="inlineStr">
        <is>
          <t>IND/MEL/00255</t>
        </is>
      </c>
      <c r="F256" s="1" t="inlineStr">
        <is>
          <t>M</t>
        </is>
      </c>
      <c r="G256" s="3" t="inlineStr">
        <is>
          <t>Kabir Sindale</t>
        </is>
      </c>
      <c r="H256" s="3" t="inlineStr">
        <is>
          <t>Tara Sindale</t>
        </is>
      </c>
      <c r="I256" s="30" t="n">
        <v>45721</v>
      </c>
      <c r="J256" s="1" t="inlineStr">
        <is>
          <t>189 Birchwood Lane</t>
        </is>
      </c>
      <c r="K256" s="1" t="inlineStr">
        <is>
          <t>Emerald Road</t>
        </is>
      </c>
      <c r="L256" s="1" t="inlineStr">
        <is>
          <t>PIN:454480 SHEPPARTON</t>
        </is>
      </c>
      <c r="M256" s="2" t="inlineStr">
        <is>
          <t>MHA/IND/00255</t>
        </is>
      </c>
      <c r="N256" s="30" t="n">
        <v>45883</v>
      </c>
    </row>
    <row r="257" ht="30" customHeight="1">
      <c r="A257" s="28" t="n">
        <v>256</v>
      </c>
      <c r="B257" s="1" t="inlineStr">
        <is>
          <t>ISHAN KALEON</t>
        </is>
      </c>
      <c r="C257" s="35" t="n">
        <v>45945</v>
      </c>
      <c r="D257" s="1" t="inlineStr">
        <is>
          <t>MOUNT WAVERLEY</t>
        </is>
      </c>
      <c r="E257" s="12" t="inlineStr">
        <is>
          <t>IND/MEL/00256</t>
        </is>
      </c>
      <c r="F257" s="1" t="inlineStr">
        <is>
          <t>M</t>
        </is>
      </c>
      <c r="G257" s="3" t="inlineStr">
        <is>
          <t>Aren Kaleon</t>
        </is>
      </c>
      <c r="H257" s="3" t="inlineStr">
        <is>
          <t>Nina Kaleon</t>
        </is>
      </c>
      <c r="I257" s="30" t="n">
        <v>46061</v>
      </c>
      <c r="J257" s="1" t="inlineStr">
        <is>
          <t>137 Birchwood Lane</t>
        </is>
      </c>
      <c r="K257" s="1" t="inlineStr">
        <is>
          <t>Emerald Road</t>
        </is>
      </c>
      <c r="L257" s="1" t="inlineStr">
        <is>
          <t>PIN:600100 MOUNT WAVERLEY</t>
        </is>
      </c>
      <c r="M257" s="2" t="inlineStr">
        <is>
          <t>MHA/IND/00256</t>
        </is>
      </c>
      <c r="N257" s="30" t="n">
        <v>45843</v>
      </c>
    </row>
    <row r="258">
      <c r="A258" s="28" t="n">
        <v>257</v>
      </c>
      <c r="B258" s="1" t="inlineStr">
        <is>
          <t>KIRAN MYRTHOS</t>
        </is>
      </c>
      <c r="C258" s="35" t="n">
        <v>45736</v>
      </c>
      <c r="D258" s="1" t="inlineStr">
        <is>
          <t>DEVONPORT</t>
        </is>
      </c>
      <c r="E258" s="12" t="inlineStr">
        <is>
          <t>IND/MEL/00257</t>
        </is>
      </c>
      <c r="F258" s="1" t="inlineStr">
        <is>
          <t>M</t>
        </is>
      </c>
      <c r="G258" s="3" t="inlineStr">
        <is>
          <t>Arjun Myrthos</t>
        </is>
      </c>
      <c r="H258" s="3" t="inlineStr">
        <is>
          <t>Mira Myrthos</t>
        </is>
      </c>
      <c r="I258" s="30" t="n">
        <v>45837</v>
      </c>
      <c r="J258" s="1" t="inlineStr">
        <is>
          <t>125 Birchwood Lane</t>
        </is>
      </c>
      <c r="K258" s="1" t="inlineStr">
        <is>
          <t>Emerald Road</t>
        </is>
      </c>
      <c r="L258" s="1" t="inlineStr">
        <is>
          <t>PIN:206474 DEVONPORT</t>
        </is>
      </c>
      <c r="M258" s="2" t="inlineStr">
        <is>
          <t>MHA/IND/00257</t>
        </is>
      </c>
      <c r="N258" s="30" t="n">
        <v>45862</v>
      </c>
    </row>
    <row r="259">
      <c r="A259" s="28" t="n">
        <v>258</v>
      </c>
      <c r="B259" s="1" t="inlineStr">
        <is>
          <t>ISHAN MYRTHOS</t>
        </is>
      </c>
      <c r="C259" s="35" t="n">
        <v>45828</v>
      </c>
      <c r="D259" s="1" t="inlineStr">
        <is>
          <t>BENDIGO</t>
        </is>
      </c>
      <c r="E259" s="12" t="inlineStr">
        <is>
          <t>IND/MEL/00258</t>
        </is>
      </c>
      <c r="F259" s="1" t="inlineStr">
        <is>
          <t>M</t>
        </is>
      </c>
      <c r="G259" s="3" t="inlineStr">
        <is>
          <t>Aren Myrthos</t>
        </is>
      </c>
      <c r="H259" s="3" t="inlineStr">
        <is>
          <t>Anya Myrthos</t>
        </is>
      </c>
      <c r="I259" s="30" t="n">
        <v>45844</v>
      </c>
      <c r="J259" s="1" t="inlineStr">
        <is>
          <t>153 Birchwood Lane</t>
        </is>
      </c>
      <c r="K259" s="1" t="inlineStr">
        <is>
          <t>Emerald Road</t>
        </is>
      </c>
      <c r="L259" s="1" t="inlineStr">
        <is>
          <t>PIN:734089 BENDIGO</t>
        </is>
      </c>
      <c r="M259" s="2" t="inlineStr">
        <is>
          <t>MHA/IND/00258</t>
        </is>
      </c>
      <c r="N259" s="30" t="n">
        <v>45844</v>
      </c>
    </row>
    <row r="260">
      <c r="A260" s="28" t="n">
        <v>259</v>
      </c>
      <c r="B260" s="1" t="inlineStr">
        <is>
          <t>AREN SINDALE</t>
        </is>
      </c>
      <c r="C260" s="35" t="n">
        <v>45838</v>
      </c>
      <c r="D260" s="1" t="inlineStr">
        <is>
          <t>SHEPPARTON</t>
        </is>
      </c>
      <c r="E260" s="12" t="inlineStr">
        <is>
          <t>IND/MEL/00259</t>
        </is>
      </c>
      <c r="F260" s="1" t="inlineStr">
        <is>
          <t>M</t>
        </is>
      </c>
      <c r="G260" s="3" t="inlineStr">
        <is>
          <t>Kiran Sindale</t>
        </is>
      </c>
      <c r="H260" s="3" t="inlineStr">
        <is>
          <t>Tara Sindale</t>
        </is>
      </c>
      <c r="I260" s="30" t="n">
        <v>45918</v>
      </c>
      <c r="J260" s="1" t="inlineStr">
        <is>
          <t>62 Birchwood Lane</t>
        </is>
      </c>
      <c r="K260" s="1" t="inlineStr">
        <is>
          <t>Emerald Road</t>
        </is>
      </c>
      <c r="L260" s="1" t="inlineStr">
        <is>
          <t>PIN:334715 SHEPPARTON</t>
        </is>
      </c>
      <c r="M260" s="2" t="inlineStr">
        <is>
          <t>MHA/IND/00259</t>
        </is>
      </c>
      <c r="N260" s="30" t="n">
        <v>45890</v>
      </c>
    </row>
    <row r="261">
      <c r="A261" s="28" t="n">
        <v>260</v>
      </c>
      <c r="B261" s="1" t="inlineStr">
        <is>
          <t>ARJUN SHARMA</t>
        </is>
      </c>
      <c r="C261" s="35" t="n">
        <v>45900</v>
      </c>
      <c r="D261" s="1" t="inlineStr">
        <is>
          <t>WODONGA</t>
        </is>
      </c>
      <c r="E261" s="12" t="inlineStr">
        <is>
          <t>IND/MEL/00260</t>
        </is>
      </c>
      <c r="F261" s="1" t="inlineStr">
        <is>
          <t>M</t>
        </is>
      </c>
      <c r="G261" s="3" t="inlineStr">
        <is>
          <t>Dev Sharma</t>
        </is>
      </c>
      <c r="H261" s="3" t="inlineStr">
        <is>
          <t>Riya Sharma</t>
        </is>
      </c>
      <c r="I261" s="30" t="n">
        <v>45984</v>
      </c>
      <c r="J261" s="1" t="inlineStr">
        <is>
          <t>93 Birchwood Lane</t>
        </is>
      </c>
      <c r="K261" s="1" t="inlineStr">
        <is>
          <t>Emerald Road</t>
        </is>
      </c>
      <c r="L261" s="1" t="inlineStr">
        <is>
          <t>PIN:490957 WODONGA</t>
        </is>
      </c>
      <c r="M261" s="2" t="inlineStr">
        <is>
          <t>MHA/IND/00260</t>
        </is>
      </c>
      <c r="N261" s="30" t="n">
        <v>45846</v>
      </c>
    </row>
    <row r="262">
      <c r="A262" s="28" t="n">
        <v>261</v>
      </c>
      <c r="B262" s="1" t="inlineStr">
        <is>
          <t>ALYA RAO</t>
        </is>
      </c>
      <c r="C262" s="35" t="n">
        <v>45953</v>
      </c>
      <c r="D262" s="1" t="inlineStr">
        <is>
          <t>PENRITH</t>
        </is>
      </c>
      <c r="E262" s="12" t="inlineStr">
        <is>
          <t>IND/MEL/00261</t>
        </is>
      </c>
      <c r="F262" s="1" t="inlineStr">
        <is>
          <t>F</t>
        </is>
      </c>
      <c r="G262" s="3" t="inlineStr">
        <is>
          <t>Neil Rao</t>
        </is>
      </c>
      <c r="H262" s="3" t="inlineStr">
        <is>
          <t>Mira Rao</t>
        </is>
      </c>
      <c r="I262" s="30" t="n">
        <v>45959</v>
      </c>
      <c r="J262" s="1" t="inlineStr">
        <is>
          <t>159 Birchwood Lane</t>
        </is>
      </c>
      <c r="K262" s="1" t="inlineStr">
        <is>
          <t>Emerald Road</t>
        </is>
      </c>
      <c r="L262" s="1" t="inlineStr">
        <is>
          <t>PIN:895389 PENRITH</t>
        </is>
      </c>
      <c r="M262" s="2" t="inlineStr">
        <is>
          <t>MHA/IND/00261</t>
        </is>
      </c>
      <c r="N262" s="30" t="n">
        <v>45845</v>
      </c>
    </row>
    <row r="263">
      <c r="A263" s="28" t="n">
        <v>262</v>
      </c>
      <c r="B263" s="1" t="inlineStr">
        <is>
          <t>DIYA KALEON</t>
        </is>
      </c>
      <c r="C263" s="35" t="n">
        <v>45774</v>
      </c>
      <c r="D263" s="1" t="inlineStr">
        <is>
          <t>WODONGA</t>
        </is>
      </c>
      <c r="E263" s="12" t="inlineStr">
        <is>
          <t>IND/MEL/00262</t>
        </is>
      </c>
      <c r="F263" s="1" t="inlineStr">
        <is>
          <t>F</t>
        </is>
      </c>
      <c r="G263" s="3" t="inlineStr">
        <is>
          <t>Ishan Kaleon</t>
        </is>
      </c>
      <c r="H263" s="3" t="inlineStr">
        <is>
          <t>Alya Kaleon</t>
        </is>
      </c>
      <c r="I263" s="30" t="n">
        <v>45805</v>
      </c>
      <c r="J263" s="1" t="inlineStr">
        <is>
          <t>21 Birchwood Lane</t>
        </is>
      </c>
      <c r="K263" s="1" t="inlineStr">
        <is>
          <t>Emerald Road</t>
        </is>
      </c>
      <c r="L263" s="1" t="inlineStr">
        <is>
          <t>PIN:899035 WODONGA</t>
        </is>
      </c>
      <c r="M263" s="2" t="inlineStr">
        <is>
          <t>MHA/IND/00262</t>
        </is>
      </c>
      <c r="N263" s="30" t="n">
        <v>45898</v>
      </c>
    </row>
    <row r="264">
      <c r="A264" s="28" t="n">
        <v>263</v>
      </c>
      <c r="B264" s="1" t="inlineStr">
        <is>
          <t>ANYA RAO</t>
        </is>
      </c>
      <c r="C264" s="35" t="n">
        <v>45936</v>
      </c>
      <c r="D264" s="1" t="inlineStr">
        <is>
          <t>IPSWICH</t>
        </is>
      </c>
      <c r="E264" s="12" t="inlineStr">
        <is>
          <t>IND/MEL/00263</t>
        </is>
      </c>
      <c r="F264" s="1" t="inlineStr">
        <is>
          <t>F</t>
        </is>
      </c>
      <c r="G264" s="3" t="inlineStr">
        <is>
          <t>Neil Rao</t>
        </is>
      </c>
      <c r="H264" s="3" t="inlineStr">
        <is>
          <t>Diya Rao</t>
        </is>
      </c>
      <c r="I264" s="30" t="n">
        <v>45992</v>
      </c>
      <c r="J264" s="1" t="inlineStr">
        <is>
          <t>125 Birchwood Lane</t>
        </is>
      </c>
      <c r="K264" s="1" t="inlineStr">
        <is>
          <t>Emerald Road</t>
        </is>
      </c>
      <c r="L264" s="1" t="inlineStr">
        <is>
          <t>PIN:344922 IPSWICH</t>
        </is>
      </c>
      <c r="M264" s="2" t="inlineStr">
        <is>
          <t>MHA/IND/00263</t>
        </is>
      </c>
      <c r="N264" s="30" t="n">
        <v>45877</v>
      </c>
    </row>
    <row r="265">
      <c r="A265" s="28" t="n">
        <v>264</v>
      </c>
      <c r="B265" s="1" t="inlineStr">
        <is>
          <t>NINA KALEON</t>
        </is>
      </c>
      <c r="C265" s="35" t="n">
        <v>45743</v>
      </c>
      <c r="D265" s="1" t="inlineStr">
        <is>
          <t>BERWICK</t>
        </is>
      </c>
      <c r="E265" s="12" t="inlineStr">
        <is>
          <t>IND/MEL/00264</t>
        </is>
      </c>
      <c r="F265" s="1" t="inlineStr">
        <is>
          <t>F</t>
        </is>
      </c>
      <c r="G265" s="3" t="inlineStr">
        <is>
          <t>Arjun Kaleon</t>
        </is>
      </c>
      <c r="H265" s="3" t="inlineStr">
        <is>
          <t>Anya Kaleon</t>
        </is>
      </c>
      <c r="I265" s="30" t="n">
        <v>45754</v>
      </c>
      <c r="J265" s="1" t="inlineStr">
        <is>
          <t>68 Birchwood Lane</t>
        </is>
      </c>
      <c r="K265" s="1" t="inlineStr">
        <is>
          <t>Emerald Road</t>
        </is>
      </c>
      <c r="L265" s="1" t="inlineStr">
        <is>
          <t>PIN:360661 BERWICK</t>
        </is>
      </c>
      <c r="M265" s="2" t="inlineStr">
        <is>
          <t>MHA/IND/00264</t>
        </is>
      </c>
      <c r="N265" s="30" t="n">
        <v>45872</v>
      </c>
    </row>
    <row r="266">
      <c r="A266" s="28" t="n">
        <v>265</v>
      </c>
      <c r="B266" s="1" t="inlineStr">
        <is>
          <t>ANYA MYRTHOS</t>
        </is>
      </c>
      <c r="C266" s="35" t="n">
        <v>45950</v>
      </c>
      <c r="D266" s="1" t="inlineStr">
        <is>
          <t>CANBERRA</t>
        </is>
      </c>
      <c r="E266" s="12" t="inlineStr">
        <is>
          <t>IND/MEL/00265</t>
        </is>
      </c>
      <c r="F266" s="1" t="inlineStr">
        <is>
          <t>F</t>
        </is>
      </c>
      <c r="G266" s="3" t="inlineStr">
        <is>
          <t>Arjun Myrthos</t>
        </is>
      </c>
      <c r="H266" s="3" t="inlineStr">
        <is>
          <t>Nina Myrthos</t>
        </is>
      </c>
      <c r="I266" s="30" t="n">
        <v>45969</v>
      </c>
      <c r="J266" s="1" t="inlineStr">
        <is>
          <t>196 Birchwood Lane</t>
        </is>
      </c>
      <c r="K266" s="1" t="inlineStr">
        <is>
          <t>Emerald Road</t>
        </is>
      </c>
      <c r="L266" s="1" t="inlineStr">
        <is>
          <t>PIN:308984 CANBERRA</t>
        </is>
      </c>
      <c r="M266" s="2" t="inlineStr">
        <is>
          <t>MHA/IND/00265</t>
        </is>
      </c>
      <c r="N266" s="30" t="n">
        <v>45840</v>
      </c>
    </row>
    <row r="267">
      <c r="A267" s="28" t="n">
        <v>266</v>
      </c>
      <c r="B267" s="1" t="inlineStr">
        <is>
          <t>ANYA KALEON</t>
        </is>
      </c>
      <c r="C267" s="35" t="n">
        <v>45659</v>
      </c>
      <c r="D267" s="1" t="inlineStr">
        <is>
          <t>CLAYTON</t>
        </is>
      </c>
      <c r="E267" s="12" t="inlineStr">
        <is>
          <t>IND/MEL/00266</t>
        </is>
      </c>
      <c r="F267" s="1" t="inlineStr">
        <is>
          <t>F</t>
        </is>
      </c>
      <c r="G267" s="3" t="inlineStr">
        <is>
          <t>Aren Kaleon</t>
        </is>
      </c>
      <c r="H267" s="3" t="inlineStr">
        <is>
          <t>Alya Kaleon</t>
        </is>
      </c>
      <c r="I267" s="30" t="n">
        <v>45686</v>
      </c>
      <c r="J267" s="1" t="inlineStr">
        <is>
          <t>37 Birchwood Lane</t>
        </is>
      </c>
      <c r="K267" s="1" t="inlineStr">
        <is>
          <t>Emerald Road</t>
        </is>
      </c>
      <c r="L267" s="1" t="inlineStr">
        <is>
          <t>PIN:907143 CLAYTON</t>
        </is>
      </c>
      <c r="M267" s="2" t="inlineStr">
        <is>
          <t>MHA/IND/00266</t>
        </is>
      </c>
      <c r="N267" s="30" t="n">
        <v>45858</v>
      </c>
    </row>
    <row r="268" ht="30" customHeight="1">
      <c r="A268" s="28" t="n">
        <v>267</v>
      </c>
      <c r="B268" s="1" t="inlineStr">
        <is>
          <t>RIYA MYRTHOS</t>
        </is>
      </c>
      <c r="C268" s="35" t="n">
        <v>45841</v>
      </c>
      <c r="D268" s="1" t="inlineStr">
        <is>
          <t>BRISBANE</t>
        </is>
      </c>
      <c r="E268" s="12" t="inlineStr">
        <is>
          <t>IND/MEL/00267</t>
        </is>
      </c>
      <c r="F268" s="1" t="inlineStr">
        <is>
          <t>F</t>
        </is>
      </c>
      <c r="G268" s="3" t="inlineStr">
        <is>
          <t>Aren Myrthos</t>
        </is>
      </c>
      <c r="H268" s="3" t="inlineStr">
        <is>
          <t>Sara Myrthos</t>
        </is>
      </c>
      <c r="I268" s="30" t="n">
        <v>45924</v>
      </c>
      <c r="J268" s="1" t="inlineStr">
        <is>
          <t>78 Birchwood Lane</t>
        </is>
      </c>
      <c r="K268" s="1" t="inlineStr">
        <is>
          <t>Emerald Road</t>
        </is>
      </c>
      <c r="L268" s="1" t="inlineStr">
        <is>
          <t>PIN:350260 BRISBANE</t>
        </is>
      </c>
      <c r="M268" s="2" t="inlineStr">
        <is>
          <t>MHA/IND/00267</t>
        </is>
      </c>
      <c r="N268" s="30" t="n">
        <v>45859</v>
      </c>
    </row>
    <row r="269">
      <c r="A269" s="28" t="n">
        <v>268</v>
      </c>
      <c r="B269" s="1" t="inlineStr">
        <is>
          <t>NEIL KALEON</t>
        </is>
      </c>
      <c r="C269" s="35" t="n">
        <v>45835</v>
      </c>
      <c r="D269" s="1" t="inlineStr">
        <is>
          <t>KINGSWOOD</t>
        </is>
      </c>
      <c r="E269" s="12" t="inlineStr">
        <is>
          <t>IND/MEL/00268</t>
        </is>
      </c>
      <c r="F269" s="1" t="inlineStr">
        <is>
          <t>M</t>
        </is>
      </c>
      <c r="G269" s="3" t="inlineStr">
        <is>
          <t>Kiran Kaleon</t>
        </is>
      </c>
      <c r="H269" s="3" t="inlineStr">
        <is>
          <t>Diya Kaleon</t>
        </is>
      </c>
      <c r="I269" s="30" t="n">
        <v>45893</v>
      </c>
      <c r="J269" s="1" t="inlineStr">
        <is>
          <t>112 Birchwood Lane</t>
        </is>
      </c>
      <c r="K269" s="1" t="inlineStr">
        <is>
          <t>Emerald Road</t>
        </is>
      </c>
      <c r="L269" s="1" t="inlineStr">
        <is>
          <t>PIN:337234 KINGSWOOD</t>
        </is>
      </c>
      <c r="M269" s="2" t="inlineStr">
        <is>
          <t>MHA/IND/00268</t>
        </is>
      </c>
      <c r="N269" s="30" t="n">
        <v>45846</v>
      </c>
    </row>
    <row r="270">
      <c r="A270" s="28" t="n">
        <v>269</v>
      </c>
      <c r="B270" s="1" t="inlineStr">
        <is>
          <t>KABIR SHARMA</t>
        </is>
      </c>
      <c r="C270" s="35" t="n">
        <v>45926</v>
      </c>
      <c r="D270" s="1" t="inlineStr">
        <is>
          <t>CAMPBELLTOWN</t>
        </is>
      </c>
      <c r="E270" s="12" t="inlineStr">
        <is>
          <t>IND/MEL/00269</t>
        </is>
      </c>
      <c r="F270" s="1" t="inlineStr">
        <is>
          <t>M</t>
        </is>
      </c>
      <c r="G270" s="3" t="inlineStr">
        <is>
          <t>Arjun Sharma</t>
        </is>
      </c>
      <c r="H270" s="3" t="inlineStr">
        <is>
          <t>Mira Sharma</t>
        </is>
      </c>
      <c r="I270" s="30" t="n">
        <v>45969</v>
      </c>
      <c r="J270" s="1" t="inlineStr">
        <is>
          <t>84 Birchwood Lane</t>
        </is>
      </c>
      <c r="K270" s="1" t="inlineStr">
        <is>
          <t>Emerald Road</t>
        </is>
      </c>
      <c r="L270" s="1" t="inlineStr">
        <is>
          <t>PIN:403707 CAMPBELLTOWN</t>
        </is>
      </c>
      <c r="M270" s="2" t="inlineStr">
        <is>
          <t>MHA/IND/00269</t>
        </is>
      </c>
      <c r="N270" s="30" t="n">
        <v>45896</v>
      </c>
    </row>
    <row r="271">
      <c r="A271" s="28" t="n">
        <v>270</v>
      </c>
      <c r="B271" s="1" t="inlineStr">
        <is>
          <t>ANYA RISHKAN</t>
        </is>
      </c>
      <c r="C271" s="35" t="n">
        <v>45663</v>
      </c>
      <c r="D271" s="1" t="inlineStr">
        <is>
          <t>BERWICK</t>
        </is>
      </c>
      <c r="E271" s="12" t="inlineStr">
        <is>
          <t>IND/MEL/00270</t>
        </is>
      </c>
      <c r="F271" s="1" t="inlineStr">
        <is>
          <t>F</t>
        </is>
      </c>
      <c r="G271" s="3" t="inlineStr">
        <is>
          <t>Arjun Rishkan</t>
        </is>
      </c>
      <c r="H271" s="3" t="inlineStr">
        <is>
          <t>Mira Rishkan</t>
        </is>
      </c>
      <c r="I271" s="30" t="n">
        <v>45730</v>
      </c>
      <c r="J271" s="1" t="inlineStr">
        <is>
          <t>61 Birchwood Lane</t>
        </is>
      </c>
      <c r="K271" s="1" t="inlineStr">
        <is>
          <t>Emerald Road</t>
        </is>
      </c>
      <c r="L271" s="1" t="inlineStr">
        <is>
          <t>PIN:379882 BERWICK</t>
        </is>
      </c>
      <c r="M271" s="2" t="inlineStr">
        <is>
          <t>MHA/IND/00270</t>
        </is>
      </c>
      <c r="N271" s="30" t="n">
        <v>45848</v>
      </c>
    </row>
    <row r="272">
      <c r="A272" s="28" t="n">
        <v>271</v>
      </c>
      <c r="B272" s="1" t="inlineStr">
        <is>
          <t>ISHAN RAO</t>
        </is>
      </c>
      <c r="C272" s="35" t="n">
        <v>45706</v>
      </c>
      <c r="D272" s="1" t="inlineStr">
        <is>
          <t>PERTH</t>
        </is>
      </c>
      <c r="E272" s="12" t="inlineStr">
        <is>
          <t>IND/MEL/00271</t>
        </is>
      </c>
      <c r="F272" s="1" t="inlineStr">
        <is>
          <t>M</t>
        </is>
      </c>
      <c r="G272" s="3" t="inlineStr">
        <is>
          <t>Arjun Rao</t>
        </is>
      </c>
      <c r="H272" s="3" t="inlineStr">
        <is>
          <t>Mira Rao</t>
        </is>
      </c>
      <c r="I272" s="30" t="n">
        <v>45815</v>
      </c>
      <c r="J272" s="1" t="inlineStr">
        <is>
          <t>15 Birchwood Lane</t>
        </is>
      </c>
      <c r="K272" s="1" t="inlineStr">
        <is>
          <t>Emerald Road</t>
        </is>
      </c>
      <c r="L272" s="1" t="inlineStr">
        <is>
          <t>PIN:909065 PERTH</t>
        </is>
      </c>
      <c r="M272" s="2" t="inlineStr">
        <is>
          <t>MHA/IND/00271</t>
        </is>
      </c>
      <c r="N272" s="30" t="n">
        <v>45884</v>
      </c>
    </row>
    <row r="273">
      <c r="A273" s="28" t="n">
        <v>272</v>
      </c>
      <c r="B273" s="1" t="inlineStr">
        <is>
          <t>DIYA SHARMA</t>
        </is>
      </c>
      <c r="C273" s="35" t="n">
        <v>45854</v>
      </c>
      <c r="D273" s="1" t="inlineStr">
        <is>
          <t>TRARALGON</t>
        </is>
      </c>
      <c r="E273" s="12" t="inlineStr">
        <is>
          <t>IND/MEL/00272</t>
        </is>
      </c>
      <c r="F273" s="1" t="inlineStr">
        <is>
          <t>F</t>
        </is>
      </c>
      <c r="G273" s="3" t="inlineStr">
        <is>
          <t>Rohit Sharma</t>
        </is>
      </c>
      <c r="H273" s="3" t="inlineStr">
        <is>
          <t>Anya Sharma</t>
        </is>
      </c>
      <c r="I273" s="30" t="n">
        <v>45971</v>
      </c>
      <c r="J273" s="1" t="inlineStr">
        <is>
          <t>105 Birchwood Lane</t>
        </is>
      </c>
      <c r="K273" s="1" t="inlineStr">
        <is>
          <t>Emerald Road</t>
        </is>
      </c>
      <c r="L273" s="1" t="inlineStr">
        <is>
          <t>PIN:749689 TRARALGON</t>
        </is>
      </c>
      <c r="M273" s="2" t="inlineStr">
        <is>
          <t>MHA/IND/00272</t>
        </is>
      </c>
      <c r="N273" s="30" t="n">
        <v>45872</v>
      </c>
    </row>
    <row r="274">
      <c r="A274" s="28" t="n">
        <v>273</v>
      </c>
      <c r="B274" s="1" t="inlineStr">
        <is>
          <t>SARA KALEON</t>
        </is>
      </c>
      <c r="C274" s="35" t="n">
        <v>45946</v>
      </c>
      <c r="D274" s="1" t="inlineStr">
        <is>
          <t>BRISBANE</t>
        </is>
      </c>
      <c r="E274" s="12" t="inlineStr">
        <is>
          <t>IND/MEL/00273</t>
        </is>
      </c>
      <c r="F274" s="1" t="inlineStr">
        <is>
          <t>F</t>
        </is>
      </c>
      <c r="G274" s="3" t="inlineStr">
        <is>
          <t>Ishan Kaleon</t>
        </is>
      </c>
      <c r="H274" s="3" t="inlineStr">
        <is>
          <t>Nina Kaleon</t>
        </is>
      </c>
      <c r="I274" s="30" t="n">
        <v>46009</v>
      </c>
      <c r="J274" s="1" t="inlineStr">
        <is>
          <t>151 Birchwood Lane</t>
        </is>
      </c>
      <c r="K274" s="1" t="inlineStr">
        <is>
          <t>Emerald Road</t>
        </is>
      </c>
      <c r="L274" s="1" t="inlineStr">
        <is>
          <t>PIN:690803 BRISBANE</t>
        </is>
      </c>
      <c r="M274" s="2" t="inlineStr">
        <is>
          <t>MHA/IND/00273</t>
        </is>
      </c>
      <c r="N274" s="30" t="n">
        <v>45841</v>
      </c>
    </row>
    <row r="275">
      <c r="A275" s="28" t="n">
        <v>274</v>
      </c>
      <c r="B275" s="1" t="inlineStr">
        <is>
          <t>KABIR RAO</t>
        </is>
      </c>
      <c r="C275" s="35" t="n">
        <v>45940</v>
      </c>
      <c r="D275" s="1" t="inlineStr">
        <is>
          <t>GEELONG</t>
        </is>
      </c>
      <c r="E275" s="12" t="inlineStr">
        <is>
          <t>IND/MEL/00274</t>
        </is>
      </c>
      <c r="F275" s="1" t="inlineStr">
        <is>
          <t>M</t>
        </is>
      </c>
      <c r="G275" s="3" t="inlineStr">
        <is>
          <t>Neil Rao</t>
        </is>
      </c>
      <c r="H275" s="3" t="inlineStr">
        <is>
          <t>Riya Rao</t>
        </is>
      </c>
      <c r="I275" s="30" t="n">
        <v>46053</v>
      </c>
      <c r="J275" s="1" t="inlineStr">
        <is>
          <t>28 Birchwood Lane</t>
        </is>
      </c>
      <c r="K275" s="1" t="inlineStr">
        <is>
          <t>Emerald Road</t>
        </is>
      </c>
      <c r="L275" s="1" t="inlineStr">
        <is>
          <t>PIN:862049 GEELONG</t>
        </is>
      </c>
      <c r="M275" s="2" t="inlineStr">
        <is>
          <t>MHA/IND/00274</t>
        </is>
      </c>
      <c r="N275" s="30" t="n">
        <v>45845</v>
      </c>
    </row>
    <row r="276">
      <c r="A276" s="28" t="n">
        <v>275</v>
      </c>
      <c r="B276" s="1" t="inlineStr">
        <is>
          <t>NEIL SHARMA</t>
        </is>
      </c>
      <c r="C276" s="35" t="n">
        <v>45698</v>
      </c>
      <c r="D276" s="1" t="inlineStr">
        <is>
          <t>WONTHAGGI</t>
        </is>
      </c>
      <c r="E276" s="12" t="inlineStr">
        <is>
          <t>IND/MEL/00275</t>
        </is>
      </c>
      <c r="F276" s="1" t="inlineStr">
        <is>
          <t>M</t>
        </is>
      </c>
      <c r="G276" s="3" t="inlineStr">
        <is>
          <t>Aren Sharma</t>
        </is>
      </c>
      <c r="H276" s="3" t="inlineStr">
        <is>
          <t>Tara Sharma</t>
        </is>
      </c>
      <c r="I276" s="30" t="n">
        <v>45746</v>
      </c>
      <c r="J276" s="1" t="inlineStr">
        <is>
          <t>49 Birchwood Lane</t>
        </is>
      </c>
      <c r="K276" s="1" t="inlineStr">
        <is>
          <t>Emerald Road</t>
        </is>
      </c>
      <c r="L276" s="1" t="inlineStr">
        <is>
          <t>PIN:481640 WONTHAGGI</t>
        </is>
      </c>
      <c r="M276" s="2" t="inlineStr">
        <is>
          <t>MHA/IND/00275</t>
        </is>
      </c>
      <c r="N276" s="30" t="n">
        <v>45876</v>
      </c>
    </row>
    <row r="277">
      <c r="A277" s="28" t="n">
        <v>276</v>
      </c>
      <c r="B277" s="1" t="inlineStr">
        <is>
          <t>NINA RAO</t>
        </is>
      </c>
      <c r="C277" s="35" t="n">
        <v>45786</v>
      </c>
      <c r="D277" s="1" t="inlineStr">
        <is>
          <t>BELCONNEN</t>
        </is>
      </c>
      <c r="E277" s="12" t="inlineStr">
        <is>
          <t>IND/MEL/00276</t>
        </is>
      </c>
      <c r="F277" s="1" t="inlineStr">
        <is>
          <t>F</t>
        </is>
      </c>
      <c r="G277" s="3" t="inlineStr">
        <is>
          <t>Neil Rao</t>
        </is>
      </c>
      <c r="H277" s="3" t="inlineStr">
        <is>
          <t>Anya Rao</t>
        </is>
      </c>
      <c r="I277" s="30" t="n">
        <v>45815</v>
      </c>
      <c r="J277" s="1" t="inlineStr">
        <is>
          <t>139 Birchwood Lane</t>
        </is>
      </c>
      <c r="K277" s="1" t="inlineStr">
        <is>
          <t>Emerald Road</t>
        </is>
      </c>
      <c r="L277" s="1" t="inlineStr">
        <is>
          <t>PIN:562907 BELCONNEN</t>
        </is>
      </c>
      <c r="M277" s="2" t="inlineStr">
        <is>
          <t>MHA/IND/00276</t>
        </is>
      </c>
      <c r="N277" s="30" t="n">
        <v>45890</v>
      </c>
    </row>
    <row r="278">
      <c r="A278" s="28" t="n">
        <v>277</v>
      </c>
      <c r="B278" s="1" t="inlineStr">
        <is>
          <t>ANYA VALZARI</t>
        </is>
      </c>
      <c r="C278" s="35" t="n">
        <v>45828</v>
      </c>
      <c r="D278" s="1" t="inlineStr">
        <is>
          <t>ST ALBANS</t>
        </is>
      </c>
      <c r="E278" s="12" t="inlineStr">
        <is>
          <t>IND/MEL/00277</t>
        </is>
      </c>
      <c r="F278" s="1" t="inlineStr">
        <is>
          <t>F</t>
        </is>
      </c>
      <c r="G278" s="3" t="inlineStr">
        <is>
          <t>Dev Valzari</t>
        </is>
      </c>
      <c r="H278" s="3" t="inlineStr">
        <is>
          <t>Tara Valzari</t>
        </is>
      </c>
      <c r="I278" s="30" t="n">
        <v>45852</v>
      </c>
      <c r="J278" s="1" t="inlineStr">
        <is>
          <t>121 Birchwood Lane</t>
        </is>
      </c>
      <c r="K278" s="1" t="inlineStr">
        <is>
          <t>Emerald Road</t>
        </is>
      </c>
      <c r="L278" s="1" t="inlineStr">
        <is>
          <t>PIN:447933 ST ALBANS</t>
        </is>
      </c>
      <c r="M278" s="2" t="inlineStr">
        <is>
          <t>MHA/IND/00277</t>
        </is>
      </c>
      <c r="N278" s="30" t="n">
        <v>45898</v>
      </c>
    </row>
    <row r="279">
      <c r="A279" s="28" t="n">
        <v>278</v>
      </c>
      <c r="B279" s="1" t="inlineStr">
        <is>
          <t>NINA RISHKAN</t>
        </is>
      </c>
      <c r="C279" s="35" t="n">
        <v>45699</v>
      </c>
      <c r="D279" s="1" t="inlineStr">
        <is>
          <t>TOWNSVILLE</t>
        </is>
      </c>
      <c r="E279" s="12" t="inlineStr">
        <is>
          <t>IND/MEL/00278</t>
        </is>
      </c>
      <c r="F279" s="1" t="inlineStr">
        <is>
          <t>F</t>
        </is>
      </c>
      <c r="G279" s="3" t="inlineStr">
        <is>
          <t>Rohit Rishkan</t>
        </is>
      </c>
      <c r="H279" s="3" t="inlineStr">
        <is>
          <t>Diya Rishkan</t>
        </is>
      </c>
      <c r="I279" s="30" t="n">
        <v>45809</v>
      </c>
      <c r="J279" s="1" t="inlineStr">
        <is>
          <t>13 Birchwood Lane</t>
        </is>
      </c>
      <c r="K279" s="1" t="inlineStr">
        <is>
          <t>Emerald Road</t>
        </is>
      </c>
      <c r="L279" s="1" t="inlineStr">
        <is>
          <t>PIN:803740 TOWNSVILLE</t>
        </is>
      </c>
      <c r="M279" s="2" t="inlineStr">
        <is>
          <t>MHA/IND/00278</t>
        </is>
      </c>
      <c r="N279" s="30" t="n">
        <v>45866</v>
      </c>
    </row>
    <row r="280" ht="30" customHeight="1">
      <c r="A280" s="28" t="n">
        <v>279</v>
      </c>
      <c r="B280" s="1" t="inlineStr">
        <is>
          <t>MIRA KALEON</t>
        </is>
      </c>
      <c r="C280" s="35" t="n">
        <v>45703</v>
      </c>
      <c r="D280" s="1" t="inlineStr">
        <is>
          <t>WOLLONGONG</t>
        </is>
      </c>
      <c r="E280" s="12" t="inlineStr">
        <is>
          <t>IND/MEL/00279</t>
        </is>
      </c>
      <c r="F280" s="1" t="inlineStr">
        <is>
          <t>F</t>
        </is>
      </c>
      <c r="G280" s="3" t="inlineStr">
        <is>
          <t>Kabir Kaleon</t>
        </is>
      </c>
      <c r="H280" s="3" t="inlineStr">
        <is>
          <t>Riya Kaleon</t>
        </is>
      </c>
      <c r="I280" s="30" t="n">
        <v>45820</v>
      </c>
      <c r="J280" s="1" t="inlineStr">
        <is>
          <t>31 Birchwood Lane</t>
        </is>
      </c>
      <c r="K280" s="1" t="inlineStr">
        <is>
          <t>Emerald Road</t>
        </is>
      </c>
      <c r="L280" s="1" t="inlineStr">
        <is>
          <t>PIN:595547 WOLLONGONG</t>
        </is>
      </c>
      <c r="M280" s="2" t="inlineStr">
        <is>
          <t>MHA/IND/00279</t>
        </is>
      </c>
      <c r="N280" s="30" t="n">
        <v>45897</v>
      </c>
    </row>
    <row r="281">
      <c r="A281" s="28" t="n">
        <v>280</v>
      </c>
      <c r="B281" s="1" t="inlineStr">
        <is>
          <t>ROHIT MYRTHOS</t>
        </is>
      </c>
      <c r="C281" s="35" t="n">
        <v>45737</v>
      </c>
      <c r="D281" s="1" t="inlineStr">
        <is>
          <t>CAMPBELLTOWN</t>
        </is>
      </c>
      <c r="E281" s="12" t="inlineStr">
        <is>
          <t>IND/MEL/00280</t>
        </is>
      </c>
      <c r="F281" s="1" t="inlineStr">
        <is>
          <t>M</t>
        </is>
      </c>
      <c r="G281" s="3" t="inlineStr">
        <is>
          <t>Rohit Myrthos</t>
        </is>
      </c>
      <c r="H281" s="3" t="inlineStr">
        <is>
          <t>Alya Myrthos</t>
        </is>
      </c>
      <c r="I281" s="30" t="n">
        <v>45800</v>
      </c>
      <c r="J281" s="1" t="inlineStr">
        <is>
          <t>59 Birchwood Lane</t>
        </is>
      </c>
      <c r="K281" s="1" t="inlineStr">
        <is>
          <t>Emerald Road</t>
        </is>
      </c>
      <c r="L281" s="1" t="inlineStr">
        <is>
          <t>PIN:475285 CAMPBELLTOWN</t>
        </is>
      </c>
      <c r="M281" s="2" t="inlineStr">
        <is>
          <t>MHA/IND/00280</t>
        </is>
      </c>
      <c r="N281" s="30" t="n">
        <v>45885</v>
      </c>
    </row>
    <row r="282">
      <c r="A282" s="28" t="n">
        <v>281</v>
      </c>
      <c r="B282" s="1" t="inlineStr">
        <is>
          <t>ISHAN SHARMA</t>
        </is>
      </c>
      <c r="C282" s="35" t="n">
        <v>45955</v>
      </c>
      <c r="D282" s="1" t="inlineStr">
        <is>
          <t>LENAH VALLEY</t>
        </is>
      </c>
      <c r="E282" s="12" t="inlineStr">
        <is>
          <t>IND/MEL/00281</t>
        </is>
      </c>
      <c r="F282" s="1" t="inlineStr">
        <is>
          <t>M</t>
        </is>
      </c>
      <c r="G282" s="3" t="inlineStr">
        <is>
          <t>Dev Sharma</t>
        </is>
      </c>
      <c r="H282" s="3" t="inlineStr">
        <is>
          <t>Riya Sharma</t>
        </is>
      </c>
      <c r="I282" s="30" t="n">
        <v>45983</v>
      </c>
      <c r="J282" s="1" t="inlineStr">
        <is>
          <t>55 Birchwood Lane</t>
        </is>
      </c>
      <c r="K282" s="1" t="inlineStr">
        <is>
          <t>Emerald Road</t>
        </is>
      </c>
      <c r="L282" s="1" t="inlineStr">
        <is>
          <t>PIN:883192 LENAH VALLEY</t>
        </is>
      </c>
      <c r="M282" s="2" t="inlineStr">
        <is>
          <t>MHA/IND/00281</t>
        </is>
      </c>
      <c r="N282" s="30" t="n">
        <v>45868</v>
      </c>
    </row>
    <row r="283">
      <c r="A283" s="28" t="n">
        <v>282</v>
      </c>
      <c r="B283" s="1" t="inlineStr">
        <is>
          <t>DEV VALZARI</t>
        </is>
      </c>
      <c r="C283" s="35" t="n">
        <v>45826</v>
      </c>
      <c r="D283" s="1" t="inlineStr">
        <is>
          <t>PARRAMATTA</t>
        </is>
      </c>
      <c r="E283" s="12" t="inlineStr">
        <is>
          <t>IND/MEL/00282</t>
        </is>
      </c>
      <c r="F283" s="1" t="inlineStr">
        <is>
          <t>M</t>
        </is>
      </c>
      <c r="G283" s="3" t="inlineStr">
        <is>
          <t>Kabir Valzari</t>
        </is>
      </c>
      <c r="H283" s="3" t="inlineStr">
        <is>
          <t>Anya Valzari</t>
        </is>
      </c>
      <c r="I283" s="30" t="n">
        <v>45840</v>
      </c>
      <c r="J283" s="1" t="inlineStr">
        <is>
          <t>18 Birchwood Lane</t>
        </is>
      </c>
      <c r="K283" s="1" t="inlineStr">
        <is>
          <t>Emerald Road</t>
        </is>
      </c>
      <c r="L283" s="1" t="inlineStr">
        <is>
          <t>PIN:623840 PARRAMATTA</t>
        </is>
      </c>
      <c r="M283" s="2" t="inlineStr">
        <is>
          <t>MHA/IND/00282</t>
        </is>
      </c>
      <c r="N283" s="30" t="n">
        <v>45858</v>
      </c>
    </row>
    <row r="284" ht="30" customHeight="1">
      <c r="A284" s="28" t="n">
        <v>283</v>
      </c>
      <c r="B284" s="1" t="inlineStr">
        <is>
          <t>ANYA RAO</t>
        </is>
      </c>
      <c r="C284" s="35" t="n">
        <v>45782</v>
      </c>
      <c r="D284" s="1" t="inlineStr">
        <is>
          <t>GEELONG</t>
        </is>
      </c>
      <c r="E284" s="12" t="inlineStr">
        <is>
          <t>IND/MEL/00283</t>
        </is>
      </c>
      <c r="F284" s="1" t="inlineStr">
        <is>
          <t>F</t>
        </is>
      </c>
      <c r="G284" s="3" t="inlineStr">
        <is>
          <t>Rohit Rao</t>
        </is>
      </c>
      <c r="H284" s="3" t="inlineStr">
        <is>
          <t>Alya Rao</t>
        </is>
      </c>
      <c r="I284" s="30" t="n">
        <v>45787</v>
      </c>
      <c r="J284" s="1" t="inlineStr">
        <is>
          <t>112 Birchwood Lane</t>
        </is>
      </c>
      <c r="K284" s="1" t="inlineStr">
        <is>
          <t>Emerald Road</t>
        </is>
      </c>
      <c r="L284" s="1" t="inlineStr">
        <is>
          <t>PIN:153426 GEELONG</t>
        </is>
      </c>
      <c r="M284" s="2" t="inlineStr">
        <is>
          <t>MHA/IND/00283</t>
        </is>
      </c>
      <c r="N284" s="30" t="n">
        <v>45852</v>
      </c>
    </row>
    <row r="285" ht="30" customHeight="1">
      <c r="A285" s="28" t="n">
        <v>284</v>
      </c>
      <c r="B285" s="1" t="inlineStr">
        <is>
          <t>ROHIT VALZARI</t>
        </is>
      </c>
      <c r="C285" s="33" t="n">
        <v>45754</v>
      </c>
      <c r="D285" s="11" t="inlineStr">
        <is>
          <t>PALMERSTON</t>
        </is>
      </c>
      <c r="E285" s="12" t="inlineStr">
        <is>
          <t>IND/MEL/00284</t>
        </is>
      </c>
      <c r="F285" s="13" t="inlineStr">
        <is>
          <t>M</t>
        </is>
      </c>
      <c r="G285" s="11" t="inlineStr">
        <is>
          <t>Aren Valzari</t>
        </is>
      </c>
      <c r="H285" s="11" t="inlineStr">
        <is>
          <t>Anya Valzari</t>
        </is>
      </c>
      <c r="I285" s="18" t="n">
        <v>45765</v>
      </c>
      <c r="J285" s="13" t="inlineStr">
        <is>
          <t>20 Birchwood Lane</t>
        </is>
      </c>
      <c r="K285" s="13" t="inlineStr">
        <is>
          <t>Emerald Road</t>
        </is>
      </c>
      <c r="L285" s="13" t="inlineStr">
        <is>
          <t>PIN:548726 PALMERSTON</t>
        </is>
      </c>
      <c r="M285" s="10" t="inlineStr">
        <is>
          <t>MHA/IND/00284</t>
        </is>
      </c>
      <c r="N285" s="18" t="n">
        <v>45855</v>
      </c>
    </row>
    <row r="286">
      <c r="A286" s="28" t="n">
        <v>285</v>
      </c>
      <c r="B286" s="1" t="inlineStr">
        <is>
          <t>ARJUN KALEON</t>
        </is>
      </c>
      <c r="C286" s="33" t="n">
        <v>45951</v>
      </c>
      <c r="D286" s="11" t="inlineStr">
        <is>
          <t>LENAH VALLEY</t>
        </is>
      </c>
      <c r="E286" s="12" t="inlineStr">
        <is>
          <t>IND/MEL/00285</t>
        </is>
      </c>
      <c r="F286" s="13" t="inlineStr">
        <is>
          <t>M</t>
        </is>
      </c>
      <c r="G286" s="11" t="inlineStr">
        <is>
          <t>Kabir Kaleon</t>
        </is>
      </c>
      <c r="H286" s="11" t="inlineStr">
        <is>
          <t>Riya Kaleon</t>
        </is>
      </c>
      <c r="I286" s="18" t="n">
        <v>46031</v>
      </c>
      <c r="J286" s="13" t="inlineStr">
        <is>
          <t>163 Birchwood Lane</t>
        </is>
      </c>
      <c r="K286" s="13" t="inlineStr">
        <is>
          <t>Emerald Road</t>
        </is>
      </c>
      <c r="L286" s="13" t="inlineStr">
        <is>
          <t>PIN:398774 LENAH VALLEY</t>
        </is>
      </c>
      <c r="M286" s="10" t="inlineStr">
        <is>
          <t>MHA/IND/00285</t>
        </is>
      </c>
      <c r="N286" s="18" t="n">
        <v>45880</v>
      </c>
    </row>
    <row r="287">
      <c r="A287" s="28" t="n">
        <v>286</v>
      </c>
      <c r="B287" s="1" t="inlineStr">
        <is>
          <t>AREN MYRTHOS</t>
        </is>
      </c>
      <c r="C287" s="33" t="n">
        <v>45804</v>
      </c>
      <c r="D287" s="13" t="inlineStr">
        <is>
          <t>MIDLAND</t>
        </is>
      </c>
      <c r="E287" s="12" t="inlineStr">
        <is>
          <t>IND/MEL/00286</t>
        </is>
      </c>
      <c r="F287" s="13" t="inlineStr">
        <is>
          <t>M</t>
        </is>
      </c>
      <c r="G287" s="11" t="inlineStr">
        <is>
          <t>Kabir Myrthos</t>
        </is>
      </c>
      <c r="H287" s="11" t="inlineStr">
        <is>
          <t>Nina Myrthos</t>
        </is>
      </c>
      <c r="I287" s="18" t="n">
        <v>45918</v>
      </c>
      <c r="J287" s="13" t="inlineStr">
        <is>
          <t>179 Birchwood Lane</t>
        </is>
      </c>
      <c r="K287" s="13" t="inlineStr">
        <is>
          <t>Emerald Road</t>
        </is>
      </c>
      <c r="L287" s="13" t="inlineStr">
        <is>
          <t>PIN:688803 MIDLAND</t>
        </is>
      </c>
      <c r="M287" s="10" t="inlineStr">
        <is>
          <t>MHA/IND/00286</t>
        </is>
      </c>
      <c r="N287" s="18" t="n">
        <v>45859</v>
      </c>
    </row>
    <row r="288">
      <c r="A288" s="28" t="n">
        <v>287</v>
      </c>
      <c r="B288" s="1" t="inlineStr">
        <is>
          <t>MIRA SINDALE</t>
        </is>
      </c>
      <c r="C288" s="33" t="n">
        <v>45908</v>
      </c>
      <c r="D288" s="13" t="inlineStr">
        <is>
          <t>ROCKHAMPTON</t>
        </is>
      </c>
      <c r="E288" s="12" t="inlineStr">
        <is>
          <t>IND/MEL/00287</t>
        </is>
      </c>
      <c r="F288" s="13" t="inlineStr">
        <is>
          <t>F</t>
        </is>
      </c>
      <c r="G288" s="11" t="inlineStr">
        <is>
          <t>Ishan Sindale</t>
        </is>
      </c>
      <c r="H288" s="11" t="inlineStr">
        <is>
          <t>Anya Sindale</t>
        </is>
      </c>
      <c r="I288" s="18" t="n">
        <v>45915</v>
      </c>
      <c r="J288" s="13" t="inlineStr">
        <is>
          <t>11 Birchwood Lane</t>
        </is>
      </c>
      <c r="K288" s="13" t="inlineStr">
        <is>
          <t>Emerald Road</t>
        </is>
      </c>
      <c r="L288" s="13" t="inlineStr">
        <is>
          <t>PIN:572879 ROCKHAMPTON</t>
        </is>
      </c>
      <c r="M288" s="10" t="inlineStr">
        <is>
          <t>MHA/IND/00287</t>
        </is>
      </c>
      <c r="N288" s="18" t="n">
        <v>45842</v>
      </c>
    </row>
    <row r="289" ht="30" customHeight="1">
      <c r="A289" s="28" t="n">
        <v>288</v>
      </c>
      <c r="B289" s="1" t="inlineStr">
        <is>
          <t>ALYA VALZARI</t>
        </is>
      </c>
      <c r="C289" s="33" t="n">
        <v>45692</v>
      </c>
      <c r="D289" s="11" t="inlineStr">
        <is>
          <t>MANDURAH</t>
        </is>
      </c>
      <c r="E289" s="12" t="inlineStr">
        <is>
          <t>IND/MEL/00288</t>
        </is>
      </c>
      <c r="F289" s="13" t="inlineStr">
        <is>
          <t>F</t>
        </is>
      </c>
      <c r="G289" s="11" t="inlineStr">
        <is>
          <t>Dev Valzari</t>
        </is>
      </c>
      <c r="H289" s="11" t="inlineStr">
        <is>
          <t>Alya Valzari</t>
        </is>
      </c>
      <c r="I289" s="18" t="n">
        <v>45717</v>
      </c>
      <c r="J289" s="13" t="inlineStr">
        <is>
          <t>69 Birchwood Lane</t>
        </is>
      </c>
      <c r="K289" s="13" t="inlineStr">
        <is>
          <t>Emerald Road</t>
        </is>
      </c>
      <c r="L289" s="13" t="inlineStr">
        <is>
          <t>PIN:775685 MANDURAH</t>
        </is>
      </c>
      <c r="M289" s="10" t="inlineStr">
        <is>
          <t>MHA/IND/00288</t>
        </is>
      </c>
      <c r="N289" s="18" t="n">
        <v>45886</v>
      </c>
    </row>
    <row r="290">
      <c r="A290" s="28" t="n">
        <v>289</v>
      </c>
      <c r="B290" s="1" t="inlineStr">
        <is>
          <t>ARJUN RISHKAN</t>
        </is>
      </c>
      <c r="C290" s="33" t="n">
        <v>45695</v>
      </c>
      <c r="D290" s="13" t="inlineStr">
        <is>
          <t>DALBY</t>
        </is>
      </c>
      <c r="E290" s="12" t="inlineStr">
        <is>
          <t>IND/MEL/00289</t>
        </is>
      </c>
      <c r="F290" s="13" t="inlineStr">
        <is>
          <t>M</t>
        </is>
      </c>
      <c r="G290" s="11" t="inlineStr">
        <is>
          <t>Arjun Rishkan</t>
        </is>
      </c>
      <c r="H290" s="11" t="inlineStr">
        <is>
          <t>Riya Rishkan</t>
        </is>
      </c>
      <c r="I290" s="18" t="n">
        <v>45747</v>
      </c>
      <c r="J290" s="13" t="inlineStr">
        <is>
          <t>16 Birchwood Lane</t>
        </is>
      </c>
      <c r="K290" s="13" t="inlineStr">
        <is>
          <t>Emerald Road</t>
        </is>
      </c>
      <c r="L290" s="13" t="inlineStr">
        <is>
          <t>PIN:294333 DALBY</t>
        </is>
      </c>
      <c r="M290" s="10" t="inlineStr">
        <is>
          <t>MHA/IND/00289</t>
        </is>
      </c>
      <c r="N290" s="18" t="n">
        <v>45892</v>
      </c>
    </row>
    <row r="291">
      <c r="A291" s="28" t="n">
        <v>290</v>
      </c>
      <c r="B291" s="1" t="inlineStr">
        <is>
          <t>ANYA RAO</t>
        </is>
      </c>
      <c r="C291" s="33" t="n">
        <v>45833</v>
      </c>
      <c r="D291" s="13" t="inlineStr">
        <is>
          <t>PARKVILLE</t>
        </is>
      </c>
      <c r="E291" s="12" t="inlineStr">
        <is>
          <t>IND/MEL/00290</t>
        </is>
      </c>
      <c r="F291" s="13" t="inlineStr">
        <is>
          <t>F</t>
        </is>
      </c>
      <c r="G291" s="11" t="inlineStr">
        <is>
          <t>Ishan Rao</t>
        </is>
      </c>
      <c r="H291" s="11" t="inlineStr">
        <is>
          <t>Riya Rao</t>
        </is>
      </c>
      <c r="I291" s="18" t="n">
        <v>45856</v>
      </c>
      <c r="J291" s="13" t="inlineStr">
        <is>
          <t>89 Birchwood Lane</t>
        </is>
      </c>
      <c r="K291" s="13" t="inlineStr">
        <is>
          <t>Emerald Road</t>
        </is>
      </c>
      <c r="L291" s="13" t="inlineStr">
        <is>
          <t>PIN:778480 PARKVILLE</t>
        </is>
      </c>
      <c r="M291" s="10" t="inlineStr">
        <is>
          <t>MHA/IND/00290</t>
        </is>
      </c>
      <c r="N291" s="18" t="n">
        <v>45893</v>
      </c>
    </row>
    <row r="292" ht="30" customHeight="1">
      <c r="A292" s="28" t="n">
        <v>291</v>
      </c>
      <c r="B292" s="1" t="inlineStr">
        <is>
          <t>TARA RISHKAN</t>
        </is>
      </c>
      <c r="C292" s="33" t="n">
        <v>45812</v>
      </c>
      <c r="D292" s="13" t="inlineStr">
        <is>
          <t>ADELAIDE</t>
        </is>
      </c>
      <c r="E292" s="12" t="inlineStr">
        <is>
          <t>IND/MEL/00291</t>
        </is>
      </c>
      <c r="F292" s="13" t="inlineStr">
        <is>
          <t>F</t>
        </is>
      </c>
      <c r="G292" s="11" t="inlineStr">
        <is>
          <t>Kabir Rishkan</t>
        </is>
      </c>
      <c r="H292" s="11" t="inlineStr">
        <is>
          <t>Sara Rishkan</t>
        </is>
      </c>
      <c r="I292" s="18" t="n">
        <v>45931</v>
      </c>
      <c r="J292" s="13" t="inlineStr">
        <is>
          <t>77 Birchwood Lane</t>
        </is>
      </c>
      <c r="K292" s="13" t="inlineStr">
        <is>
          <t>Emerald Road</t>
        </is>
      </c>
      <c r="L292" s="13" t="inlineStr">
        <is>
          <t>PIN:952963 ADELAIDE</t>
        </is>
      </c>
      <c r="M292" s="10" t="inlineStr">
        <is>
          <t>MHA/IND/00291</t>
        </is>
      </c>
      <c r="N292" s="18" t="n">
        <v>45877</v>
      </c>
    </row>
    <row r="293">
      <c r="A293" s="28" t="n">
        <v>292</v>
      </c>
      <c r="B293" s="1" t="inlineStr">
        <is>
          <t>ISHAN RAO</t>
        </is>
      </c>
      <c r="C293" s="33" t="n">
        <v>45833</v>
      </c>
      <c r="D293" s="13" t="inlineStr">
        <is>
          <t>LOGAN</t>
        </is>
      </c>
      <c r="E293" s="12" t="inlineStr">
        <is>
          <t>IND/MEL/00292</t>
        </is>
      </c>
      <c r="F293" s="13" t="inlineStr">
        <is>
          <t>M</t>
        </is>
      </c>
      <c r="G293" s="11" t="inlineStr">
        <is>
          <t>Arjun Rao</t>
        </is>
      </c>
      <c r="H293" s="11" t="inlineStr">
        <is>
          <t>Nina Rao</t>
        </is>
      </c>
      <c r="I293" s="18" t="n">
        <v>45935</v>
      </c>
      <c r="J293" s="13" t="inlineStr">
        <is>
          <t>190 Birchwood Lane</t>
        </is>
      </c>
      <c r="K293" s="13" t="inlineStr">
        <is>
          <t>Emerald Road</t>
        </is>
      </c>
      <c r="L293" s="13" t="inlineStr">
        <is>
          <t>PIN:921501 LOGAN</t>
        </is>
      </c>
      <c r="M293" s="10" t="inlineStr">
        <is>
          <t>MHA/IND/00292</t>
        </is>
      </c>
      <c r="N293" s="18" t="n">
        <v>45848</v>
      </c>
    </row>
    <row r="294" ht="30" customHeight="1">
      <c r="A294" s="28" t="n">
        <v>293</v>
      </c>
      <c r="B294" s="1" t="inlineStr">
        <is>
          <t>NEIL RISHKAN</t>
        </is>
      </c>
      <c r="C294" s="33" t="n">
        <v>45834</v>
      </c>
      <c r="D294" s="13" t="inlineStr">
        <is>
          <t>FRANKSTON</t>
        </is>
      </c>
      <c r="E294" s="12" t="inlineStr">
        <is>
          <t>IND/MEL/00293</t>
        </is>
      </c>
      <c r="F294" s="13" t="inlineStr">
        <is>
          <t>M</t>
        </is>
      </c>
      <c r="G294" s="11" t="inlineStr">
        <is>
          <t>Neil Rishkan</t>
        </is>
      </c>
      <c r="H294" s="11" t="inlineStr">
        <is>
          <t>Tara Rishkan</t>
        </is>
      </c>
      <c r="I294" s="18" t="n">
        <v>45866</v>
      </c>
      <c r="J294" s="13" t="inlineStr">
        <is>
          <t>135 Birchwood Lane</t>
        </is>
      </c>
      <c r="K294" s="13" t="inlineStr">
        <is>
          <t>Emerald Road</t>
        </is>
      </c>
      <c r="L294" s="13" t="inlineStr">
        <is>
          <t>PIN:461997 FRANKSTON</t>
        </is>
      </c>
      <c r="M294" s="10" t="inlineStr">
        <is>
          <t>MHA/IND/00293</t>
        </is>
      </c>
      <c r="N294" s="18" t="n">
        <v>45881</v>
      </c>
    </row>
    <row r="295">
      <c r="A295" s="28" t="n">
        <v>294</v>
      </c>
      <c r="B295" s="1" t="inlineStr">
        <is>
          <t>KIRAN MYRTHOS</t>
        </is>
      </c>
      <c r="C295" s="33" t="n">
        <v>45787</v>
      </c>
      <c r="D295" s="11" t="inlineStr">
        <is>
          <t>ST ALBANS</t>
        </is>
      </c>
      <c r="E295" s="12" t="inlineStr">
        <is>
          <t>IND/MEL/00294</t>
        </is>
      </c>
      <c r="F295" s="13" t="inlineStr">
        <is>
          <t>M</t>
        </is>
      </c>
      <c r="G295" s="11" t="inlineStr">
        <is>
          <t>Arjun Myrthos</t>
        </is>
      </c>
      <c r="H295" s="11" t="inlineStr">
        <is>
          <t>Sara Myrthos</t>
        </is>
      </c>
      <c r="I295" s="18" t="n">
        <v>45833</v>
      </c>
      <c r="J295" s="13" t="inlineStr">
        <is>
          <t>118 Birchwood Lane</t>
        </is>
      </c>
      <c r="K295" s="13" t="inlineStr">
        <is>
          <t>Emerald Road</t>
        </is>
      </c>
      <c r="L295" s="13" t="inlineStr">
        <is>
          <t>PIN:541304 ST ALBANS</t>
        </is>
      </c>
      <c r="M295" s="10" t="inlineStr">
        <is>
          <t>MHA/IND/00294</t>
        </is>
      </c>
      <c r="N295" s="18" t="n">
        <v>45878</v>
      </c>
    </row>
    <row r="296">
      <c r="A296" s="28" t="n">
        <v>295</v>
      </c>
      <c r="B296" s="1" t="inlineStr">
        <is>
          <t>DEV RISHKAN</t>
        </is>
      </c>
      <c r="C296" s="33" t="n">
        <v>45667</v>
      </c>
      <c r="D296" s="13" t="inlineStr">
        <is>
          <t>MANDURAH</t>
        </is>
      </c>
      <c r="E296" s="12" t="inlineStr">
        <is>
          <t>IND/MEL/00295</t>
        </is>
      </c>
      <c r="F296" s="13" t="inlineStr">
        <is>
          <t>M</t>
        </is>
      </c>
      <c r="G296" s="11" t="inlineStr">
        <is>
          <t>Arjun Rishkan</t>
        </is>
      </c>
      <c r="H296" s="11" t="inlineStr">
        <is>
          <t>Sara Rishkan</t>
        </is>
      </c>
      <c r="I296" s="18" t="n">
        <v>45721</v>
      </c>
      <c r="J296" s="13" t="inlineStr">
        <is>
          <t>10 Birchwood Lane</t>
        </is>
      </c>
      <c r="K296" s="13" t="inlineStr">
        <is>
          <t>Emerald Road</t>
        </is>
      </c>
      <c r="L296" s="13" t="inlineStr">
        <is>
          <t>PIN:613365 MANDURAH</t>
        </is>
      </c>
      <c r="M296" s="10" t="inlineStr">
        <is>
          <t>MHA/IND/00295</t>
        </is>
      </c>
      <c r="N296" s="18" t="n">
        <v>45877</v>
      </c>
    </row>
    <row r="297">
      <c r="A297" s="28" t="n">
        <v>296</v>
      </c>
      <c r="B297" s="1" t="inlineStr">
        <is>
          <t>SARA VALZARI</t>
        </is>
      </c>
      <c r="C297" s="33" t="n">
        <v>45956</v>
      </c>
      <c r="D297" s="13" t="inlineStr">
        <is>
          <t>BEDFORD PARK</t>
        </is>
      </c>
      <c r="E297" s="12" t="inlineStr">
        <is>
          <t>IND/MEL/00296</t>
        </is>
      </c>
      <c r="F297" s="13" t="inlineStr">
        <is>
          <t>F</t>
        </is>
      </c>
      <c r="G297" s="11" t="inlineStr">
        <is>
          <t>Arjun Valzari</t>
        </is>
      </c>
      <c r="H297" s="11" t="inlineStr">
        <is>
          <t>Diya Valzari</t>
        </is>
      </c>
      <c r="I297" s="18" t="n">
        <v>45962</v>
      </c>
      <c r="J297" s="11" t="inlineStr">
        <is>
          <t>184 Birchwood Lane</t>
        </is>
      </c>
      <c r="K297" s="13" t="inlineStr">
        <is>
          <t>Emerald Road</t>
        </is>
      </c>
      <c r="L297" s="13" t="inlineStr">
        <is>
          <t>PIN:462170 BEDFORD PARK</t>
        </is>
      </c>
      <c r="M297" s="10" t="inlineStr">
        <is>
          <t>MHA/IND/00296</t>
        </is>
      </c>
      <c r="N297" s="18" t="n">
        <v>45864</v>
      </c>
    </row>
    <row r="298" ht="30" customHeight="1">
      <c r="A298" s="28" t="n">
        <v>297</v>
      </c>
      <c r="B298" s="1" t="inlineStr">
        <is>
          <t>ROHIT MYRTHOS</t>
        </is>
      </c>
      <c r="C298" s="33" t="n">
        <v>45901</v>
      </c>
      <c r="D298" s="11" t="inlineStr">
        <is>
          <t>WERRIBEE</t>
        </is>
      </c>
      <c r="E298" s="12" t="inlineStr">
        <is>
          <t>IND/MEL/00297</t>
        </is>
      </c>
      <c r="F298" s="13" t="inlineStr">
        <is>
          <t>M</t>
        </is>
      </c>
      <c r="G298" s="11" t="inlineStr">
        <is>
          <t>Arjun Myrthos</t>
        </is>
      </c>
      <c r="H298" s="11" t="inlineStr">
        <is>
          <t>Nina Myrthos</t>
        </is>
      </c>
      <c r="I298" s="18" t="n">
        <v>45941</v>
      </c>
      <c r="J298" s="13" t="inlineStr">
        <is>
          <t>35 Birchwood Lane</t>
        </is>
      </c>
      <c r="K298" s="13" t="inlineStr">
        <is>
          <t>Emerald Road</t>
        </is>
      </c>
      <c r="L298" s="13" t="inlineStr">
        <is>
          <t>PIN:345085 WERRIBEE</t>
        </is>
      </c>
      <c r="M298" s="10" t="inlineStr">
        <is>
          <t>MHA/IND/00297</t>
        </is>
      </c>
      <c r="N298" s="18" t="n">
        <v>45857</v>
      </c>
    </row>
    <row r="299" ht="30" customHeight="1">
      <c r="A299" s="28" t="n">
        <v>298</v>
      </c>
      <c r="B299" s="1" t="inlineStr">
        <is>
          <t>KABIR RAO</t>
        </is>
      </c>
      <c r="C299" s="33" t="n">
        <v>45860</v>
      </c>
      <c r="D299" s="11" t="inlineStr">
        <is>
          <t>BUNDABERG</t>
        </is>
      </c>
      <c r="E299" s="12" t="inlineStr">
        <is>
          <t>IND/MEL/00298</t>
        </is>
      </c>
      <c r="F299" s="13" t="inlineStr">
        <is>
          <t>M</t>
        </is>
      </c>
      <c r="G299" s="11" t="inlineStr">
        <is>
          <t>Neil Rao</t>
        </is>
      </c>
      <c r="H299" s="11" t="inlineStr">
        <is>
          <t>Sara Rao</t>
        </is>
      </c>
      <c r="I299" s="18" t="n">
        <v>45905</v>
      </c>
      <c r="J299" s="13" t="inlineStr">
        <is>
          <t>131 Birchwood Lane</t>
        </is>
      </c>
      <c r="K299" s="13" t="inlineStr">
        <is>
          <t>Emerald Road</t>
        </is>
      </c>
      <c r="L299" s="13" t="inlineStr">
        <is>
          <t>PIN:834366 BUNDABERG</t>
        </is>
      </c>
      <c r="M299" s="10" t="inlineStr">
        <is>
          <t>MHA/IND/00298</t>
        </is>
      </c>
      <c r="N299" s="18" t="n">
        <v>45844</v>
      </c>
    </row>
    <row r="300">
      <c r="A300" s="28" t="n">
        <v>299</v>
      </c>
      <c r="B300" s="1" t="inlineStr">
        <is>
          <t>DIYA RAO</t>
        </is>
      </c>
      <c r="C300" s="33" t="n">
        <v>45828</v>
      </c>
      <c r="D300" s="11" t="inlineStr">
        <is>
          <t>PERTH</t>
        </is>
      </c>
      <c r="E300" s="12" t="inlineStr">
        <is>
          <t>IND/MEL/00299</t>
        </is>
      </c>
      <c r="F300" s="13" t="inlineStr">
        <is>
          <t>F</t>
        </is>
      </c>
      <c r="G300" s="11" t="inlineStr">
        <is>
          <t>Neil Rao</t>
        </is>
      </c>
      <c r="H300" s="11" t="inlineStr">
        <is>
          <t>Riya Rao</t>
        </is>
      </c>
      <c r="I300" s="18" t="n">
        <v>45872</v>
      </c>
      <c r="J300" s="13" t="inlineStr">
        <is>
          <t>32 Birchwood Lane</t>
        </is>
      </c>
      <c r="K300" s="13" t="inlineStr">
        <is>
          <t>Emerald Road</t>
        </is>
      </c>
      <c r="L300" s="13" t="inlineStr">
        <is>
          <t>PIN:127602 PERTH</t>
        </is>
      </c>
      <c r="M300" s="10" t="inlineStr">
        <is>
          <t>MHA/IND/00299</t>
        </is>
      </c>
      <c r="N300" s="18" t="n">
        <v>45864</v>
      </c>
    </row>
    <row r="301">
      <c r="A301" s="28" t="n">
        <v>300</v>
      </c>
      <c r="B301" s="1" t="inlineStr">
        <is>
          <t>KIRAN MYRTHOS</t>
        </is>
      </c>
      <c r="C301" s="33" t="n">
        <v>45775</v>
      </c>
      <c r="D301" s="11" t="inlineStr">
        <is>
          <t>NEWCASTLE</t>
        </is>
      </c>
      <c r="E301" s="12" t="inlineStr">
        <is>
          <t>IND/MEL/00300</t>
        </is>
      </c>
      <c r="F301" s="13" t="inlineStr">
        <is>
          <t>M</t>
        </is>
      </c>
      <c r="G301" s="11" t="inlineStr">
        <is>
          <t>Ishan Myrthos</t>
        </is>
      </c>
      <c r="H301" s="11" t="inlineStr">
        <is>
          <t>Anya Myrthos</t>
        </is>
      </c>
      <c r="I301" s="18" t="n">
        <v>45873</v>
      </c>
      <c r="J301" s="13" t="inlineStr">
        <is>
          <t>139 Birchwood Lane</t>
        </is>
      </c>
      <c r="K301" s="13" t="inlineStr">
        <is>
          <t>Emerald Road</t>
        </is>
      </c>
      <c r="L301" s="13" t="inlineStr">
        <is>
          <t>PIN:884260 NEWCASTLE</t>
        </is>
      </c>
      <c r="M301" s="10" t="inlineStr">
        <is>
          <t>MHA/IND/00300</t>
        </is>
      </c>
      <c r="N301" s="18" t="n">
        <v>45840</v>
      </c>
    </row>
    <row r="302">
      <c r="A302" s="28" t="n">
        <v>301</v>
      </c>
      <c r="B302" s="1" t="inlineStr">
        <is>
          <t>NEIL SINDALE</t>
        </is>
      </c>
      <c r="C302" s="33" t="n">
        <v>45733</v>
      </c>
      <c r="D302" s="13" t="inlineStr">
        <is>
          <t>PARKVILLE</t>
        </is>
      </c>
      <c r="E302" s="12" t="inlineStr">
        <is>
          <t>IND/MEL/00301</t>
        </is>
      </c>
      <c r="F302" s="13" t="inlineStr">
        <is>
          <t>M</t>
        </is>
      </c>
      <c r="G302" s="11" t="inlineStr">
        <is>
          <t>Kabir Sindale</t>
        </is>
      </c>
      <c r="H302" s="11" t="inlineStr">
        <is>
          <t>Sara Sindale</t>
        </is>
      </c>
      <c r="I302" s="18" t="n">
        <v>45786</v>
      </c>
      <c r="J302" s="13" t="inlineStr">
        <is>
          <t>164 Birchwood Lane</t>
        </is>
      </c>
      <c r="K302" s="13" t="inlineStr">
        <is>
          <t>Emerald Road</t>
        </is>
      </c>
      <c r="L302" s="13" t="inlineStr">
        <is>
          <t>PIN:603548 PARKVILLE</t>
        </is>
      </c>
      <c r="M302" s="10" t="inlineStr">
        <is>
          <t>MHA/IND/00301</t>
        </is>
      </c>
      <c r="N302" s="18" t="n">
        <v>45868</v>
      </c>
    </row>
    <row r="303">
      <c r="A303" s="28" t="n">
        <v>302</v>
      </c>
      <c r="B303" s="1" t="inlineStr">
        <is>
          <t>ANYA RISHKAN</t>
        </is>
      </c>
      <c r="C303" s="33" t="n">
        <v>45813</v>
      </c>
      <c r="D303" s="13" t="inlineStr">
        <is>
          <t>CLAYTON</t>
        </is>
      </c>
      <c r="E303" s="12" t="inlineStr">
        <is>
          <t>IND/MEL/00302</t>
        </is>
      </c>
      <c r="F303" s="13" t="inlineStr">
        <is>
          <t>F</t>
        </is>
      </c>
      <c r="G303" s="11" t="inlineStr">
        <is>
          <t>Arjun Rishkan</t>
        </is>
      </c>
      <c r="H303" s="11" t="inlineStr">
        <is>
          <t>Riya Rishkan</t>
        </is>
      </c>
      <c r="I303" s="18" t="n">
        <v>45881</v>
      </c>
      <c r="J303" s="13" t="inlineStr">
        <is>
          <t>115 Birchwood Lane</t>
        </is>
      </c>
      <c r="K303" s="13" t="inlineStr">
        <is>
          <t>Emerald Road</t>
        </is>
      </c>
      <c r="L303" s="13" t="inlineStr">
        <is>
          <t>PIN:420167 CLAYTON</t>
        </is>
      </c>
      <c r="M303" s="10" t="inlineStr">
        <is>
          <t>MHA/IND/00302</t>
        </is>
      </c>
      <c r="N303" s="18" t="n">
        <v>45849</v>
      </c>
    </row>
    <row r="304">
      <c r="A304" s="28" t="n">
        <v>303</v>
      </c>
      <c r="B304" s="1" t="inlineStr">
        <is>
          <t>ISHAN MYRTHOS</t>
        </is>
      </c>
      <c r="C304" s="33" t="n">
        <v>45884</v>
      </c>
      <c r="D304" s="13" t="inlineStr">
        <is>
          <t>SYDNEY</t>
        </is>
      </c>
      <c r="E304" s="12" t="inlineStr">
        <is>
          <t>IND/MEL/00303</t>
        </is>
      </c>
      <c r="F304" s="13" t="inlineStr">
        <is>
          <t>M</t>
        </is>
      </c>
      <c r="G304" s="11" t="inlineStr">
        <is>
          <t>Rohit Myrthos</t>
        </is>
      </c>
      <c r="H304" s="11" t="inlineStr">
        <is>
          <t>Sara Myrthos</t>
        </is>
      </c>
      <c r="I304" s="18" t="n">
        <v>45929</v>
      </c>
      <c r="J304" s="13" t="inlineStr">
        <is>
          <t>87 Birchwood Lane</t>
        </is>
      </c>
      <c r="K304" s="13" t="inlineStr">
        <is>
          <t>Emerald Road</t>
        </is>
      </c>
      <c r="L304" s="13" t="inlineStr">
        <is>
          <t>PIN:467770 SYDNEY</t>
        </is>
      </c>
      <c r="M304" s="10" t="inlineStr">
        <is>
          <t>MHA/IND/00303</t>
        </is>
      </c>
      <c r="N304" s="18" t="n">
        <v>45855</v>
      </c>
    </row>
    <row r="305">
      <c r="A305" s="28" t="n">
        <v>304</v>
      </c>
      <c r="B305" s="1" t="inlineStr">
        <is>
          <t>ROHIT KALEON</t>
        </is>
      </c>
      <c r="C305" s="33" t="n">
        <v>45922</v>
      </c>
      <c r="D305" s="13" t="inlineStr">
        <is>
          <t>SHEPPARTON</t>
        </is>
      </c>
      <c r="E305" s="12" t="inlineStr">
        <is>
          <t>IND/MEL/00304</t>
        </is>
      </c>
      <c r="F305" s="13" t="inlineStr">
        <is>
          <t>M</t>
        </is>
      </c>
      <c r="G305" s="11" t="inlineStr">
        <is>
          <t>Arjun Kaleon</t>
        </is>
      </c>
      <c r="H305" s="11" t="inlineStr">
        <is>
          <t>Nina Kaleon</t>
        </is>
      </c>
      <c r="I305" s="18" t="n">
        <v>46024</v>
      </c>
      <c r="J305" s="13" t="inlineStr">
        <is>
          <t>77 Birchwood Lane</t>
        </is>
      </c>
      <c r="K305" s="13" t="inlineStr">
        <is>
          <t>Emerald Road</t>
        </is>
      </c>
      <c r="L305" s="13" t="inlineStr">
        <is>
          <t>PIN:757926 SHEPPARTON</t>
        </is>
      </c>
      <c r="M305" s="10" t="inlineStr">
        <is>
          <t>MHA/IND/00304</t>
        </is>
      </c>
      <c r="N305" s="18" t="n">
        <v>45879</v>
      </c>
    </row>
    <row r="306" ht="30" customHeight="1">
      <c r="A306" s="28" t="n">
        <v>305</v>
      </c>
      <c r="B306" s="1" t="inlineStr">
        <is>
          <t>NEIL KALEON</t>
        </is>
      </c>
      <c r="C306" s="33" t="n">
        <v>45768</v>
      </c>
      <c r="D306" s="13" t="inlineStr">
        <is>
          <t>WERRIBEE</t>
        </is>
      </c>
      <c r="E306" s="12" t="inlineStr">
        <is>
          <t>IND/MEL/00305</t>
        </is>
      </c>
      <c r="F306" s="13" t="inlineStr">
        <is>
          <t>M</t>
        </is>
      </c>
      <c r="G306" s="11" t="inlineStr">
        <is>
          <t>Rohit Kaleon</t>
        </is>
      </c>
      <c r="H306" s="11" t="inlineStr">
        <is>
          <t>Diya Kaleon</t>
        </is>
      </c>
      <c r="I306" s="18" t="n">
        <v>45776</v>
      </c>
      <c r="J306" s="13" t="inlineStr">
        <is>
          <t>59 Birchwood Lane</t>
        </is>
      </c>
      <c r="K306" s="13" t="inlineStr">
        <is>
          <t>Emerald Road</t>
        </is>
      </c>
      <c r="L306" s="13" t="inlineStr">
        <is>
          <t>PIN:445229 WERRIBEE</t>
        </is>
      </c>
      <c r="M306" s="10" t="inlineStr">
        <is>
          <t>MHA/IND/00305</t>
        </is>
      </c>
      <c r="N306" s="18" t="n">
        <v>45897</v>
      </c>
    </row>
    <row r="307" ht="30" customHeight="1">
      <c r="A307" s="28" t="n">
        <v>306</v>
      </c>
      <c r="B307" s="1" t="inlineStr">
        <is>
          <t>MIRA KALEON</t>
        </is>
      </c>
      <c r="C307" s="33" t="n">
        <v>45957</v>
      </c>
      <c r="D307" s="13" t="inlineStr">
        <is>
          <t>MOUNT WAVERLEY</t>
        </is>
      </c>
      <c r="E307" s="12" t="inlineStr">
        <is>
          <t>IND/MEL/00306</t>
        </is>
      </c>
      <c r="F307" s="13" t="inlineStr">
        <is>
          <t>F</t>
        </is>
      </c>
      <c r="G307" s="11" t="inlineStr">
        <is>
          <t>Arjun Kaleon</t>
        </is>
      </c>
      <c r="H307" s="11" t="inlineStr">
        <is>
          <t>Diya Kaleon</t>
        </is>
      </c>
      <c r="I307" s="18" t="n">
        <v>45976</v>
      </c>
      <c r="J307" s="13" t="inlineStr">
        <is>
          <t>97 Birchwood Lane</t>
        </is>
      </c>
      <c r="K307" s="13" t="inlineStr">
        <is>
          <t>Emerald Road</t>
        </is>
      </c>
      <c r="L307" s="13" t="inlineStr">
        <is>
          <t>PIN:563405 MOUNT WAVERLEY</t>
        </is>
      </c>
      <c r="M307" s="10" t="inlineStr">
        <is>
          <t>MHA/IND/00306</t>
        </is>
      </c>
      <c r="N307" s="18" t="n">
        <v>45839</v>
      </c>
    </row>
    <row r="308" ht="30" customHeight="1">
      <c r="A308" s="28" t="n">
        <v>307</v>
      </c>
      <c r="B308" s="1" t="inlineStr">
        <is>
          <t>DIYA KALEON</t>
        </is>
      </c>
      <c r="C308" s="33" t="n">
        <v>45849</v>
      </c>
      <c r="D308" s="13" t="inlineStr">
        <is>
          <t>BRISBANE</t>
        </is>
      </c>
      <c r="E308" s="12" t="inlineStr">
        <is>
          <t>IND/MEL/00307</t>
        </is>
      </c>
      <c r="F308" s="13" t="inlineStr">
        <is>
          <t>F</t>
        </is>
      </c>
      <c r="G308" s="11" t="inlineStr">
        <is>
          <t>Dev Kaleon</t>
        </is>
      </c>
      <c r="H308" s="11" t="inlineStr">
        <is>
          <t>Anya Kaleon</t>
        </is>
      </c>
      <c r="I308" s="18" t="n">
        <v>45956</v>
      </c>
      <c r="J308" s="13" t="inlineStr">
        <is>
          <t>27 Birchwood Lane</t>
        </is>
      </c>
      <c r="K308" s="13" t="inlineStr">
        <is>
          <t>Emerald Road</t>
        </is>
      </c>
      <c r="L308" s="13" t="inlineStr">
        <is>
          <t>PIN:220650 BRISBANE</t>
        </is>
      </c>
      <c r="M308" s="10" t="inlineStr">
        <is>
          <t>MHA/IND/00307</t>
        </is>
      </c>
      <c r="N308" s="18" t="n">
        <v>45893</v>
      </c>
    </row>
    <row r="309" ht="30" customHeight="1">
      <c r="A309" s="28" t="n">
        <v>308</v>
      </c>
      <c r="B309" s="1" t="inlineStr">
        <is>
          <t>KABIR MYRTHOS</t>
        </is>
      </c>
      <c r="C309" s="33" t="n">
        <v>45704</v>
      </c>
      <c r="D309" s="13" t="inlineStr">
        <is>
          <t>MILDURA</t>
        </is>
      </c>
      <c r="E309" s="12" t="inlineStr">
        <is>
          <t>IND/MEL/00308</t>
        </is>
      </c>
      <c r="F309" s="13" t="inlineStr">
        <is>
          <t>M</t>
        </is>
      </c>
      <c r="G309" s="11" t="inlineStr">
        <is>
          <t>Kiran Myrthos</t>
        </is>
      </c>
      <c r="H309" s="11" t="inlineStr">
        <is>
          <t>Sara Myrthos</t>
        </is>
      </c>
      <c r="I309" s="18" t="n">
        <v>45773</v>
      </c>
      <c r="J309" s="13" t="inlineStr">
        <is>
          <t>198 Birchwood Lane</t>
        </is>
      </c>
      <c r="K309" s="13" t="inlineStr">
        <is>
          <t>Emerald Road</t>
        </is>
      </c>
      <c r="L309" s="13" t="inlineStr">
        <is>
          <t>PIN:462004 MILDURA</t>
        </is>
      </c>
      <c r="M309" s="10" t="inlineStr">
        <is>
          <t>MHA/IND/00308</t>
        </is>
      </c>
      <c r="N309" s="18" t="n">
        <v>45881</v>
      </c>
    </row>
    <row r="310" ht="30" customHeight="1">
      <c r="A310" s="28" t="n">
        <v>309</v>
      </c>
      <c r="B310" s="1" t="inlineStr">
        <is>
          <t>ROHIT RISHKAN</t>
        </is>
      </c>
      <c r="C310" s="33" t="n">
        <v>45702</v>
      </c>
      <c r="D310" s="13" t="inlineStr">
        <is>
          <t>KINGSWOOD</t>
        </is>
      </c>
      <c r="E310" s="12" t="inlineStr">
        <is>
          <t>IND/MEL/00309</t>
        </is>
      </c>
      <c r="F310" s="13" t="inlineStr">
        <is>
          <t>M</t>
        </is>
      </c>
      <c r="G310" s="11" t="inlineStr">
        <is>
          <t>Arjun Rishkan</t>
        </is>
      </c>
      <c r="H310" s="11" t="inlineStr">
        <is>
          <t>Anya Rishkan</t>
        </is>
      </c>
      <c r="I310" s="18" t="n">
        <v>45741</v>
      </c>
      <c r="J310" s="13" t="inlineStr">
        <is>
          <t>83 Birchwood Lane</t>
        </is>
      </c>
      <c r="K310" s="13" t="inlineStr">
        <is>
          <t>Emerald Road</t>
        </is>
      </c>
      <c r="L310" s="13" t="inlineStr">
        <is>
          <t>PIN:270087 KINGSWOOD</t>
        </is>
      </c>
      <c r="M310" s="10" t="inlineStr">
        <is>
          <t>MHA/IND/00309</t>
        </is>
      </c>
      <c r="N310" s="18" t="n">
        <v>45862</v>
      </c>
    </row>
    <row r="311">
      <c r="A311" s="28" t="n">
        <v>310</v>
      </c>
      <c r="B311" s="1" t="inlineStr">
        <is>
          <t>ROHIT MYRTHOS</t>
        </is>
      </c>
      <c r="C311" s="33" t="n">
        <v>45917</v>
      </c>
      <c r="D311" s="13" t="inlineStr">
        <is>
          <t>TUGGERANONG</t>
        </is>
      </c>
      <c r="E311" s="12" t="inlineStr">
        <is>
          <t>IND/MEL/00310</t>
        </is>
      </c>
      <c r="F311" s="13" t="inlineStr">
        <is>
          <t>M</t>
        </is>
      </c>
      <c r="G311" s="11" t="inlineStr">
        <is>
          <t>Neil Myrthos</t>
        </is>
      </c>
      <c r="H311" s="11" t="inlineStr">
        <is>
          <t>Riya Myrthos</t>
        </is>
      </c>
      <c r="I311" s="18" t="n">
        <v>45969</v>
      </c>
      <c r="J311" s="13" t="inlineStr">
        <is>
          <t>97 Birchwood Lane</t>
        </is>
      </c>
      <c r="K311" s="13" t="inlineStr">
        <is>
          <t>Emerald Road</t>
        </is>
      </c>
      <c r="L311" s="13" t="inlineStr">
        <is>
          <t>PIN:639992 TUGGERANONG</t>
        </is>
      </c>
      <c r="M311" s="10" t="inlineStr">
        <is>
          <t>MHA/IND/00310</t>
        </is>
      </c>
      <c r="N311" s="18" t="n">
        <v>45886</v>
      </c>
    </row>
    <row r="312">
      <c r="A312" s="28" t="n">
        <v>311</v>
      </c>
      <c r="B312" s="1" t="inlineStr">
        <is>
          <t>ALYA RAO</t>
        </is>
      </c>
      <c r="C312" s="33" t="n">
        <v>45671</v>
      </c>
      <c r="D312" s="13" t="inlineStr">
        <is>
          <t>HEIDELBERG</t>
        </is>
      </c>
      <c r="E312" s="12" t="inlineStr">
        <is>
          <t>IND/MEL/00311</t>
        </is>
      </c>
      <c r="F312" s="13" t="inlineStr">
        <is>
          <t>F</t>
        </is>
      </c>
      <c r="G312" s="11" t="inlineStr">
        <is>
          <t>Rohit Rao</t>
        </is>
      </c>
      <c r="H312" s="11" t="inlineStr">
        <is>
          <t>Alya Rao</t>
        </is>
      </c>
      <c r="I312" s="18" t="n">
        <v>45780</v>
      </c>
      <c r="J312" s="13" t="inlineStr">
        <is>
          <t>140 Birchwood Lane</t>
        </is>
      </c>
      <c r="K312" s="13" t="inlineStr">
        <is>
          <t>Emerald Road</t>
        </is>
      </c>
      <c r="L312" s="13" t="inlineStr">
        <is>
          <t>PIN:499471 HEIDELBERG</t>
        </is>
      </c>
      <c r="M312" s="10" t="inlineStr">
        <is>
          <t>MHA/IND/00311</t>
        </is>
      </c>
      <c r="N312" s="18" t="n">
        <v>45866</v>
      </c>
    </row>
    <row r="313">
      <c r="A313" s="28" t="n">
        <v>312</v>
      </c>
      <c r="B313" s="1" t="inlineStr">
        <is>
          <t>NEIL RISHKAN</t>
        </is>
      </c>
      <c r="C313" s="33" t="n">
        <v>45800</v>
      </c>
      <c r="D313" s="13" t="inlineStr">
        <is>
          <t>BALLARAT CENTRAL</t>
        </is>
      </c>
      <c r="E313" s="12" t="inlineStr">
        <is>
          <t>IND/MEL/00312</t>
        </is>
      </c>
      <c r="F313" s="13" t="inlineStr">
        <is>
          <t>M</t>
        </is>
      </c>
      <c r="G313" s="11" t="inlineStr">
        <is>
          <t>Neil Rishkan</t>
        </is>
      </c>
      <c r="H313" s="11" t="inlineStr">
        <is>
          <t>Nina Rishkan</t>
        </is>
      </c>
      <c r="I313" s="18" t="n">
        <v>45822</v>
      </c>
      <c r="J313" s="13" t="inlineStr">
        <is>
          <t>80 Birchwood Lane</t>
        </is>
      </c>
      <c r="K313" s="13" t="inlineStr">
        <is>
          <t>Emerald Road</t>
        </is>
      </c>
      <c r="L313" s="13" t="inlineStr">
        <is>
          <t>PIN:295625 BALLARAT CENTRAL</t>
        </is>
      </c>
      <c r="M313" s="10" t="inlineStr">
        <is>
          <t>MHA/IND/00312</t>
        </is>
      </c>
      <c r="N313" s="18" t="n">
        <v>45851</v>
      </c>
    </row>
    <row r="314">
      <c r="A314" s="28" t="n">
        <v>313</v>
      </c>
      <c r="B314" s="1" t="inlineStr">
        <is>
          <t>RIYA SHARMA</t>
        </is>
      </c>
      <c r="C314" s="33" t="n">
        <v>45932</v>
      </c>
      <c r="D314" s="13" t="inlineStr">
        <is>
          <t>BUNDABERG</t>
        </is>
      </c>
      <c r="E314" s="12" t="inlineStr">
        <is>
          <t>IND/MEL/00313</t>
        </is>
      </c>
      <c r="F314" s="13" t="inlineStr">
        <is>
          <t>F</t>
        </is>
      </c>
      <c r="G314" s="11" t="inlineStr">
        <is>
          <t>Kabir Sharma</t>
        </is>
      </c>
      <c r="H314" s="11" t="inlineStr">
        <is>
          <t>Alya Sharma</t>
        </is>
      </c>
      <c r="I314" s="18" t="n">
        <v>45950</v>
      </c>
      <c r="J314" s="13" t="inlineStr">
        <is>
          <t>164 Birchwood Lane</t>
        </is>
      </c>
      <c r="K314" s="13" t="inlineStr">
        <is>
          <t>Emerald Road</t>
        </is>
      </c>
      <c r="L314" s="13" t="inlineStr">
        <is>
          <t>PIN:842372 BUNDABERG</t>
        </is>
      </c>
      <c r="M314" s="10" t="inlineStr">
        <is>
          <t>MHA/IND/00313</t>
        </is>
      </c>
      <c r="N314" s="18" t="n">
        <v>45885</v>
      </c>
    </row>
    <row r="315" ht="30" customHeight="1">
      <c r="A315" s="28" t="n">
        <v>314</v>
      </c>
      <c r="B315" s="1" t="inlineStr">
        <is>
          <t>ALYA SHARMA</t>
        </is>
      </c>
      <c r="C315" s="33" t="n">
        <v>45775</v>
      </c>
      <c r="D315" s="13" t="inlineStr">
        <is>
          <t>LAUNCESTON</t>
        </is>
      </c>
      <c r="E315" s="12" t="inlineStr">
        <is>
          <t>IND/MEL/00314</t>
        </is>
      </c>
      <c r="F315" s="13" t="inlineStr">
        <is>
          <t>F</t>
        </is>
      </c>
      <c r="G315" s="11" t="inlineStr">
        <is>
          <t>Kabir Sharma</t>
        </is>
      </c>
      <c r="H315" s="11" t="inlineStr">
        <is>
          <t>Alya Sharma</t>
        </is>
      </c>
      <c r="I315" s="18" t="n">
        <v>45864</v>
      </c>
      <c r="J315" s="13" t="inlineStr">
        <is>
          <t>15 Birchwood Lane</t>
        </is>
      </c>
      <c r="K315" s="13" t="inlineStr">
        <is>
          <t>Emerald Road</t>
        </is>
      </c>
      <c r="L315" s="13" t="inlineStr">
        <is>
          <t>PIN:931268 LAUNCESTON</t>
        </is>
      </c>
      <c r="M315" s="10" t="inlineStr">
        <is>
          <t>MHA/IND/00314</t>
        </is>
      </c>
      <c r="N315" s="18" t="n">
        <v>45897</v>
      </c>
    </row>
    <row r="316">
      <c r="A316" s="28" t="n">
        <v>315</v>
      </c>
      <c r="B316" s="1" t="inlineStr">
        <is>
          <t>SARA KALEON</t>
        </is>
      </c>
      <c r="C316" s="33" t="n">
        <v>45942</v>
      </c>
      <c r="D316" s="13" t="inlineStr">
        <is>
          <t>BUNDOORA</t>
        </is>
      </c>
      <c r="E316" s="12" t="inlineStr">
        <is>
          <t>IND/MEL/00315</t>
        </is>
      </c>
      <c r="F316" s="13" t="inlineStr">
        <is>
          <t>F</t>
        </is>
      </c>
      <c r="G316" s="11" t="inlineStr">
        <is>
          <t>Kabir Kaleon</t>
        </is>
      </c>
      <c r="H316" s="11" t="inlineStr">
        <is>
          <t>Mira Kaleon</t>
        </is>
      </c>
      <c r="I316" s="18" t="n">
        <v>45975</v>
      </c>
      <c r="J316" s="13" t="inlineStr">
        <is>
          <t>100 Birchwood Lane</t>
        </is>
      </c>
      <c r="K316" s="13" t="inlineStr">
        <is>
          <t>Emerald Road</t>
        </is>
      </c>
      <c r="L316" s="13" t="inlineStr">
        <is>
          <t>PIN:115514 BUNDOORA</t>
        </is>
      </c>
      <c r="M316" s="10" t="inlineStr">
        <is>
          <t>MHA/IND/00315</t>
        </is>
      </c>
      <c r="N316" s="18" t="n">
        <v>45858</v>
      </c>
    </row>
    <row r="317">
      <c r="A317" s="28" t="n">
        <v>316</v>
      </c>
      <c r="B317" s="1" t="inlineStr">
        <is>
          <t>ARJUN VALZARI</t>
        </is>
      </c>
      <c r="C317" s="33" t="n">
        <v>45664</v>
      </c>
      <c r="D317" s="13" t="inlineStr">
        <is>
          <t>ST ALBANS</t>
        </is>
      </c>
      <c r="E317" s="12" t="inlineStr">
        <is>
          <t>IND/MEL/00316</t>
        </is>
      </c>
      <c r="F317" s="13" t="inlineStr">
        <is>
          <t>M</t>
        </is>
      </c>
      <c r="G317" s="11" t="inlineStr">
        <is>
          <t>Arjun Valzari</t>
        </is>
      </c>
      <c r="H317" s="11" t="inlineStr">
        <is>
          <t>Alya Valzari</t>
        </is>
      </c>
      <c r="I317" s="18" t="n">
        <v>45725</v>
      </c>
      <c r="J317" s="13" t="inlineStr">
        <is>
          <t>140 Birchwood Lane</t>
        </is>
      </c>
      <c r="K317" s="13" t="inlineStr">
        <is>
          <t>Emerald Road</t>
        </is>
      </c>
      <c r="L317" s="13" t="inlineStr">
        <is>
          <t>PIN:979619 ST ALBANS</t>
        </is>
      </c>
      <c r="M317" s="10" t="inlineStr">
        <is>
          <t>MHA/IND/00316</t>
        </is>
      </c>
      <c r="N317" s="18" t="n">
        <v>45859</v>
      </c>
    </row>
    <row r="318">
      <c r="A318" s="28" t="n">
        <v>317</v>
      </c>
      <c r="B318" s="1" t="inlineStr">
        <is>
          <t>NEIL VALZARI</t>
        </is>
      </c>
      <c r="C318" s="33" t="n">
        <v>45894</v>
      </c>
      <c r="D318" s="13" t="inlineStr">
        <is>
          <t>BLACKTOWN</t>
        </is>
      </c>
      <c r="E318" s="12" t="inlineStr">
        <is>
          <t>IND/MEL/00317</t>
        </is>
      </c>
      <c r="F318" s="13" t="inlineStr">
        <is>
          <t>M</t>
        </is>
      </c>
      <c r="G318" s="11" t="inlineStr">
        <is>
          <t>Ishan Valzari</t>
        </is>
      </c>
      <c r="H318" s="11" t="inlineStr">
        <is>
          <t>Sara Valzari</t>
        </is>
      </c>
      <c r="I318" s="18" t="n">
        <v>45951</v>
      </c>
      <c r="J318" s="13" t="inlineStr">
        <is>
          <t>59 Birchwood Lane</t>
        </is>
      </c>
      <c r="K318" s="13" t="inlineStr">
        <is>
          <t>Emerald Road</t>
        </is>
      </c>
      <c r="L318" s="13" t="inlineStr">
        <is>
          <t>PIN:338900 BLACKTOWN</t>
        </is>
      </c>
      <c r="M318" s="10" t="inlineStr">
        <is>
          <t>MHA/IND/00317</t>
        </is>
      </c>
      <c r="N318" s="18" t="n">
        <v>45895</v>
      </c>
    </row>
    <row r="319">
      <c r="A319" s="28" t="n">
        <v>318</v>
      </c>
      <c r="B319" s="1" t="inlineStr">
        <is>
          <t>ANYA RISHKAN</t>
        </is>
      </c>
      <c r="C319" s="33" t="n">
        <v>45891</v>
      </c>
      <c r="D319" s="13" t="inlineStr">
        <is>
          <t>DARWIN</t>
        </is>
      </c>
      <c r="E319" s="12" t="inlineStr">
        <is>
          <t>IND/MEL/00318</t>
        </is>
      </c>
      <c r="F319" s="13" t="inlineStr">
        <is>
          <t>F</t>
        </is>
      </c>
      <c r="G319" s="11" t="inlineStr">
        <is>
          <t>Rohit Rishkan</t>
        </is>
      </c>
      <c r="H319" s="11" t="inlineStr">
        <is>
          <t>Mira Rishkan</t>
        </is>
      </c>
      <c r="I319" s="18" t="n">
        <v>45934</v>
      </c>
      <c r="J319" s="13" t="inlineStr">
        <is>
          <t>125 Birchwood Lane</t>
        </is>
      </c>
      <c r="K319" s="13" t="inlineStr">
        <is>
          <t>Emerald Road</t>
        </is>
      </c>
      <c r="L319" s="13" t="inlineStr">
        <is>
          <t>PIN:311709 DARWIN</t>
        </is>
      </c>
      <c r="M319" s="10" t="inlineStr">
        <is>
          <t>MHA/IND/00318</t>
        </is>
      </c>
      <c r="N319" s="18" t="n">
        <v>45884</v>
      </c>
    </row>
    <row r="320">
      <c r="A320" s="28" t="n">
        <v>319</v>
      </c>
      <c r="B320" s="1" t="inlineStr">
        <is>
          <t>RIYA VALZARI</t>
        </is>
      </c>
      <c r="C320" s="33" t="n">
        <v>45681</v>
      </c>
      <c r="D320" s="13" t="inlineStr">
        <is>
          <t>TOWNSVILLE</t>
        </is>
      </c>
      <c r="E320" s="12" t="inlineStr">
        <is>
          <t>IND/MEL/00319</t>
        </is>
      </c>
      <c r="F320" s="13" t="inlineStr">
        <is>
          <t>F</t>
        </is>
      </c>
      <c r="G320" s="11" t="inlineStr">
        <is>
          <t>Kiran Valzari</t>
        </is>
      </c>
      <c r="H320" s="11" t="inlineStr">
        <is>
          <t>Riya Valzari</t>
        </is>
      </c>
      <c r="I320" s="18" t="n">
        <v>45731</v>
      </c>
      <c r="J320" s="13" t="inlineStr">
        <is>
          <t>66 Birchwood Lane</t>
        </is>
      </c>
      <c r="K320" s="13" t="inlineStr">
        <is>
          <t>Emerald Road</t>
        </is>
      </c>
      <c r="L320" s="13" t="inlineStr">
        <is>
          <t>PIN:614427 TOWNSVILLE</t>
        </is>
      </c>
      <c r="M320" s="10" t="inlineStr">
        <is>
          <t>MHA/IND/00319</t>
        </is>
      </c>
      <c r="N320" s="18" t="n">
        <v>45857</v>
      </c>
    </row>
    <row r="321" ht="30" customHeight="1">
      <c r="A321" s="28" t="n">
        <v>320</v>
      </c>
      <c r="B321" s="1" t="inlineStr">
        <is>
          <t>NINA MYRTHOS</t>
        </is>
      </c>
      <c r="C321" s="33" t="n">
        <v>45792</v>
      </c>
      <c r="D321" s="13" t="inlineStr">
        <is>
          <t>MANDURAH</t>
        </is>
      </c>
      <c r="E321" s="12" t="inlineStr">
        <is>
          <t>IND/MEL/00320</t>
        </is>
      </c>
      <c r="F321" s="13" t="inlineStr">
        <is>
          <t>F</t>
        </is>
      </c>
      <c r="G321" s="11" t="inlineStr">
        <is>
          <t>Neil Myrthos</t>
        </is>
      </c>
      <c r="H321" s="11" t="inlineStr">
        <is>
          <t>Mira Myrthos</t>
        </is>
      </c>
      <c r="I321" s="18" t="n">
        <v>45804</v>
      </c>
      <c r="J321" s="13" t="inlineStr">
        <is>
          <t>141 Birchwood Lane</t>
        </is>
      </c>
      <c r="K321" s="13" t="inlineStr">
        <is>
          <t>Emerald Road</t>
        </is>
      </c>
      <c r="L321" s="13" t="inlineStr">
        <is>
          <t>PIN:221704 MANDURAH</t>
        </is>
      </c>
      <c r="M321" s="10" t="inlineStr">
        <is>
          <t>MHA/IND/00320</t>
        </is>
      </c>
      <c r="N321" s="18" t="n">
        <v>45856</v>
      </c>
    </row>
    <row r="322">
      <c r="A322" s="28" t="n">
        <v>321</v>
      </c>
      <c r="B322" s="1" t="inlineStr">
        <is>
          <t>KABIR KALEON</t>
        </is>
      </c>
      <c r="C322" s="33" t="n">
        <v>45720</v>
      </c>
      <c r="D322" s="13" t="inlineStr">
        <is>
          <t>CLAYTON</t>
        </is>
      </c>
      <c r="E322" s="12" t="inlineStr">
        <is>
          <t>IND/MEL/00321</t>
        </is>
      </c>
      <c r="F322" s="13" t="inlineStr">
        <is>
          <t>M</t>
        </is>
      </c>
      <c r="G322" s="11" t="inlineStr">
        <is>
          <t>Kabir Kaleon</t>
        </is>
      </c>
      <c r="H322" s="11" t="inlineStr">
        <is>
          <t>Tara Kaleon</t>
        </is>
      </c>
      <c r="I322" s="18" t="n">
        <v>45828</v>
      </c>
      <c r="J322" s="13" t="inlineStr">
        <is>
          <t>185 Birchwood Lane</t>
        </is>
      </c>
      <c r="K322" s="13" t="inlineStr">
        <is>
          <t>Emerald Road</t>
        </is>
      </c>
      <c r="L322" s="13" t="inlineStr">
        <is>
          <t>PIN:746995 CLAYTON</t>
        </is>
      </c>
      <c r="M322" s="10" t="inlineStr">
        <is>
          <t>MHA/IND/00321</t>
        </is>
      </c>
      <c r="N322" s="18" t="n">
        <v>45870</v>
      </c>
    </row>
    <row r="323">
      <c r="A323" s="28" t="n">
        <v>322</v>
      </c>
      <c r="B323" s="1" t="inlineStr">
        <is>
          <t>MIRA MYRTHOS</t>
        </is>
      </c>
      <c r="C323" s="33" t="n">
        <v>45902</v>
      </c>
      <c r="D323" s="13" t="inlineStr">
        <is>
          <t>WAGGA WAGGA</t>
        </is>
      </c>
      <c r="E323" s="12" t="inlineStr">
        <is>
          <t>IND/MEL/00322</t>
        </is>
      </c>
      <c r="F323" s="13" t="inlineStr">
        <is>
          <t>F</t>
        </is>
      </c>
      <c r="G323" s="11" t="inlineStr">
        <is>
          <t>Kiran Myrthos</t>
        </is>
      </c>
      <c r="H323" s="11" t="inlineStr">
        <is>
          <t>Sara Myrthos</t>
        </is>
      </c>
      <c r="I323" s="18" t="n">
        <v>45948</v>
      </c>
      <c r="J323" s="13" t="inlineStr">
        <is>
          <t>91 Birchwood Lane</t>
        </is>
      </c>
      <c r="K323" s="13" t="inlineStr">
        <is>
          <t>Emerald Road</t>
        </is>
      </c>
      <c r="L323" s="13" t="inlineStr">
        <is>
          <t>PIN:224333 WAGGA WAGGA</t>
        </is>
      </c>
      <c r="M323" s="10" t="inlineStr">
        <is>
          <t>MHA/IND/00322</t>
        </is>
      </c>
      <c r="N323" s="18" t="n">
        <v>45885</v>
      </c>
    </row>
    <row r="324">
      <c r="A324" s="28" t="n">
        <v>323</v>
      </c>
      <c r="B324" s="1" t="inlineStr">
        <is>
          <t>KIRAN SHARMA</t>
        </is>
      </c>
      <c r="C324" s="33" t="n">
        <v>45772</v>
      </c>
      <c r="D324" s="13" t="inlineStr">
        <is>
          <t>BOX HILL</t>
        </is>
      </c>
      <c r="E324" s="12" t="inlineStr">
        <is>
          <t>IND/MEL/00323</t>
        </is>
      </c>
      <c r="F324" s="13" t="inlineStr">
        <is>
          <t>M</t>
        </is>
      </c>
      <c r="G324" s="11" t="inlineStr">
        <is>
          <t>Rohit Sharma</t>
        </is>
      </c>
      <c r="H324" s="11" t="inlineStr">
        <is>
          <t>Anya Sharma</t>
        </is>
      </c>
      <c r="I324" s="18" t="n">
        <v>45866</v>
      </c>
      <c r="J324" s="13" t="inlineStr">
        <is>
          <t>177 Birchwood Lane</t>
        </is>
      </c>
      <c r="K324" s="13" t="inlineStr">
        <is>
          <t>Emerald Road</t>
        </is>
      </c>
      <c r="L324" s="13" t="inlineStr">
        <is>
          <t>PIN:240679 BOX HILL</t>
        </is>
      </c>
      <c r="M324" s="10" t="inlineStr">
        <is>
          <t>MHA/IND/00323</t>
        </is>
      </c>
      <c r="N324" s="18" t="n">
        <v>45871</v>
      </c>
    </row>
    <row r="325" ht="30" customHeight="1">
      <c r="A325" s="28" t="n">
        <v>324</v>
      </c>
      <c r="B325" s="1" t="inlineStr">
        <is>
          <t>KIRAN KALEON</t>
        </is>
      </c>
      <c r="C325" s="33" t="n">
        <v>45877</v>
      </c>
      <c r="D325" s="13" t="inlineStr">
        <is>
          <t>ARMADALE</t>
        </is>
      </c>
      <c r="E325" s="12" t="inlineStr">
        <is>
          <t>IND/MEL/00324</t>
        </is>
      </c>
      <c r="F325" s="13" t="inlineStr">
        <is>
          <t>M</t>
        </is>
      </c>
      <c r="G325" s="11" t="inlineStr">
        <is>
          <t>Neil Kaleon</t>
        </is>
      </c>
      <c r="H325" s="11" t="inlineStr">
        <is>
          <t>Alya Kaleon</t>
        </is>
      </c>
      <c r="I325" s="18" t="n">
        <v>45911</v>
      </c>
      <c r="J325" s="13" t="inlineStr">
        <is>
          <t>129 Birchwood Lane</t>
        </is>
      </c>
      <c r="K325" s="13" t="inlineStr">
        <is>
          <t>Emerald Road</t>
        </is>
      </c>
      <c r="L325" s="13" t="inlineStr">
        <is>
          <t>PIN:586924 ARMADALE</t>
        </is>
      </c>
      <c r="M325" s="10" t="inlineStr">
        <is>
          <t>MHA/IND/00324</t>
        </is>
      </c>
      <c r="N325" s="18" t="n">
        <v>45861</v>
      </c>
    </row>
    <row r="326">
      <c r="A326" s="28" t="n">
        <v>325</v>
      </c>
      <c r="B326" s="1" t="inlineStr">
        <is>
          <t>TARA SINDALE</t>
        </is>
      </c>
      <c r="C326" s="33" t="n">
        <v>45719</v>
      </c>
      <c r="D326" s="13" t="inlineStr">
        <is>
          <t>BUNDABERG</t>
        </is>
      </c>
      <c r="E326" s="12" t="inlineStr">
        <is>
          <t>IND/MEL/00325</t>
        </is>
      </c>
      <c r="F326" s="13" t="inlineStr">
        <is>
          <t>F</t>
        </is>
      </c>
      <c r="G326" s="11" t="inlineStr">
        <is>
          <t>Kiran Sindale</t>
        </is>
      </c>
      <c r="H326" s="11" t="inlineStr">
        <is>
          <t>Riya Sindale</t>
        </is>
      </c>
      <c r="I326" s="18" t="n">
        <v>45770</v>
      </c>
      <c r="J326" s="13" t="inlineStr">
        <is>
          <t>16 Birchwood Lane</t>
        </is>
      </c>
      <c r="K326" s="13" t="inlineStr">
        <is>
          <t>Emerald Road</t>
        </is>
      </c>
      <c r="L326" s="13" t="inlineStr">
        <is>
          <t>PIN:282096 BUNDABERG</t>
        </is>
      </c>
      <c r="M326" s="10" t="inlineStr">
        <is>
          <t>MHA/IND/00325</t>
        </is>
      </c>
      <c r="N326" s="18" t="n">
        <v>45873</v>
      </c>
    </row>
    <row r="327">
      <c r="A327" s="28" t="n">
        <v>326</v>
      </c>
      <c r="B327" s="1" t="inlineStr">
        <is>
          <t>DEV RAO</t>
        </is>
      </c>
      <c r="C327" s="33" t="n">
        <v>45744</v>
      </c>
      <c r="D327" s="13" t="inlineStr">
        <is>
          <t>CANBERRA</t>
        </is>
      </c>
      <c r="E327" s="12" t="inlineStr">
        <is>
          <t>IND/MEL/00326</t>
        </is>
      </c>
      <c r="F327" s="13" t="inlineStr">
        <is>
          <t>M</t>
        </is>
      </c>
      <c r="G327" s="11" t="inlineStr">
        <is>
          <t>Arjun Rao</t>
        </is>
      </c>
      <c r="H327" s="11" t="inlineStr">
        <is>
          <t>Sara Rao</t>
        </is>
      </c>
      <c r="I327" s="18" t="n">
        <v>45788</v>
      </c>
      <c r="J327" s="13" t="inlineStr">
        <is>
          <t>41 Birchwood Lane</t>
        </is>
      </c>
      <c r="K327" s="13" t="inlineStr">
        <is>
          <t>Emerald Road</t>
        </is>
      </c>
      <c r="L327" s="13" t="inlineStr">
        <is>
          <t>PIN:342753 CANBERRA</t>
        </is>
      </c>
      <c r="M327" s="10" t="inlineStr">
        <is>
          <t>MHA/IND/00326</t>
        </is>
      </c>
      <c r="N327" s="18" t="n">
        <v>45853</v>
      </c>
    </row>
    <row r="328">
      <c r="A328" s="28" t="n">
        <v>327</v>
      </c>
      <c r="B328" s="1" t="inlineStr">
        <is>
          <t>ISHAN RISHKAN</t>
        </is>
      </c>
      <c r="C328" s="33" t="n">
        <v>45825</v>
      </c>
      <c r="D328" s="13" t="inlineStr">
        <is>
          <t>DALBY</t>
        </is>
      </c>
      <c r="E328" s="12" t="inlineStr">
        <is>
          <t>IND/MEL/00327</t>
        </is>
      </c>
      <c r="F328" s="13" t="inlineStr">
        <is>
          <t>M</t>
        </is>
      </c>
      <c r="G328" s="11" t="inlineStr">
        <is>
          <t>Arjun Rishkan</t>
        </is>
      </c>
      <c r="H328" s="11" t="inlineStr">
        <is>
          <t>Sara Rishkan</t>
        </is>
      </c>
      <c r="I328" s="18" t="n">
        <v>45852</v>
      </c>
      <c r="J328" s="13" t="inlineStr">
        <is>
          <t>153 Birchwood Lane</t>
        </is>
      </c>
      <c r="K328" s="13" t="inlineStr">
        <is>
          <t>Emerald Road</t>
        </is>
      </c>
      <c r="L328" s="13" t="inlineStr">
        <is>
          <t>PIN:321233 DALBY</t>
        </is>
      </c>
      <c r="M328" s="10" t="inlineStr">
        <is>
          <t>MHA/IND/00327</t>
        </is>
      </c>
      <c r="N328" s="18" t="n">
        <v>45865</v>
      </c>
    </row>
    <row r="329">
      <c r="A329" s="28" t="n">
        <v>328</v>
      </c>
      <c r="B329" s="1" t="inlineStr">
        <is>
          <t>KABIR SINDALE</t>
        </is>
      </c>
      <c r="C329" s="33" t="n">
        <v>45917</v>
      </c>
      <c r="D329" s="13" t="inlineStr">
        <is>
          <t>FREMANTLE</t>
        </is>
      </c>
      <c r="E329" s="12" t="inlineStr">
        <is>
          <t>IND/MEL/00328</t>
        </is>
      </c>
      <c r="F329" s="13" t="inlineStr">
        <is>
          <t>M</t>
        </is>
      </c>
      <c r="G329" s="11" t="inlineStr">
        <is>
          <t>Dev Sindale</t>
        </is>
      </c>
      <c r="H329" s="11" t="inlineStr">
        <is>
          <t>Mira Sindale</t>
        </is>
      </c>
      <c r="I329" s="18" t="n">
        <v>46021</v>
      </c>
      <c r="J329" s="13" t="inlineStr">
        <is>
          <t>85 Birchwood Lane</t>
        </is>
      </c>
      <c r="K329" s="13" t="inlineStr">
        <is>
          <t>Emerald Road</t>
        </is>
      </c>
      <c r="L329" s="13" t="inlineStr">
        <is>
          <t>PIN:895271 FREMANTLE</t>
        </is>
      </c>
      <c r="M329" s="10" t="inlineStr">
        <is>
          <t>MHA/IND/00328</t>
        </is>
      </c>
      <c r="N329" s="18" t="n">
        <v>45840</v>
      </c>
    </row>
    <row r="330">
      <c r="A330" s="28" t="n">
        <v>329</v>
      </c>
      <c r="B330" s="1" t="inlineStr">
        <is>
          <t>KABIR SINDALE</t>
        </is>
      </c>
      <c r="C330" s="30" t="n">
        <v>45872</v>
      </c>
      <c r="D330" s="1" t="inlineStr">
        <is>
          <t>MILDURA</t>
        </is>
      </c>
      <c r="E330" s="12" t="inlineStr">
        <is>
          <t>IND/MEL/00329</t>
        </is>
      </c>
      <c r="F330" s="1" t="inlineStr">
        <is>
          <t>M</t>
        </is>
      </c>
      <c r="G330" s="1" t="inlineStr">
        <is>
          <t>Rohit Sindale</t>
        </is>
      </c>
      <c r="H330" s="1" t="inlineStr">
        <is>
          <t>Riya Sindale</t>
        </is>
      </c>
      <c r="I330" s="30" t="n">
        <v>45939</v>
      </c>
      <c r="J330" s="1" t="inlineStr">
        <is>
          <t>79 Birchwood Lane</t>
        </is>
      </c>
      <c r="K330" s="1" t="inlineStr">
        <is>
          <t>Emerald Road</t>
        </is>
      </c>
      <c r="L330" s="1" t="inlineStr">
        <is>
          <t>PIN:922144 MILDURA</t>
        </is>
      </c>
      <c r="M330" s="2" t="inlineStr">
        <is>
          <t>MHA/IND/00329</t>
        </is>
      </c>
      <c r="N330" s="30" t="n">
        <v>45878</v>
      </c>
    </row>
    <row r="331" ht="30" customHeight="1">
      <c r="A331" s="28" t="n">
        <v>330</v>
      </c>
      <c r="B331" s="1" t="inlineStr">
        <is>
          <t>AREN RAO</t>
        </is>
      </c>
      <c r="C331" s="30" t="n">
        <v>45678</v>
      </c>
      <c r="D331" s="1" t="inlineStr">
        <is>
          <t>BENDIGO</t>
        </is>
      </c>
      <c r="E331" s="12" t="inlineStr">
        <is>
          <t>IND/MEL/00330</t>
        </is>
      </c>
      <c r="F331" s="1" t="inlineStr">
        <is>
          <t>M</t>
        </is>
      </c>
      <c r="G331" s="1" t="inlineStr">
        <is>
          <t>Rohit Rao</t>
        </is>
      </c>
      <c r="H331" s="1" t="inlineStr">
        <is>
          <t>Alya Rao</t>
        </is>
      </c>
      <c r="I331" s="30" t="n">
        <v>45741</v>
      </c>
      <c r="J331" s="1" t="inlineStr">
        <is>
          <t>196 Birchwood Lane</t>
        </is>
      </c>
      <c r="K331" s="1" t="inlineStr">
        <is>
          <t>Emerald Road</t>
        </is>
      </c>
      <c r="L331" s="1" t="inlineStr">
        <is>
          <t>PIN:670585 BENDIGO</t>
        </is>
      </c>
      <c r="M331" s="2" t="inlineStr">
        <is>
          <t>MHA/IND/00330</t>
        </is>
      </c>
      <c r="N331" s="30" t="n">
        <v>45845</v>
      </c>
    </row>
    <row r="332">
      <c r="A332" s="28" t="n">
        <v>331</v>
      </c>
      <c r="B332" s="1" t="inlineStr">
        <is>
          <t>ANYA KALEON</t>
        </is>
      </c>
      <c r="C332" s="30" t="n">
        <v>45871</v>
      </c>
      <c r="D332" s="1" t="inlineStr">
        <is>
          <t>ELIZABETH VALE</t>
        </is>
      </c>
      <c r="E332" s="12" t="inlineStr">
        <is>
          <t>IND/MEL/00331</t>
        </is>
      </c>
      <c r="F332" s="1" t="inlineStr">
        <is>
          <t>F</t>
        </is>
      </c>
      <c r="G332" s="1" t="inlineStr">
        <is>
          <t>Arjun Kaleon</t>
        </is>
      </c>
      <c r="H332" s="1" t="inlineStr">
        <is>
          <t>Diya Kaleon</t>
        </is>
      </c>
      <c r="I332" s="30" t="n">
        <v>45877</v>
      </c>
      <c r="J332" s="1" t="inlineStr">
        <is>
          <t>21 Birchwood Lane</t>
        </is>
      </c>
      <c r="K332" s="1" t="inlineStr">
        <is>
          <t>Emerald Road</t>
        </is>
      </c>
      <c r="L332" s="1" t="inlineStr">
        <is>
          <t>PIN:270043 ELIZABETH VALE</t>
        </is>
      </c>
      <c r="M332" s="2" t="inlineStr">
        <is>
          <t>MHA/IND/00331</t>
        </is>
      </c>
      <c r="N332" s="30" t="n">
        <v>45858</v>
      </c>
    </row>
    <row r="333">
      <c r="A333" s="28" t="n">
        <v>332</v>
      </c>
      <c r="B333" s="1" t="inlineStr">
        <is>
          <t>TARA SHARMA</t>
        </is>
      </c>
      <c r="C333" s="30" t="n">
        <v>45678</v>
      </c>
      <c r="D333" s="1" t="inlineStr">
        <is>
          <t>ROCKHAMPTON</t>
        </is>
      </c>
      <c r="E333" s="12" t="inlineStr">
        <is>
          <t>IND/MEL/00332</t>
        </is>
      </c>
      <c r="F333" s="1" t="inlineStr">
        <is>
          <t>F</t>
        </is>
      </c>
      <c r="G333" s="1" t="inlineStr">
        <is>
          <t>Ishan Sharma</t>
        </is>
      </c>
      <c r="H333" s="1" t="inlineStr">
        <is>
          <t>Alya Sharma</t>
        </is>
      </c>
      <c r="I333" s="30" t="n">
        <v>45723</v>
      </c>
      <c r="J333" s="1" t="inlineStr">
        <is>
          <t>18 Birchwood Lane</t>
        </is>
      </c>
      <c r="K333" s="1" t="inlineStr">
        <is>
          <t>Emerald Road</t>
        </is>
      </c>
      <c r="L333" s="1" t="inlineStr">
        <is>
          <t>PIN:303591 ROCKHAMPTON</t>
        </is>
      </c>
      <c r="M333" s="2" t="inlineStr">
        <is>
          <t>MHA/IND/00332</t>
        </is>
      </c>
      <c r="N333" s="30" t="n">
        <v>45865</v>
      </c>
    </row>
    <row r="334">
      <c r="A334" s="28" t="n">
        <v>333</v>
      </c>
      <c r="B334" s="1" t="inlineStr">
        <is>
          <t>NINA RISHKAN</t>
        </is>
      </c>
      <c r="C334" s="30" t="n">
        <v>45759</v>
      </c>
      <c r="D334" s="1" t="inlineStr">
        <is>
          <t>PENRITH</t>
        </is>
      </c>
      <c r="E334" s="12" t="inlineStr">
        <is>
          <t>IND/MEL/00333</t>
        </is>
      </c>
      <c r="F334" s="1" t="inlineStr">
        <is>
          <t>F</t>
        </is>
      </c>
      <c r="G334" s="1" t="inlineStr">
        <is>
          <t>Rohit Rishkan</t>
        </is>
      </c>
      <c r="H334" s="1" t="inlineStr">
        <is>
          <t>Diya Rishkan</t>
        </is>
      </c>
      <c r="I334" s="30" t="n">
        <v>45784</v>
      </c>
      <c r="J334" s="1" t="inlineStr">
        <is>
          <t>15 Birchwood Lane</t>
        </is>
      </c>
      <c r="K334" s="1" t="inlineStr">
        <is>
          <t>Emerald Road</t>
        </is>
      </c>
      <c r="L334" s="1" t="inlineStr">
        <is>
          <t>PIN:224030 PENRITH</t>
        </is>
      </c>
      <c r="M334" s="2" t="inlineStr">
        <is>
          <t>MHA/IND/00333</t>
        </is>
      </c>
      <c r="N334" s="30" t="n">
        <v>45885</v>
      </c>
    </row>
    <row r="335">
      <c r="A335" s="28" t="n">
        <v>334</v>
      </c>
      <c r="B335" s="1" t="inlineStr">
        <is>
          <t>ISHAN SHARMA</t>
        </is>
      </c>
      <c r="C335" s="30" t="n">
        <v>45922</v>
      </c>
      <c r="D335" s="1" t="inlineStr">
        <is>
          <t>SHEPPARTON</t>
        </is>
      </c>
      <c r="E335" s="12" t="inlineStr">
        <is>
          <t>IND/MEL/00334</t>
        </is>
      </c>
      <c r="F335" s="1" t="inlineStr">
        <is>
          <t>M</t>
        </is>
      </c>
      <c r="G335" s="1" t="inlineStr">
        <is>
          <t>Kiran Sharma</t>
        </is>
      </c>
      <c r="H335" s="1" t="inlineStr">
        <is>
          <t>Anya Sharma</t>
        </is>
      </c>
      <c r="I335" s="30" t="n">
        <v>46001</v>
      </c>
      <c r="J335" s="1" t="inlineStr">
        <is>
          <t>80 Birchwood Lane</t>
        </is>
      </c>
      <c r="K335" s="1" t="inlineStr">
        <is>
          <t>Emerald Road</t>
        </is>
      </c>
      <c r="L335" s="1" t="inlineStr">
        <is>
          <t>PIN:482859 SHEPPARTON</t>
        </is>
      </c>
      <c r="M335" s="2" t="inlineStr">
        <is>
          <t>MHA/IND/00334</t>
        </is>
      </c>
      <c r="N335" s="30" t="n">
        <v>45867</v>
      </c>
    </row>
    <row r="336">
      <c r="A336" s="28" t="n">
        <v>335</v>
      </c>
      <c r="B336" s="1" t="inlineStr">
        <is>
          <t>DIYA KALEON</t>
        </is>
      </c>
      <c r="C336" s="30" t="n">
        <v>45951</v>
      </c>
      <c r="D336" s="1" t="inlineStr">
        <is>
          <t>CANBERRA</t>
        </is>
      </c>
      <c r="E336" s="12" t="inlineStr">
        <is>
          <t>IND/MEL/00335</t>
        </is>
      </c>
      <c r="F336" s="1" t="inlineStr">
        <is>
          <t>F</t>
        </is>
      </c>
      <c r="G336" s="1" t="inlineStr">
        <is>
          <t>Rohit Kaleon</t>
        </is>
      </c>
      <c r="H336" s="1" t="inlineStr">
        <is>
          <t>Tara Kaleon</t>
        </is>
      </c>
      <c r="I336" s="30" t="n">
        <v>45996</v>
      </c>
      <c r="J336" s="1" t="inlineStr">
        <is>
          <t>125 Birchwood Lane</t>
        </is>
      </c>
      <c r="K336" s="1" t="inlineStr">
        <is>
          <t>Emerald Road</t>
        </is>
      </c>
      <c r="L336" s="1" t="inlineStr">
        <is>
          <t>PIN:924013 CANBERRA</t>
        </is>
      </c>
      <c r="M336" s="2" t="inlineStr">
        <is>
          <t>MHA/IND/00335</t>
        </is>
      </c>
      <c r="N336" s="30" t="n">
        <v>45895</v>
      </c>
    </row>
    <row r="337">
      <c r="A337" s="28" t="n">
        <v>336</v>
      </c>
      <c r="B337" s="1" t="inlineStr">
        <is>
          <t>SARA SINDALE</t>
        </is>
      </c>
      <c r="C337" s="30" t="n">
        <v>45810</v>
      </c>
      <c r="D337" s="1" t="inlineStr">
        <is>
          <t>KINGSWOOD</t>
        </is>
      </c>
      <c r="E337" s="12" t="inlineStr">
        <is>
          <t>IND/MEL/00336</t>
        </is>
      </c>
      <c r="F337" s="1" t="inlineStr">
        <is>
          <t>F</t>
        </is>
      </c>
      <c r="G337" s="1" t="inlineStr">
        <is>
          <t>Dev Sindale</t>
        </is>
      </c>
      <c r="H337" s="1" t="inlineStr">
        <is>
          <t>Sara Sindale</t>
        </is>
      </c>
      <c r="I337" s="30" t="n">
        <v>45883</v>
      </c>
      <c r="J337" s="1" t="inlineStr">
        <is>
          <t>41 Birchwood Lane</t>
        </is>
      </c>
      <c r="K337" s="1" t="inlineStr">
        <is>
          <t>Emerald Road</t>
        </is>
      </c>
      <c r="L337" s="1" t="inlineStr">
        <is>
          <t>PIN:781777 KINGSWOOD</t>
        </is>
      </c>
      <c r="M337" s="2" t="inlineStr">
        <is>
          <t>MHA/IND/00336</t>
        </is>
      </c>
      <c r="N337" s="30" t="n">
        <v>45847</v>
      </c>
    </row>
    <row r="338">
      <c r="A338" s="28" t="n">
        <v>337</v>
      </c>
      <c r="B338" s="1" t="inlineStr">
        <is>
          <t>ANYA RISHKAN</t>
        </is>
      </c>
      <c r="C338" s="30" t="n">
        <v>45803</v>
      </c>
      <c r="D338" s="1" t="inlineStr">
        <is>
          <t>LOGAN</t>
        </is>
      </c>
      <c r="E338" s="12" t="inlineStr">
        <is>
          <t>IND/MEL/00337</t>
        </is>
      </c>
      <c r="F338" s="1" t="inlineStr">
        <is>
          <t>F</t>
        </is>
      </c>
      <c r="G338" s="1" t="inlineStr">
        <is>
          <t>Ishan Rishkan</t>
        </is>
      </c>
      <c r="H338" s="1" t="inlineStr">
        <is>
          <t>Nina Rishkan</t>
        </is>
      </c>
      <c r="I338" s="30" t="n">
        <v>45810</v>
      </c>
      <c r="J338" s="1" t="inlineStr">
        <is>
          <t>185 Birchwood Lane</t>
        </is>
      </c>
      <c r="K338" s="1" t="inlineStr">
        <is>
          <t>Emerald Road</t>
        </is>
      </c>
      <c r="L338" s="1" t="inlineStr">
        <is>
          <t>PIN:787279 LOGAN</t>
        </is>
      </c>
      <c r="M338" s="2" t="inlineStr">
        <is>
          <t>MHA/IND/00337</t>
        </is>
      </c>
      <c r="N338" s="30" t="n">
        <v>45896</v>
      </c>
    </row>
    <row r="339">
      <c r="A339" s="28" t="n">
        <v>338</v>
      </c>
      <c r="B339" s="1" t="inlineStr">
        <is>
          <t>ISHAN VALZARI</t>
        </is>
      </c>
      <c r="C339" s="30" t="n">
        <v>45745</v>
      </c>
      <c r="D339" s="1" t="inlineStr">
        <is>
          <t>WOLLONGONG</t>
        </is>
      </c>
      <c r="E339" s="12" t="inlineStr">
        <is>
          <t>IND/MEL/00338</t>
        </is>
      </c>
      <c r="F339" s="1" t="inlineStr">
        <is>
          <t>M</t>
        </is>
      </c>
      <c r="G339" s="1" t="inlineStr">
        <is>
          <t>Rohit Valzari</t>
        </is>
      </c>
      <c r="H339" s="1" t="inlineStr">
        <is>
          <t>Anya Valzari</t>
        </is>
      </c>
      <c r="I339" s="30" t="n">
        <v>45765</v>
      </c>
      <c r="J339" s="1" t="inlineStr">
        <is>
          <t>164 Birchwood Lane</t>
        </is>
      </c>
      <c r="K339" s="1" t="inlineStr">
        <is>
          <t>Emerald Road</t>
        </is>
      </c>
      <c r="L339" s="1" t="inlineStr">
        <is>
          <t>PIN:587534 WOLLONGONG</t>
        </is>
      </c>
      <c r="M339" s="2" t="inlineStr">
        <is>
          <t>MHA/IND/00338</t>
        </is>
      </c>
      <c r="N339" s="30" t="n">
        <v>45858</v>
      </c>
    </row>
    <row r="340" ht="30" customHeight="1">
      <c r="A340" s="28" t="n">
        <v>339</v>
      </c>
      <c r="B340" s="1" t="inlineStr">
        <is>
          <t>ANYA SHARMA</t>
        </is>
      </c>
      <c r="C340" s="30" t="n">
        <v>45710</v>
      </c>
      <c r="D340" s="1" t="inlineStr">
        <is>
          <t>LENAH VALLEY</t>
        </is>
      </c>
      <c r="E340" s="12" t="inlineStr">
        <is>
          <t>IND/MEL/00339</t>
        </is>
      </c>
      <c r="F340" s="1" t="inlineStr">
        <is>
          <t>F</t>
        </is>
      </c>
      <c r="G340" s="1" t="inlineStr">
        <is>
          <t>Ishan Sharma</t>
        </is>
      </c>
      <c r="H340" s="1" t="inlineStr">
        <is>
          <t>Mira Sharma</t>
        </is>
      </c>
      <c r="I340" s="30" t="n">
        <v>45826</v>
      </c>
      <c r="J340" s="1" t="inlineStr">
        <is>
          <t>173 Birchwood Lane</t>
        </is>
      </c>
      <c r="K340" s="1" t="inlineStr">
        <is>
          <t>Emerald Road</t>
        </is>
      </c>
      <c r="L340" s="1" t="inlineStr">
        <is>
          <t>PIN:603275 LENAH VALLEY</t>
        </is>
      </c>
      <c r="M340" s="2" t="inlineStr">
        <is>
          <t>MHA/IND/00339</t>
        </is>
      </c>
      <c r="N340" s="30" t="n">
        <v>45869</v>
      </c>
    </row>
    <row r="341">
      <c r="A341" s="28" t="n">
        <v>340</v>
      </c>
      <c r="B341" s="1" t="inlineStr">
        <is>
          <t>AREN SHARMA</t>
        </is>
      </c>
      <c r="C341" s="30" t="n">
        <v>45924</v>
      </c>
      <c r="D341" s="1" t="inlineStr">
        <is>
          <t>ST ALBANS</t>
        </is>
      </c>
      <c r="E341" s="12" t="inlineStr">
        <is>
          <t>IND/MEL/00340</t>
        </is>
      </c>
      <c r="F341" s="1" t="inlineStr">
        <is>
          <t>M</t>
        </is>
      </c>
      <c r="G341" s="1" t="inlineStr">
        <is>
          <t>Ishan Sharma</t>
        </is>
      </c>
      <c r="H341" s="1" t="inlineStr">
        <is>
          <t>Sara Sharma</t>
        </is>
      </c>
      <c r="I341" s="30" t="n">
        <v>45978</v>
      </c>
      <c r="J341" s="1" t="inlineStr">
        <is>
          <t>185 Birchwood Lane</t>
        </is>
      </c>
      <c r="K341" s="1" t="inlineStr">
        <is>
          <t>Emerald Road</t>
        </is>
      </c>
      <c r="L341" s="1" t="inlineStr">
        <is>
          <t>PIN:267223 ST ALBANS</t>
        </is>
      </c>
      <c r="M341" s="2" t="inlineStr">
        <is>
          <t>MHA/IND/00340</t>
        </is>
      </c>
      <c r="N341" s="30" t="n">
        <v>45853</v>
      </c>
    </row>
    <row r="342">
      <c r="A342" s="28" t="n">
        <v>341</v>
      </c>
      <c r="B342" s="1" t="inlineStr">
        <is>
          <t>KIRAN RAO</t>
        </is>
      </c>
      <c r="C342" s="30" t="n">
        <v>45884</v>
      </c>
      <c r="D342" s="1" t="inlineStr">
        <is>
          <t>MOUNT BARKER</t>
        </is>
      </c>
      <c r="E342" s="12" t="inlineStr">
        <is>
          <t>IND/MEL/00341</t>
        </is>
      </c>
      <c r="F342" s="1" t="inlineStr">
        <is>
          <t>M</t>
        </is>
      </c>
      <c r="G342" s="1" t="inlineStr">
        <is>
          <t>Arjun Rao</t>
        </is>
      </c>
      <c r="H342" s="1" t="inlineStr">
        <is>
          <t>Nina Rao</t>
        </is>
      </c>
      <c r="I342" s="30" t="n">
        <v>45993</v>
      </c>
      <c r="J342" s="1" t="inlineStr">
        <is>
          <t>34 Birchwood Lane</t>
        </is>
      </c>
      <c r="K342" s="1" t="inlineStr">
        <is>
          <t>Emerald Road</t>
        </is>
      </c>
      <c r="L342" s="1" t="inlineStr">
        <is>
          <t>PIN:714417 MOUNT BARKER</t>
        </is>
      </c>
      <c r="M342" s="2" t="inlineStr">
        <is>
          <t>MHA/IND/00341</t>
        </is>
      </c>
      <c r="N342" s="30" t="n">
        <v>45893</v>
      </c>
    </row>
    <row r="343">
      <c r="A343" s="28" t="n">
        <v>342</v>
      </c>
      <c r="B343" s="1" t="inlineStr">
        <is>
          <t>DIYA MYRTHOS</t>
        </is>
      </c>
      <c r="C343" s="30" t="n">
        <v>45849</v>
      </c>
      <c r="D343" s="1" t="inlineStr">
        <is>
          <t>WAGGA WAGGA</t>
        </is>
      </c>
      <c r="E343" s="12" t="inlineStr">
        <is>
          <t>IND/MEL/00342</t>
        </is>
      </c>
      <c r="F343" s="1" t="inlineStr">
        <is>
          <t>F</t>
        </is>
      </c>
      <c r="G343" s="1" t="inlineStr">
        <is>
          <t>Dev Myrthos</t>
        </is>
      </c>
      <c r="H343" s="1" t="inlineStr">
        <is>
          <t>Anya Myrthos</t>
        </is>
      </c>
      <c r="I343" s="30" t="n">
        <v>45947</v>
      </c>
      <c r="J343" s="1" t="inlineStr">
        <is>
          <t>180 Birchwood Lane</t>
        </is>
      </c>
      <c r="K343" s="1" t="inlineStr">
        <is>
          <t>Emerald Road</t>
        </is>
      </c>
      <c r="L343" s="1" t="inlineStr">
        <is>
          <t>PIN:547163 WAGGA WAGGA</t>
        </is>
      </c>
      <c r="M343" s="2" t="inlineStr">
        <is>
          <t>MHA/IND/00342</t>
        </is>
      </c>
      <c r="N343" s="30" t="n">
        <v>45868</v>
      </c>
    </row>
    <row r="344">
      <c r="A344" s="28" t="n">
        <v>343</v>
      </c>
      <c r="B344" s="1" t="inlineStr">
        <is>
          <t>RIYA KALEON</t>
        </is>
      </c>
      <c r="C344" s="30" t="n">
        <v>45828</v>
      </c>
      <c r="D344" s="1" t="inlineStr">
        <is>
          <t>MANDURAH</t>
        </is>
      </c>
      <c r="E344" s="12" t="inlineStr">
        <is>
          <t>IND/MEL/00343</t>
        </is>
      </c>
      <c r="F344" s="1" t="inlineStr">
        <is>
          <t>F</t>
        </is>
      </c>
      <c r="G344" s="1" t="inlineStr">
        <is>
          <t>Kiran Kaleon</t>
        </is>
      </c>
      <c r="H344" s="1" t="inlineStr">
        <is>
          <t>Diya Kaleon</t>
        </is>
      </c>
      <c r="I344" s="30" t="n">
        <v>45920</v>
      </c>
      <c r="J344" s="1" t="inlineStr">
        <is>
          <t>175 Birchwood Lane</t>
        </is>
      </c>
      <c r="K344" s="1" t="inlineStr">
        <is>
          <t>Emerald Road</t>
        </is>
      </c>
      <c r="L344" s="1" t="inlineStr">
        <is>
          <t>PIN:580720 MANDURAH</t>
        </is>
      </c>
      <c r="M344" s="2" t="inlineStr">
        <is>
          <t>MHA/IND/00343</t>
        </is>
      </c>
      <c r="N344" s="30" t="n">
        <v>45885</v>
      </c>
    </row>
    <row r="345" ht="30" customHeight="1">
      <c r="A345" s="28" t="n">
        <v>344</v>
      </c>
      <c r="B345" s="1" t="inlineStr">
        <is>
          <t>AREN VALZARI</t>
        </is>
      </c>
      <c r="C345" s="30" t="n">
        <v>45846</v>
      </c>
      <c r="D345" s="1" t="inlineStr">
        <is>
          <t>BERWICK</t>
        </is>
      </c>
      <c r="E345" s="12" t="inlineStr">
        <is>
          <t>IND/MEL/00344</t>
        </is>
      </c>
      <c r="F345" s="1" t="inlineStr">
        <is>
          <t>M</t>
        </is>
      </c>
      <c r="G345" s="1" t="inlineStr">
        <is>
          <t>Kabir Valzari</t>
        </is>
      </c>
      <c r="H345" s="1" t="inlineStr">
        <is>
          <t>Anya Valzari</t>
        </is>
      </c>
      <c r="I345" s="30" t="n">
        <v>45910</v>
      </c>
      <c r="J345" s="1" t="inlineStr">
        <is>
          <t>172 Birchwood Lane</t>
        </is>
      </c>
      <c r="K345" s="1" t="inlineStr">
        <is>
          <t>Emerald Road</t>
        </is>
      </c>
      <c r="L345" s="1" t="inlineStr">
        <is>
          <t>PIN:562388 BERWICK</t>
        </is>
      </c>
      <c r="M345" s="2" t="inlineStr">
        <is>
          <t>MHA/IND/00344</t>
        </is>
      </c>
      <c r="N345" s="30" t="n">
        <v>45878</v>
      </c>
    </row>
    <row r="346" ht="30" customHeight="1">
      <c r="A346" s="28" t="n">
        <v>345</v>
      </c>
      <c r="B346" s="1" t="inlineStr">
        <is>
          <t>SARA VALZARI</t>
        </is>
      </c>
      <c r="C346" s="30" t="n">
        <v>45841</v>
      </c>
      <c r="D346" s="1" t="inlineStr">
        <is>
          <t>BERWICK</t>
        </is>
      </c>
      <c r="E346" s="12" t="inlineStr">
        <is>
          <t>IND/MEL/00345</t>
        </is>
      </c>
      <c r="F346" s="1" t="inlineStr">
        <is>
          <t>F</t>
        </is>
      </c>
      <c r="G346" s="1" t="inlineStr">
        <is>
          <t>Arjun Valzari</t>
        </is>
      </c>
      <c r="H346" s="1" t="inlineStr">
        <is>
          <t>Riya Valzari</t>
        </is>
      </c>
      <c r="I346" s="30" t="n">
        <v>45873</v>
      </c>
      <c r="J346" s="1" t="inlineStr">
        <is>
          <t>82 Birchwood Lane</t>
        </is>
      </c>
      <c r="K346" s="1" t="inlineStr">
        <is>
          <t>Emerald Road</t>
        </is>
      </c>
      <c r="L346" s="1" t="inlineStr">
        <is>
          <t>PIN:894635 BERWICK</t>
        </is>
      </c>
      <c r="M346" s="2" t="inlineStr">
        <is>
          <t>MHA/IND/00345</t>
        </is>
      </c>
      <c r="N346" s="30" t="n">
        <v>45854</v>
      </c>
    </row>
    <row r="347" ht="30" customHeight="1">
      <c r="A347" s="28" t="n">
        <v>346</v>
      </c>
      <c r="B347" s="1" t="inlineStr">
        <is>
          <t>KABIR MYRTHOS</t>
        </is>
      </c>
      <c r="C347" s="30" t="n">
        <v>45922</v>
      </c>
      <c r="D347" s="1" t="inlineStr">
        <is>
          <t>LIVERPOOL</t>
        </is>
      </c>
      <c r="E347" s="12" t="inlineStr">
        <is>
          <t>IND/MEL/00346</t>
        </is>
      </c>
      <c r="F347" s="1" t="inlineStr">
        <is>
          <t>M</t>
        </is>
      </c>
      <c r="G347" s="1" t="inlineStr">
        <is>
          <t>Dev Myrthos</t>
        </is>
      </c>
      <c r="H347" s="1" t="inlineStr">
        <is>
          <t>Riya Myrthos</t>
        </is>
      </c>
      <c r="I347" s="30" t="n">
        <v>45983</v>
      </c>
      <c r="J347" s="1" t="inlineStr">
        <is>
          <t>164 Birchwood Lane</t>
        </is>
      </c>
      <c r="K347" s="1" t="inlineStr">
        <is>
          <t>Emerald Road</t>
        </is>
      </c>
      <c r="L347" s="1" t="inlineStr">
        <is>
          <t>PIN:165275 LIVERPOOL</t>
        </is>
      </c>
      <c r="M347" s="2" t="inlineStr">
        <is>
          <t>MHA/IND/00346</t>
        </is>
      </c>
      <c r="N347" s="30" t="n">
        <v>45844</v>
      </c>
    </row>
    <row r="348">
      <c r="A348" s="28" t="n">
        <v>347</v>
      </c>
      <c r="B348" s="1" t="inlineStr">
        <is>
          <t>KIRAN SHARMA</t>
        </is>
      </c>
      <c r="C348" s="30" t="n">
        <v>45721</v>
      </c>
      <c r="D348" s="1" t="inlineStr">
        <is>
          <t>NEWCASTLE</t>
        </is>
      </c>
      <c r="E348" s="12" t="inlineStr">
        <is>
          <t>IND/MEL/00347</t>
        </is>
      </c>
      <c r="F348" s="1" t="inlineStr">
        <is>
          <t>M</t>
        </is>
      </c>
      <c r="G348" s="1" t="inlineStr">
        <is>
          <t>Aren Sharma</t>
        </is>
      </c>
      <c r="H348" s="1" t="inlineStr">
        <is>
          <t>Diya Sharma</t>
        </is>
      </c>
      <c r="I348" s="30" t="n">
        <v>45744</v>
      </c>
      <c r="J348" s="1" t="inlineStr">
        <is>
          <t>151 Birchwood Lane</t>
        </is>
      </c>
      <c r="K348" s="1" t="inlineStr">
        <is>
          <t>Emerald Road</t>
        </is>
      </c>
      <c r="L348" s="1" t="inlineStr">
        <is>
          <t>PIN:313133 NEWCASTLE</t>
        </is>
      </c>
      <c r="M348" s="2" t="inlineStr">
        <is>
          <t>MHA/IND/00347</t>
        </is>
      </c>
      <c r="N348" s="30" t="n">
        <v>45885</v>
      </c>
    </row>
    <row r="349" ht="30" customHeight="1">
      <c r="A349" s="28" t="n">
        <v>348</v>
      </c>
      <c r="B349" s="1" t="inlineStr">
        <is>
          <t>TARA SINDALE</t>
        </is>
      </c>
      <c r="C349" s="30" t="n">
        <v>45751</v>
      </c>
      <c r="D349" s="1" t="inlineStr">
        <is>
          <t>LIVERPOOL</t>
        </is>
      </c>
      <c r="E349" s="12" t="inlineStr">
        <is>
          <t>IND/MEL/00348</t>
        </is>
      </c>
      <c r="F349" s="1" t="inlineStr">
        <is>
          <t>F</t>
        </is>
      </c>
      <c r="G349" s="1" t="inlineStr">
        <is>
          <t>Aren Sindale</t>
        </is>
      </c>
      <c r="H349" s="1" t="inlineStr">
        <is>
          <t>Riya Sindale</t>
        </is>
      </c>
      <c r="I349" s="30" t="n">
        <v>45763</v>
      </c>
      <c r="J349" s="1" t="inlineStr">
        <is>
          <t>29 Birchwood Lane</t>
        </is>
      </c>
      <c r="K349" s="1" t="inlineStr">
        <is>
          <t>Emerald Road</t>
        </is>
      </c>
      <c r="L349" s="1" t="inlineStr">
        <is>
          <t>PIN:978049 LIVERPOOL</t>
        </is>
      </c>
      <c r="M349" s="2" t="inlineStr">
        <is>
          <t>MHA/IND/00348</t>
        </is>
      </c>
      <c r="N349" s="30" t="n">
        <v>45891</v>
      </c>
    </row>
    <row r="350">
      <c r="A350" s="28" t="n">
        <v>349</v>
      </c>
      <c r="B350" s="1" t="inlineStr">
        <is>
          <t>ARJUN KALEON</t>
        </is>
      </c>
      <c r="C350" s="30" t="n">
        <v>45863</v>
      </c>
      <c r="D350" s="1" t="inlineStr">
        <is>
          <t>NEWCASTLE</t>
        </is>
      </c>
      <c r="E350" s="12" t="inlineStr">
        <is>
          <t>IND/MEL/00349</t>
        </is>
      </c>
      <c r="F350" s="1" t="inlineStr">
        <is>
          <t>M</t>
        </is>
      </c>
      <c r="G350" s="1" t="inlineStr">
        <is>
          <t>Arjun Kaleon</t>
        </is>
      </c>
      <c r="H350" s="1" t="inlineStr">
        <is>
          <t>Alya Kaleon</t>
        </is>
      </c>
      <c r="I350" s="30" t="n">
        <v>45879</v>
      </c>
      <c r="J350" s="1" t="inlineStr">
        <is>
          <t>62 Birchwood Lane</t>
        </is>
      </c>
      <c r="K350" s="1" t="inlineStr">
        <is>
          <t>Emerald Road</t>
        </is>
      </c>
      <c r="L350" s="1" t="inlineStr">
        <is>
          <t>PIN:759250 NEWCASTLE</t>
        </is>
      </c>
      <c r="M350" s="2" t="inlineStr">
        <is>
          <t>MHA/IND/00349</t>
        </is>
      </c>
      <c r="N350" s="30" t="n">
        <v>45847</v>
      </c>
    </row>
    <row r="351">
      <c r="A351" s="28" t="n">
        <v>350</v>
      </c>
      <c r="B351" s="1" t="inlineStr">
        <is>
          <t>DEV SHARMA</t>
        </is>
      </c>
      <c r="C351" s="30" t="n">
        <v>45678</v>
      </c>
      <c r="D351" s="1" t="inlineStr">
        <is>
          <t>LIVERPOOL</t>
        </is>
      </c>
      <c r="E351" s="12" t="inlineStr">
        <is>
          <t>IND/MEL/00350</t>
        </is>
      </c>
      <c r="F351" s="1" t="inlineStr">
        <is>
          <t>M</t>
        </is>
      </c>
      <c r="G351" s="1" t="inlineStr">
        <is>
          <t>Rohit Sharma</t>
        </is>
      </c>
      <c r="H351" s="1" t="inlineStr">
        <is>
          <t>Alya Sharma</t>
        </is>
      </c>
      <c r="I351" s="30" t="n">
        <v>45709</v>
      </c>
      <c r="J351" s="1" t="inlineStr">
        <is>
          <t>136 Birchwood Lane</t>
        </is>
      </c>
      <c r="K351" s="1" t="inlineStr">
        <is>
          <t>Emerald Road</t>
        </is>
      </c>
      <c r="L351" s="1" t="inlineStr">
        <is>
          <t>PIN:265684 LIVERPOOL</t>
        </is>
      </c>
      <c r="M351" s="2" t="inlineStr">
        <is>
          <t>MHA/IND/00350</t>
        </is>
      </c>
      <c r="N351" s="30" t="n">
        <v>45884</v>
      </c>
    </row>
    <row r="352">
      <c r="A352" s="28" t="n">
        <v>351</v>
      </c>
      <c r="B352" s="1" t="inlineStr">
        <is>
          <t>KABIR KALEON</t>
        </is>
      </c>
      <c r="C352" s="30" t="n">
        <v>45815</v>
      </c>
      <c r="D352" s="1" t="inlineStr">
        <is>
          <t>BENDIGO</t>
        </is>
      </c>
      <c r="E352" s="12" t="inlineStr">
        <is>
          <t>IND/MEL/00351</t>
        </is>
      </c>
      <c r="F352" s="1" t="inlineStr">
        <is>
          <t>M</t>
        </is>
      </c>
      <c r="G352" s="1" t="inlineStr">
        <is>
          <t>Dev Kaleon</t>
        </is>
      </c>
      <c r="H352" s="1" t="inlineStr">
        <is>
          <t>Tara Kaleon</t>
        </is>
      </c>
      <c r="I352" s="30" t="n">
        <v>45869</v>
      </c>
      <c r="J352" s="1" t="inlineStr">
        <is>
          <t>70 Birchwood Lane</t>
        </is>
      </c>
      <c r="K352" s="1" t="inlineStr">
        <is>
          <t>Emerald Road</t>
        </is>
      </c>
      <c r="L352" s="1" t="inlineStr">
        <is>
          <t>PIN:669525 BENDIGO</t>
        </is>
      </c>
      <c r="M352" s="2" t="inlineStr">
        <is>
          <t>MHA/IND/00351</t>
        </is>
      </c>
      <c r="N352" s="30" t="n">
        <v>45873</v>
      </c>
    </row>
    <row r="353">
      <c r="A353" s="28" t="n">
        <v>352</v>
      </c>
      <c r="B353" s="1" t="inlineStr">
        <is>
          <t>ALYA SINDALE</t>
        </is>
      </c>
      <c r="C353" s="30" t="n">
        <v>45851</v>
      </c>
      <c r="D353" s="1" t="inlineStr">
        <is>
          <t>WOLLONGONG</t>
        </is>
      </c>
      <c r="E353" s="12" t="inlineStr">
        <is>
          <t>IND/MEL/00352</t>
        </is>
      </c>
      <c r="F353" s="1" t="inlineStr">
        <is>
          <t>F</t>
        </is>
      </c>
      <c r="G353" s="1" t="inlineStr">
        <is>
          <t>Rohit Sindale</t>
        </is>
      </c>
      <c r="H353" s="1" t="inlineStr">
        <is>
          <t>Nina Sindale</t>
        </is>
      </c>
      <c r="I353" s="30" t="n">
        <v>45889</v>
      </c>
      <c r="J353" s="1" t="inlineStr">
        <is>
          <t>71 Birchwood Lane</t>
        </is>
      </c>
      <c r="K353" s="1" t="inlineStr">
        <is>
          <t>Emerald Road</t>
        </is>
      </c>
      <c r="L353" s="1" t="inlineStr">
        <is>
          <t>PIN:806096 WOLLONGONG</t>
        </is>
      </c>
      <c r="M353" s="2" t="inlineStr">
        <is>
          <t>MHA/IND/00352</t>
        </is>
      </c>
      <c r="N353" s="30" t="n">
        <v>45844</v>
      </c>
    </row>
    <row r="354" ht="30" customHeight="1">
      <c r="A354" s="28" t="n">
        <v>353</v>
      </c>
      <c r="B354" s="1" t="inlineStr">
        <is>
          <t>MIRA KALEON</t>
        </is>
      </c>
      <c r="C354" s="30" t="n">
        <v>45825</v>
      </c>
      <c r="D354" s="1" t="inlineStr">
        <is>
          <t>DALBY</t>
        </is>
      </c>
      <c r="E354" s="12" t="inlineStr">
        <is>
          <t>IND/MEL/00353</t>
        </is>
      </c>
      <c r="F354" s="1" t="inlineStr">
        <is>
          <t>F</t>
        </is>
      </c>
      <c r="G354" s="1" t="inlineStr">
        <is>
          <t>Kabir Kaleon</t>
        </is>
      </c>
      <c r="H354" s="1" t="inlineStr">
        <is>
          <t>Alya Kaleon</t>
        </is>
      </c>
      <c r="I354" s="30" t="n">
        <v>45844</v>
      </c>
      <c r="J354" s="1" t="inlineStr">
        <is>
          <t>123 Birchwood Lane</t>
        </is>
      </c>
      <c r="K354" s="1" t="inlineStr">
        <is>
          <t>Emerald Road</t>
        </is>
      </c>
      <c r="L354" s="1" t="inlineStr">
        <is>
          <t>PIN:836079 DALBY</t>
        </is>
      </c>
      <c r="M354" s="2" t="inlineStr">
        <is>
          <t>MHA/IND/00353</t>
        </is>
      </c>
      <c r="N354" s="30" t="n">
        <v>45887</v>
      </c>
    </row>
    <row r="355" ht="30" customHeight="1">
      <c r="A355" s="28" t="n">
        <v>354</v>
      </c>
      <c r="B355" s="1" t="inlineStr">
        <is>
          <t>ROHIT MYRTHOS</t>
        </is>
      </c>
      <c r="C355" s="30" t="n">
        <v>45685</v>
      </c>
      <c r="D355" s="1" t="inlineStr">
        <is>
          <t>CLAYTON</t>
        </is>
      </c>
      <c r="E355" s="12" t="inlineStr">
        <is>
          <t>IND/MEL/00354</t>
        </is>
      </c>
      <c r="F355" s="1" t="inlineStr">
        <is>
          <t>M</t>
        </is>
      </c>
      <c r="G355" s="1" t="inlineStr">
        <is>
          <t>Kabir Myrthos</t>
        </is>
      </c>
      <c r="H355" s="1" t="inlineStr">
        <is>
          <t>Mira Myrthos</t>
        </is>
      </c>
      <c r="I355" s="30" t="n">
        <v>45709</v>
      </c>
      <c r="J355" s="1" t="inlineStr">
        <is>
          <t>106 Birchwood Lane</t>
        </is>
      </c>
      <c r="K355" s="1" t="inlineStr">
        <is>
          <t>Emerald Road</t>
        </is>
      </c>
      <c r="L355" s="1" t="inlineStr">
        <is>
          <t>PIN:528267 CLAYTON</t>
        </is>
      </c>
      <c r="M355" s="2" t="inlineStr">
        <is>
          <t>MHA/IND/00354</t>
        </is>
      </c>
      <c r="N355" s="30" t="n">
        <v>45858</v>
      </c>
    </row>
    <row r="356">
      <c r="A356" s="28" t="n">
        <v>355</v>
      </c>
      <c r="B356" s="1" t="inlineStr">
        <is>
          <t>TARA SINDALE</t>
        </is>
      </c>
      <c r="C356" s="30" t="n">
        <v>45841</v>
      </c>
      <c r="D356" s="1" t="inlineStr">
        <is>
          <t>MANDURAH</t>
        </is>
      </c>
      <c r="E356" s="12" t="inlineStr">
        <is>
          <t>IND/MEL/00355</t>
        </is>
      </c>
      <c r="F356" s="1" t="inlineStr">
        <is>
          <t>F</t>
        </is>
      </c>
      <c r="G356" s="1" t="inlineStr">
        <is>
          <t>Dev Sindale</t>
        </is>
      </c>
      <c r="H356" s="1" t="inlineStr">
        <is>
          <t>Nina Sindale</t>
        </is>
      </c>
      <c r="I356" s="30" t="n">
        <v>45884</v>
      </c>
      <c r="J356" s="1" t="inlineStr">
        <is>
          <t>163 Birchwood Lane</t>
        </is>
      </c>
      <c r="K356" s="1" t="inlineStr">
        <is>
          <t>Emerald Road</t>
        </is>
      </c>
      <c r="L356" s="1" t="inlineStr">
        <is>
          <t>PIN:587920 MANDURAH</t>
        </is>
      </c>
      <c r="M356" s="2" t="inlineStr">
        <is>
          <t>MHA/IND/00355</t>
        </is>
      </c>
      <c r="N356" s="30" t="n">
        <v>45860</v>
      </c>
    </row>
    <row r="357">
      <c r="A357" s="28" t="n">
        <v>356</v>
      </c>
      <c r="B357" s="1" t="inlineStr">
        <is>
          <t>ANYA RAO</t>
        </is>
      </c>
      <c r="C357" s="30" t="n">
        <v>45815</v>
      </c>
      <c r="D357" s="1" t="inlineStr">
        <is>
          <t>BUNDOORA</t>
        </is>
      </c>
      <c r="E357" s="12" t="inlineStr">
        <is>
          <t>IND/MEL/00356</t>
        </is>
      </c>
      <c r="F357" s="1" t="inlineStr">
        <is>
          <t>F</t>
        </is>
      </c>
      <c r="G357" s="1" t="inlineStr">
        <is>
          <t>Kiran Rao</t>
        </is>
      </c>
      <c r="H357" s="1" t="inlineStr">
        <is>
          <t>Tara Rao</t>
        </is>
      </c>
      <c r="I357" s="30" t="n">
        <v>45833</v>
      </c>
      <c r="J357" s="1" t="inlineStr">
        <is>
          <t>166 Birchwood Lane</t>
        </is>
      </c>
      <c r="K357" s="1" t="inlineStr">
        <is>
          <t>Emerald Road</t>
        </is>
      </c>
      <c r="L357" s="1" t="inlineStr">
        <is>
          <t>PIN:443245 BUNDOORA</t>
        </is>
      </c>
      <c r="M357" s="2" t="inlineStr">
        <is>
          <t>MHA/IND/00356</t>
        </is>
      </c>
      <c r="N357" s="30" t="n">
        <v>45870</v>
      </c>
    </row>
    <row r="358">
      <c r="A358" s="28" t="n">
        <v>357</v>
      </c>
      <c r="B358" s="1" t="inlineStr">
        <is>
          <t>TARA RISHKAN</t>
        </is>
      </c>
      <c r="C358" s="30" t="n">
        <v>45803</v>
      </c>
      <c r="D358" s="1" t="inlineStr">
        <is>
          <t>BRISBANE</t>
        </is>
      </c>
      <c r="E358" s="12" t="inlineStr">
        <is>
          <t>IND/MEL/00357</t>
        </is>
      </c>
      <c r="F358" s="1" t="inlineStr">
        <is>
          <t>F</t>
        </is>
      </c>
      <c r="G358" s="1" t="inlineStr">
        <is>
          <t>Rohit Rishkan</t>
        </is>
      </c>
      <c r="H358" s="1" t="inlineStr">
        <is>
          <t>Sara Rishkan</t>
        </is>
      </c>
      <c r="I358" s="30" t="n">
        <v>45882</v>
      </c>
      <c r="J358" s="1" t="inlineStr">
        <is>
          <t>130 Birchwood Lane</t>
        </is>
      </c>
      <c r="K358" s="1" t="inlineStr">
        <is>
          <t>Emerald Road</t>
        </is>
      </c>
      <c r="L358" s="1" t="inlineStr">
        <is>
          <t>PIN:854044 BRISBANE</t>
        </is>
      </c>
      <c r="M358" s="2" t="inlineStr">
        <is>
          <t>MHA/IND/00357</t>
        </is>
      </c>
      <c r="N358" s="30" t="n">
        <v>45866</v>
      </c>
    </row>
    <row r="359">
      <c r="A359" s="28" t="n">
        <v>358</v>
      </c>
      <c r="B359" s="1" t="inlineStr">
        <is>
          <t>KABIR SINDALE</t>
        </is>
      </c>
      <c r="C359" s="30" t="n">
        <v>45729</v>
      </c>
      <c r="D359" s="1" t="inlineStr">
        <is>
          <t>BERWICK</t>
        </is>
      </c>
      <c r="E359" s="12" t="inlineStr">
        <is>
          <t>IND/MEL/00358</t>
        </is>
      </c>
      <c r="F359" s="1" t="inlineStr">
        <is>
          <t>M</t>
        </is>
      </c>
      <c r="G359" s="1" t="inlineStr">
        <is>
          <t>Neil Sindale</t>
        </is>
      </c>
      <c r="H359" s="1" t="inlineStr">
        <is>
          <t>Riya Sindale</t>
        </is>
      </c>
      <c r="I359" s="30" t="n">
        <v>45792</v>
      </c>
      <c r="J359" s="1" t="inlineStr">
        <is>
          <t>90 Birchwood Lane</t>
        </is>
      </c>
      <c r="K359" s="1" t="inlineStr">
        <is>
          <t>Emerald Road</t>
        </is>
      </c>
      <c r="L359" s="1" t="inlineStr">
        <is>
          <t>PIN:146112 BERWICK</t>
        </is>
      </c>
      <c r="M359" s="2" t="inlineStr">
        <is>
          <t>MHA/IND/00358</t>
        </is>
      </c>
      <c r="N359" s="30" t="n">
        <v>45858</v>
      </c>
    </row>
    <row r="360">
      <c r="A360" s="28" t="n">
        <v>359</v>
      </c>
      <c r="B360" s="1" t="inlineStr">
        <is>
          <t>MIRA SHARMA</t>
        </is>
      </c>
      <c r="C360" s="30" t="n">
        <v>45794</v>
      </c>
      <c r="D360" s="1" t="inlineStr">
        <is>
          <t>GOSFORD</t>
        </is>
      </c>
      <c r="E360" s="12" t="inlineStr">
        <is>
          <t>IND/MEL/00359</t>
        </is>
      </c>
      <c r="F360" s="1" t="inlineStr">
        <is>
          <t>F</t>
        </is>
      </c>
      <c r="G360" s="1" t="inlineStr">
        <is>
          <t>Kiran Sharma</t>
        </is>
      </c>
      <c r="H360" s="1" t="inlineStr">
        <is>
          <t>Diya Sharma</t>
        </is>
      </c>
      <c r="I360" s="30" t="n">
        <v>45856</v>
      </c>
      <c r="J360" s="1" t="inlineStr">
        <is>
          <t>187 Birchwood Lane</t>
        </is>
      </c>
      <c r="K360" s="1" t="inlineStr">
        <is>
          <t>Emerald Road</t>
        </is>
      </c>
      <c r="L360" s="1" t="inlineStr">
        <is>
          <t>PIN:116116 GOSFORD</t>
        </is>
      </c>
      <c r="M360" s="2" t="inlineStr">
        <is>
          <t>MHA/IND/00359</t>
        </is>
      </c>
      <c r="N360" s="30" t="n">
        <v>45880</v>
      </c>
    </row>
    <row r="361">
      <c r="A361" s="28" t="n">
        <v>360</v>
      </c>
      <c r="B361" s="1" t="inlineStr">
        <is>
          <t>ANYA KALEON</t>
        </is>
      </c>
      <c r="C361" s="30" t="n">
        <v>45942</v>
      </c>
      <c r="D361" s="1" t="inlineStr">
        <is>
          <t>ARMADALE</t>
        </is>
      </c>
      <c r="E361" s="12" t="inlineStr">
        <is>
          <t>IND/MEL/00360</t>
        </is>
      </c>
      <c r="F361" s="1" t="inlineStr">
        <is>
          <t>F</t>
        </is>
      </c>
      <c r="G361" s="1" t="inlineStr">
        <is>
          <t>Rohit Kaleon</t>
        </is>
      </c>
      <c r="H361" s="1" t="inlineStr">
        <is>
          <t>Tara Kaleon</t>
        </is>
      </c>
      <c r="I361" s="30" t="n">
        <v>45968</v>
      </c>
      <c r="J361" s="1" t="inlineStr">
        <is>
          <t>146 Birchwood Lane</t>
        </is>
      </c>
      <c r="K361" s="1" t="inlineStr">
        <is>
          <t>Emerald Road</t>
        </is>
      </c>
      <c r="L361" s="1" t="inlineStr">
        <is>
          <t>PIN:698609 ARMADALE</t>
        </is>
      </c>
      <c r="M361" s="2" t="inlineStr">
        <is>
          <t>MHA/IND/00360</t>
        </is>
      </c>
      <c r="N361" s="30" t="n">
        <v>45878</v>
      </c>
    </row>
    <row r="362">
      <c r="A362" s="28" t="n">
        <v>361</v>
      </c>
      <c r="B362" s="1" t="inlineStr">
        <is>
          <t>ALYA KALEON</t>
        </is>
      </c>
      <c r="C362" s="30" t="n">
        <v>45910</v>
      </c>
      <c r="D362" s="1" t="inlineStr">
        <is>
          <t>PARKVILLE</t>
        </is>
      </c>
      <c r="E362" s="12" t="inlineStr">
        <is>
          <t>IND/MEL/00361</t>
        </is>
      </c>
      <c r="F362" s="1" t="inlineStr">
        <is>
          <t>F</t>
        </is>
      </c>
      <c r="G362" s="1" t="inlineStr">
        <is>
          <t>Ishan Kaleon</t>
        </is>
      </c>
      <c r="H362" s="1" t="inlineStr">
        <is>
          <t>Nina Kaleon</t>
        </is>
      </c>
      <c r="I362" s="30" t="n">
        <v>45999</v>
      </c>
      <c r="J362" s="1" t="inlineStr">
        <is>
          <t>94 Birchwood Lane</t>
        </is>
      </c>
      <c r="K362" s="1" t="inlineStr">
        <is>
          <t>Emerald Road</t>
        </is>
      </c>
      <c r="L362" s="1" t="inlineStr">
        <is>
          <t>PIN:243403 PARKVILLE</t>
        </is>
      </c>
      <c r="M362" s="2" t="inlineStr">
        <is>
          <t>MHA/IND/00361</t>
        </is>
      </c>
      <c r="N362" s="30" t="n">
        <v>45895</v>
      </c>
    </row>
    <row r="363">
      <c r="A363" s="28" t="n">
        <v>362</v>
      </c>
      <c r="B363" s="1" t="inlineStr">
        <is>
          <t>ANYA MYRTHOS</t>
        </is>
      </c>
      <c r="C363" s="30" t="n">
        <v>45912</v>
      </c>
      <c r="D363" s="1" t="inlineStr">
        <is>
          <t>LIVERPOOL</t>
        </is>
      </c>
      <c r="E363" s="12" t="inlineStr">
        <is>
          <t>IND/MEL/00362</t>
        </is>
      </c>
      <c r="F363" s="1" t="inlineStr">
        <is>
          <t>F</t>
        </is>
      </c>
      <c r="G363" s="1" t="inlineStr">
        <is>
          <t>Rohit Myrthos</t>
        </is>
      </c>
      <c r="H363" s="1" t="inlineStr">
        <is>
          <t>Mira Myrthos</t>
        </is>
      </c>
      <c r="I363" s="30" t="n">
        <v>45979</v>
      </c>
      <c r="J363" s="1" t="inlineStr">
        <is>
          <t>61 Birchwood Lane</t>
        </is>
      </c>
      <c r="K363" s="1" t="inlineStr">
        <is>
          <t>Emerald Road</t>
        </is>
      </c>
      <c r="L363" s="1" t="inlineStr">
        <is>
          <t>PIN:333036 LIVERPOOL</t>
        </is>
      </c>
      <c r="M363" s="2" t="inlineStr">
        <is>
          <t>MHA/IND/00362</t>
        </is>
      </c>
      <c r="N363" s="30" t="n">
        <v>45894</v>
      </c>
    </row>
    <row r="364">
      <c r="A364" s="28" t="n">
        <v>363</v>
      </c>
      <c r="B364" s="1" t="inlineStr">
        <is>
          <t>ROHIT VALZARI</t>
        </is>
      </c>
      <c r="C364" s="30" t="n">
        <v>45743</v>
      </c>
      <c r="D364" s="1" t="inlineStr">
        <is>
          <t>BEDFORD PARK</t>
        </is>
      </c>
      <c r="E364" s="12" t="inlineStr">
        <is>
          <t>IND/MEL/00363</t>
        </is>
      </c>
      <c r="F364" s="1" t="inlineStr">
        <is>
          <t>M</t>
        </is>
      </c>
      <c r="G364" s="1" t="inlineStr">
        <is>
          <t>Aren Valzari</t>
        </is>
      </c>
      <c r="H364" s="1" t="inlineStr">
        <is>
          <t>Riya Valzari</t>
        </is>
      </c>
      <c r="I364" s="30" t="n">
        <v>45808</v>
      </c>
      <c r="J364" s="1" t="inlineStr">
        <is>
          <t>69 Birchwood Lane</t>
        </is>
      </c>
      <c r="K364" s="1" t="inlineStr">
        <is>
          <t>Emerald Road</t>
        </is>
      </c>
      <c r="L364" s="1" t="inlineStr">
        <is>
          <t>PIN:974106 BEDFORD PARK</t>
        </is>
      </c>
      <c r="M364" s="2" t="inlineStr">
        <is>
          <t>MHA/IND/00363</t>
        </is>
      </c>
      <c r="N364" s="30" t="n">
        <v>45846</v>
      </c>
    </row>
    <row r="365">
      <c r="A365" s="28" t="n">
        <v>364</v>
      </c>
      <c r="B365" s="1" t="inlineStr">
        <is>
          <t>KIRAN VALZARI</t>
        </is>
      </c>
      <c r="C365" s="30" t="n">
        <v>45749</v>
      </c>
      <c r="D365" s="1" t="inlineStr">
        <is>
          <t>WODONGA</t>
        </is>
      </c>
      <c r="E365" s="12" t="inlineStr">
        <is>
          <t>IND/MEL/00364</t>
        </is>
      </c>
      <c r="F365" s="1" t="inlineStr">
        <is>
          <t>M</t>
        </is>
      </c>
      <c r="G365" s="1" t="inlineStr">
        <is>
          <t>Rohit Valzari</t>
        </is>
      </c>
      <c r="H365" s="1" t="inlineStr">
        <is>
          <t>Alya Valzari</t>
        </is>
      </c>
      <c r="I365" s="30" t="n">
        <v>45786</v>
      </c>
      <c r="J365" s="1" t="inlineStr">
        <is>
          <t>130 Birchwood Lane</t>
        </is>
      </c>
      <c r="K365" s="1" t="inlineStr">
        <is>
          <t>Emerald Road</t>
        </is>
      </c>
      <c r="L365" s="1" t="inlineStr">
        <is>
          <t>PIN:903256 WODONGA</t>
        </is>
      </c>
      <c r="M365" s="2" t="inlineStr">
        <is>
          <t>MHA/IND/00364</t>
        </is>
      </c>
      <c r="N365" s="30" t="n">
        <v>45862</v>
      </c>
    </row>
    <row r="366" ht="30" customHeight="1">
      <c r="A366" s="28" t="n">
        <v>365</v>
      </c>
      <c r="B366" s="1" t="inlineStr">
        <is>
          <t>DEV SINDALE</t>
        </is>
      </c>
      <c r="C366" s="30" t="n">
        <v>45800</v>
      </c>
      <c r="D366" s="1" t="inlineStr">
        <is>
          <t>FRANKSTON</t>
        </is>
      </c>
      <c r="E366" s="12" t="inlineStr">
        <is>
          <t>IND/MEL/00365</t>
        </is>
      </c>
      <c r="F366" s="1" t="inlineStr">
        <is>
          <t>M</t>
        </is>
      </c>
      <c r="G366" s="1" t="inlineStr">
        <is>
          <t>Aren Sindale</t>
        </is>
      </c>
      <c r="H366" s="1" t="inlineStr">
        <is>
          <t>Riya Sindale</t>
        </is>
      </c>
      <c r="I366" s="30" t="n">
        <v>45873</v>
      </c>
      <c r="J366" s="1" t="inlineStr">
        <is>
          <t>161 Birchwood Lane</t>
        </is>
      </c>
      <c r="K366" s="1" t="inlineStr">
        <is>
          <t>Emerald Road</t>
        </is>
      </c>
      <c r="L366" s="1" t="inlineStr">
        <is>
          <t>PIN:724180 FRANKSTON</t>
        </is>
      </c>
      <c r="M366" s="2" t="inlineStr">
        <is>
          <t>MHA/IND/00365</t>
        </is>
      </c>
      <c r="N366" s="30" t="n">
        <v>45878</v>
      </c>
    </row>
    <row r="367" ht="30" customHeight="1">
      <c r="A367" s="28" t="n">
        <v>366</v>
      </c>
      <c r="B367" s="1" t="inlineStr">
        <is>
          <t>KIRAN SHARMA</t>
        </is>
      </c>
      <c r="C367" s="30" t="n">
        <v>45819</v>
      </c>
      <c r="D367" s="1" t="inlineStr">
        <is>
          <t>TUGGERANONG</t>
        </is>
      </c>
      <c r="E367" s="12" t="inlineStr">
        <is>
          <t>IND/MEL/00366</t>
        </is>
      </c>
      <c r="F367" s="1" t="inlineStr">
        <is>
          <t>M</t>
        </is>
      </c>
      <c r="G367" s="1" t="inlineStr">
        <is>
          <t>Dev Sharma</t>
        </is>
      </c>
      <c r="H367" s="1" t="inlineStr">
        <is>
          <t>Nina Sharma</t>
        </is>
      </c>
      <c r="I367" s="30" t="n">
        <v>45937</v>
      </c>
      <c r="J367" s="1" t="inlineStr">
        <is>
          <t>29 Birchwood Lane</t>
        </is>
      </c>
      <c r="K367" s="1" t="inlineStr">
        <is>
          <t>Emerald Road</t>
        </is>
      </c>
      <c r="L367" s="1" t="inlineStr">
        <is>
          <t>PIN:696956 TUGGERANONG</t>
        </is>
      </c>
      <c r="M367" s="2" t="inlineStr">
        <is>
          <t>MHA/IND/00366</t>
        </is>
      </c>
      <c r="N367" s="30" t="n">
        <v>45895</v>
      </c>
    </row>
    <row r="368" ht="30" customHeight="1">
      <c r="A368" s="28" t="n">
        <v>367</v>
      </c>
      <c r="B368" s="1" t="inlineStr">
        <is>
          <t>MIRA SHARMA</t>
        </is>
      </c>
      <c r="C368" s="30" t="n">
        <v>45778</v>
      </c>
      <c r="D368" s="1" t="inlineStr">
        <is>
          <t>LAUNCESTON</t>
        </is>
      </c>
      <c r="E368" s="12" t="inlineStr">
        <is>
          <t>IND/MEL/00367</t>
        </is>
      </c>
      <c r="F368" s="1" t="inlineStr">
        <is>
          <t>F</t>
        </is>
      </c>
      <c r="G368" s="1" t="inlineStr">
        <is>
          <t>Rohit Sharma</t>
        </is>
      </c>
      <c r="H368" s="1" t="inlineStr">
        <is>
          <t>Mira Sharma</t>
        </is>
      </c>
      <c r="I368" s="30" t="n">
        <v>45790</v>
      </c>
      <c r="J368" s="1" t="inlineStr">
        <is>
          <t>193 Birchwood Lane</t>
        </is>
      </c>
      <c r="K368" s="1" t="inlineStr">
        <is>
          <t>Emerald Road</t>
        </is>
      </c>
      <c r="L368" s="1" t="inlineStr">
        <is>
          <t>PIN:866652 LAUNCESTON</t>
        </is>
      </c>
      <c r="M368" s="2" t="inlineStr">
        <is>
          <t>MHA/IND/00367</t>
        </is>
      </c>
      <c r="N368" s="30" t="n">
        <v>45844</v>
      </c>
    </row>
    <row r="369" ht="30" customHeight="1">
      <c r="A369" s="28" t="n">
        <v>368</v>
      </c>
      <c r="B369" s="1" t="inlineStr">
        <is>
          <t>SARA KALEON</t>
        </is>
      </c>
      <c r="C369" s="30" t="n">
        <v>45735</v>
      </c>
      <c r="D369" s="1" t="inlineStr">
        <is>
          <t>NORTH ADELAIDE</t>
        </is>
      </c>
      <c r="E369" s="12" t="inlineStr">
        <is>
          <t>IND/MEL/00368</t>
        </is>
      </c>
      <c r="F369" s="1" t="inlineStr">
        <is>
          <t>F</t>
        </is>
      </c>
      <c r="G369" s="1" t="inlineStr">
        <is>
          <t>Rohit Kaleon</t>
        </is>
      </c>
      <c r="H369" s="1" t="inlineStr">
        <is>
          <t>Anya Kaleon</t>
        </is>
      </c>
      <c r="I369" s="30" t="n">
        <v>45767</v>
      </c>
      <c r="J369" s="1" t="inlineStr">
        <is>
          <t>141 Birchwood Lane</t>
        </is>
      </c>
      <c r="K369" s="1" t="inlineStr">
        <is>
          <t>Emerald Road</t>
        </is>
      </c>
      <c r="L369" s="1" t="inlineStr">
        <is>
          <t>PIN:277862 NORTH ADELAIDE</t>
        </is>
      </c>
      <c r="M369" s="2" t="inlineStr">
        <is>
          <t>MHA/IND/00368</t>
        </is>
      </c>
      <c r="N369" s="30" t="n">
        <v>45872</v>
      </c>
    </row>
    <row r="370">
      <c r="A370" s="28" t="n">
        <v>369</v>
      </c>
      <c r="B370" s="1" t="inlineStr">
        <is>
          <t>RIYA RISHKAN</t>
        </is>
      </c>
      <c r="C370" s="30" t="n">
        <v>45865</v>
      </c>
      <c r="D370" s="1" t="inlineStr">
        <is>
          <t>TUGGERANONG</t>
        </is>
      </c>
      <c r="E370" s="12" t="inlineStr">
        <is>
          <t>IND/MEL/00369</t>
        </is>
      </c>
      <c r="F370" s="1" t="inlineStr">
        <is>
          <t>F</t>
        </is>
      </c>
      <c r="G370" s="1" t="inlineStr">
        <is>
          <t>Neil Rishkan</t>
        </is>
      </c>
      <c r="H370" s="1" t="inlineStr">
        <is>
          <t>Alya Rishkan</t>
        </is>
      </c>
      <c r="I370" s="30" t="n">
        <v>45873</v>
      </c>
      <c r="J370" s="1" t="inlineStr">
        <is>
          <t>57 Birchwood Lane</t>
        </is>
      </c>
      <c r="K370" s="1" t="inlineStr">
        <is>
          <t>Emerald Road</t>
        </is>
      </c>
      <c r="L370" s="1" t="inlineStr">
        <is>
          <t>PIN:771839 TUGGERANONG</t>
        </is>
      </c>
      <c r="M370" s="2" t="inlineStr">
        <is>
          <t>MHA/IND/00369</t>
        </is>
      </c>
      <c r="N370" s="30" t="n">
        <v>45852</v>
      </c>
    </row>
    <row r="371" ht="30" customHeight="1">
      <c r="A371" s="28" t="n">
        <v>370</v>
      </c>
      <c r="B371" s="1" t="inlineStr">
        <is>
          <t>ANYA SHARMA</t>
        </is>
      </c>
      <c r="C371" s="30" t="n">
        <v>45874</v>
      </c>
      <c r="D371" s="1" t="inlineStr">
        <is>
          <t>LIVERPOOL</t>
        </is>
      </c>
      <c r="E371" s="12" t="inlineStr">
        <is>
          <t>IND/MEL/00370</t>
        </is>
      </c>
      <c r="F371" s="1" t="inlineStr">
        <is>
          <t>F</t>
        </is>
      </c>
      <c r="G371" s="1" t="inlineStr">
        <is>
          <t>Dev Sharma</t>
        </is>
      </c>
      <c r="H371" s="1" t="inlineStr">
        <is>
          <t>Anya Sharma</t>
        </is>
      </c>
      <c r="I371" s="30" t="n">
        <v>45926</v>
      </c>
      <c r="J371" s="1" t="inlineStr">
        <is>
          <t>65 Birchwood Lane</t>
        </is>
      </c>
      <c r="K371" s="1" t="inlineStr">
        <is>
          <t>Emerald Road</t>
        </is>
      </c>
      <c r="L371" s="1" t="inlineStr">
        <is>
          <t>PIN:587081 LIVERPOOL</t>
        </is>
      </c>
      <c r="M371" s="2" t="inlineStr">
        <is>
          <t>MHA/IND/00370</t>
        </is>
      </c>
      <c r="N371" s="30" t="n">
        <v>45873</v>
      </c>
    </row>
    <row r="372">
      <c r="A372" s="28" t="n">
        <v>371</v>
      </c>
      <c r="B372" s="1" t="inlineStr">
        <is>
          <t>ANYA VALZARI</t>
        </is>
      </c>
      <c r="C372" s="30" t="n">
        <v>45670</v>
      </c>
      <c r="D372" s="1" t="inlineStr">
        <is>
          <t>BALLARAT CENTRAL</t>
        </is>
      </c>
      <c r="E372" s="12" t="inlineStr">
        <is>
          <t>IND/MEL/00371</t>
        </is>
      </c>
      <c r="F372" s="1" t="inlineStr">
        <is>
          <t>F</t>
        </is>
      </c>
      <c r="G372" s="1" t="inlineStr">
        <is>
          <t>Aren Valzari</t>
        </is>
      </c>
      <c r="H372" s="1" t="inlineStr">
        <is>
          <t>Anya Valzari</t>
        </is>
      </c>
      <c r="I372" s="30" t="n">
        <v>45679</v>
      </c>
      <c r="J372" s="1" t="inlineStr">
        <is>
          <t>74 Birchwood Lane</t>
        </is>
      </c>
      <c r="K372" s="1" t="inlineStr">
        <is>
          <t>Emerald Road</t>
        </is>
      </c>
      <c r="L372" s="1" t="inlineStr">
        <is>
          <t>PIN:832571 BALLARAT CENTRAL</t>
        </is>
      </c>
      <c r="M372" s="2" t="inlineStr">
        <is>
          <t>MHA/IND/00371</t>
        </is>
      </c>
      <c r="N372" s="30" t="n">
        <v>45844</v>
      </c>
    </row>
    <row r="373">
      <c r="A373" s="28" t="n">
        <v>372</v>
      </c>
      <c r="B373" s="1" t="inlineStr">
        <is>
          <t>ARJUN SINDALE</t>
        </is>
      </c>
      <c r="C373" s="30" t="n">
        <v>45874</v>
      </c>
      <c r="D373" s="1" t="inlineStr">
        <is>
          <t>FREMANTLE</t>
        </is>
      </c>
      <c r="E373" s="12" t="inlineStr">
        <is>
          <t>IND/MEL/00372</t>
        </is>
      </c>
      <c r="F373" s="1" t="inlineStr">
        <is>
          <t>M</t>
        </is>
      </c>
      <c r="G373" s="1" t="inlineStr">
        <is>
          <t>Ishan Sindale</t>
        </is>
      </c>
      <c r="H373" s="1" t="inlineStr">
        <is>
          <t>Nina Sindale</t>
        </is>
      </c>
      <c r="I373" s="30" t="n">
        <v>45982</v>
      </c>
      <c r="J373" s="1" t="inlineStr">
        <is>
          <t>26 Birchwood Lane</t>
        </is>
      </c>
      <c r="K373" s="1" t="inlineStr">
        <is>
          <t>Emerald Road</t>
        </is>
      </c>
      <c r="L373" s="1" t="inlineStr">
        <is>
          <t>PIN:919321 FREMANTLE</t>
        </is>
      </c>
      <c r="M373" s="2" t="inlineStr">
        <is>
          <t>MHA/IND/00372</t>
        </is>
      </c>
      <c r="N373" s="30" t="n">
        <v>45897</v>
      </c>
    </row>
    <row r="374">
      <c r="A374" s="28" t="n">
        <v>373</v>
      </c>
      <c r="B374" s="1" t="inlineStr">
        <is>
          <t>TARA KALEON</t>
        </is>
      </c>
      <c r="C374" s="30" t="n">
        <v>45783</v>
      </c>
      <c r="D374" s="1" t="inlineStr">
        <is>
          <t>IPSWICH</t>
        </is>
      </c>
      <c r="E374" s="12" t="inlineStr">
        <is>
          <t>IND/MEL/00373</t>
        </is>
      </c>
      <c r="F374" s="1" t="inlineStr">
        <is>
          <t>F</t>
        </is>
      </c>
      <c r="G374" s="1" t="inlineStr">
        <is>
          <t>Rohit Kaleon</t>
        </is>
      </c>
      <c r="H374" s="1" t="inlineStr">
        <is>
          <t>Tara Kaleon</t>
        </is>
      </c>
      <c r="I374" s="30" t="n">
        <v>45863</v>
      </c>
      <c r="J374" s="1" t="inlineStr">
        <is>
          <t>109 Birchwood Lane</t>
        </is>
      </c>
      <c r="K374" s="1" t="inlineStr">
        <is>
          <t>Emerald Road</t>
        </is>
      </c>
      <c r="L374" s="1" t="inlineStr">
        <is>
          <t>PIN:713260 IPSWICH</t>
        </is>
      </c>
      <c r="M374" s="2" t="inlineStr">
        <is>
          <t>MHA/IND/00373</t>
        </is>
      </c>
      <c r="N374" s="30" t="n">
        <v>45862</v>
      </c>
    </row>
    <row r="375">
      <c r="A375" s="28" t="n">
        <v>374</v>
      </c>
      <c r="B375" s="1" t="inlineStr">
        <is>
          <t>KIRAN SHARMA</t>
        </is>
      </c>
      <c r="C375" s="30" t="n">
        <v>45945</v>
      </c>
      <c r="D375" s="1" t="inlineStr">
        <is>
          <t>MILDURA</t>
        </is>
      </c>
      <c r="E375" s="12" t="inlineStr">
        <is>
          <t>IND/MEL/00374</t>
        </is>
      </c>
      <c r="F375" s="1" t="inlineStr">
        <is>
          <t>M</t>
        </is>
      </c>
      <c r="G375" s="1" t="inlineStr">
        <is>
          <t>Ishan Sharma</t>
        </is>
      </c>
      <c r="H375" s="1" t="inlineStr">
        <is>
          <t>Riya Sharma</t>
        </is>
      </c>
      <c r="I375" s="30" t="n">
        <v>45955</v>
      </c>
      <c r="J375" s="1" t="inlineStr">
        <is>
          <t>21 Birchwood Lane</t>
        </is>
      </c>
      <c r="K375" s="1" t="inlineStr">
        <is>
          <t>Emerald Road</t>
        </is>
      </c>
      <c r="L375" s="1" t="inlineStr">
        <is>
          <t>PIN:384008 MILDURA</t>
        </is>
      </c>
      <c r="M375" s="2" t="inlineStr">
        <is>
          <t>MHA/IND/00374</t>
        </is>
      </c>
      <c r="N375" s="30" t="n">
        <v>45850</v>
      </c>
    </row>
    <row r="376" ht="30" customHeight="1">
      <c r="A376" s="28" t="n">
        <v>375</v>
      </c>
      <c r="B376" s="1" t="inlineStr">
        <is>
          <t>ANYA RAO</t>
        </is>
      </c>
      <c r="C376" s="30" t="n">
        <v>45679</v>
      </c>
      <c r="D376" s="1" t="inlineStr">
        <is>
          <t>ST ALBANS</t>
        </is>
      </c>
      <c r="E376" s="12" t="inlineStr">
        <is>
          <t>IND/MEL/00375</t>
        </is>
      </c>
      <c r="F376" s="1" t="inlineStr">
        <is>
          <t>F</t>
        </is>
      </c>
      <c r="G376" s="1" t="inlineStr">
        <is>
          <t>Neil Rao</t>
        </is>
      </c>
      <c r="H376" s="1" t="inlineStr">
        <is>
          <t>Tara Rao</t>
        </is>
      </c>
      <c r="I376" s="30" t="n">
        <v>45704</v>
      </c>
      <c r="J376" s="1" t="inlineStr">
        <is>
          <t>198 Birchwood Lane</t>
        </is>
      </c>
      <c r="K376" s="1" t="inlineStr">
        <is>
          <t>Emerald Road</t>
        </is>
      </c>
      <c r="L376" s="1" t="inlineStr">
        <is>
          <t>PIN:435572 ST ALBANS</t>
        </is>
      </c>
      <c r="M376" s="2" t="inlineStr">
        <is>
          <t>MHA/IND/00375</t>
        </is>
      </c>
      <c r="N376" s="30" t="n">
        <v>45888</v>
      </c>
    </row>
    <row r="377">
      <c r="A377" s="28" t="n">
        <v>376</v>
      </c>
      <c r="B377" s="1" t="inlineStr">
        <is>
          <t>DIYA MYRTHOS</t>
        </is>
      </c>
      <c r="C377" s="30" t="n">
        <v>45928</v>
      </c>
      <c r="D377" s="1" t="inlineStr">
        <is>
          <t>BENDIGO</t>
        </is>
      </c>
      <c r="E377" s="12" t="inlineStr">
        <is>
          <t>IND/MEL/00376</t>
        </is>
      </c>
      <c r="F377" s="1" t="inlineStr">
        <is>
          <t>F</t>
        </is>
      </c>
      <c r="G377" s="1" t="inlineStr">
        <is>
          <t>Rohit Myrthos</t>
        </is>
      </c>
      <c r="H377" s="1" t="inlineStr">
        <is>
          <t>Alya Myrthos</t>
        </is>
      </c>
      <c r="I377" s="30" t="n">
        <v>45960</v>
      </c>
      <c r="J377" s="1" t="inlineStr">
        <is>
          <t>157 Birchwood Lane</t>
        </is>
      </c>
      <c r="K377" s="1" t="inlineStr">
        <is>
          <t>Emerald Road</t>
        </is>
      </c>
      <c r="L377" s="1" t="inlineStr">
        <is>
          <t>PIN:557614 BENDIGO</t>
        </is>
      </c>
      <c r="M377" s="2" t="inlineStr">
        <is>
          <t>MHA/IND/00376</t>
        </is>
      </c>
      <c r="N377" s="30" t="n">
        <v>45881</v>
      </c>
    </row>
    <row r="378">
      <c r="A378" s="28" t="n">
        <v>377</v>
      </c>
      <c r="B378" s="1" t="inlineStr">
        <is>
          <t>DIYA RISHKAN</t>
        </is>
      </c>
      <c r="C378" s="30" t="n">
        <v>45947</v>
      </c>
      <c r="D378" s="1" t="inlineStr">
        <is>
          <t>WOLLONGONG</t>
        </is>
      </c>
      <c r="E378" s="12" t="inlineStr">
        <is>
          <t>IND/MEL/00377</t>
        </is>
      </c>
      <c r="F378" s="1" t="inlineStr">
        <is>
          <t>F</t>
        </is>
      </c>
      <c r="G378" s="1" t="inlineStr">
        <is>
          <t>Kabir Rishkan</t>
        </is>
      </c>
      <c r="H378" s="1" t="inlineStr">
        <is>
          <t>Nina Rishkan</t>
        </is>
      </c>
      <c r="I378" s="30" t="n">
        <v>46053</v>
      </c>
      <c r="J378" s="1" t="inlineStr">
        <is>
          <t>77 Birchwood Lane</t>
        </is>
      </c>
      <c r="K378" s="1" t="inlineStr">
        <is>
          <t>Emerald Road</t>
        </is>
      </c>
      <c r="L378" s="1" t="inlineStr">
        <is>
          <t>PIN:990720 WOLLONGONG</t>
        </is>
      </c>
      <c r="M378" s="2" t="inlineStr">
        <is>
          <t>MHA/IND/00377</t>
        </is>
      </c>
      <c r="N378" s="30" t="n">
        <v>45870</v>
      </c>
    </row>
    <row r="379">
      <c r="A379" s="28" t="n">
        <v>378</v>
      </c>
      <c r="B379" s="1" t="inlineStr">
        <is>
          <t>ANYA VALZARI</t>
        </is>
      </c>
      <c r="C379" s="30" t="n">
        <v>45765</v>
      </c>
      <c r="D379" s="1" t="inlineStr">
        <is>
          <t>WERRIBEE</t>
        </is>
      </c>
      <c r="E379" s="12" t="inlineStr">
        <is>
          <t>IND/MEL/00378</t>
        </is>
      </c>
      <c r="F379" s="1" t="inlineStr">
        <is>
          <t>F</t>
        </is>
      </c>
      <c r="G379" s="1" t="inlineStr">
        <is>
          <t>Neil Valzari</t>
        </is>
      </c>
      <c r="H379" s="1" t="inlineStr">
        <is>
          <t>Diya Valzari</t>
        </is>
      </c>
      <c r="I379" s="30" t="n">
        <v>45824</v>
      </c>
      <c r="J379" s="1" t="inlineStr">
        <is>
          <t>59 Birchwood Lane</t>
        </is>
      </c>
      <c r="K379" s="1" t="inlineStr">
        <is>
          <t>Emerald Road</t>
        </is>
      </c>
      <c r="L379" s="1" t="inlineStr">
        <is>
          <t>PIN:686666 WERRIBEE</t>
        </is>
      </c>
      <c r="M379" s="2" t="inlineStr">
        <is>
          <t>MHA/IND/00378</t>
        </is>
      </c>
      <c r="N379" s="30" t="n">
        <v>45879</v>
      </c>
    </row>
    <row r="380">
      <c r="A380" s="28" t="n">
        <v>379</v>
      </c>
      <c r="B380" s="1" t="inlineStr">
        <is>
          <t>DEV MYRTHOS</t>
        </is>
      </c>
      <c r="C380" s="30" t="n">
        <v>45887</v>
      </c>
      <c r="D380" s="1" t="inlineStr">
        <is>
          <t>MIDLAND</t>
        </is>
      </c>
      <c r="E380" s="12" t="inlineStr">
        <is>
          <t>IND/MEL/00379</t>
        </is>
      </c>
      <c r="F380" s="1" t="inlineStr">
        <is>
          <t>M</t>
        </is>
      </c>
      <c r="G380" s="1" t="inlineStr">
        <is>
          <t>Kabir Myrthos</t>
        </is>
      </c>
      <c r="H380" s="1" t="inlineStr">
        <is>
          <t>Mira Myrthos</t>
        </is>
      </c>
      <c r="I380" s="30" t="n">
        <v>45936</v>
      </c>
      <c r="J380" s="1" t="inlineStr">
        <is>
          <t>68 Birchwood Lane</t>
        </is>
      </c>
      <c r="K380" s="1" t="inlineStr">
        <is>
          <t>Emerald Road</t>
        </is>
      </c>
      <c r="L380" s="1" t="inlineStr">
        <is>
          <t>PIN:921614 MIDLAND</t>
        </is>
      </c>
      <c r="M380" s="2" t="inlineStr">
        <is>
          <t>MHA/IND/00379</t>
        </is>
      </c>
      <c r="N380" s="30" t="n">
        <v>45844</v>
      </c>
    </row>
    <row r="381" ht="30" customHeight="1">
      <c r="A381" s="28" t="n">
        <v>380</v>
      </c>
      <c r="B381" s="1" t="inlineStr">
        <is>
          <t>NINA MYRTHOS</t>
        </is>
      </c>
      <c r="C381" s="30" t="n">
        <v>45686</v>
      </c>
      <c r="D381" s="1" t="inlineStr">
        <is>
          <t>BUNDOORA</t>
        </is>
      </c>
      <c r="E381" s="12" t="inlineStr">
        <is>
          <t>IND/MEL/00380</t>
        </is>
      </c>
      <c r="F381" s="1" t="inlineStr">
        <is>
          <t>F</t>
        </is>
      </c>
      <c r="G381" s="1" t="inlineStr">
        <is>
          <t>Ishan Myrthos</t>
        </is>
      </c>
      <c r="H381" s="1" t="inlineStr">
        <is>
          <t>Alya Myrthos</t>
        </is>
      </c>
      <c r="I381" s="30" t="n">
        <v>45704</v>
      </c>
      <c r="J381" s="1" t="inlineStr">
        <is>
          <t>191 Birchwood Lane</t>
        </is>
      </c>
      <c r="K381" s="1" t="inlineStr">
        <is>
          <t>Emerald Road</t>
        </is>
      </c>
      <c r="L381" s="1" t="inlineStr">
        <is>
          <t>PIN:383372 BUNDOORA</t>
        </is>
      </c>
      <c r="M381" s="2" t="inlineStr">
        <is>
          <t>MHA/IND/00380</t>
        </is>
      </c>
      <c r="N381" s="30" t="n">
        <v>45898</v>
      </c>
    </row>
    <row r="382" ht="30" customHeight="1">
      <c r="A382" s="28" t="n">
        <v>381</v>
      </c>
      <c r="B382" s="1" t="inlineStr">
        <is>
          <t>ARJUN SINDALE</t>
        </is>
      </c>
      <c r="C382" s="30" t="n">
        <v>45768</v>
      </c>
      <c r="D382" s="1" t="inlineStr">
        <is>
          <t>ADELAIDE</t>
        </is>
      </c>
      <c r="E382" s="12" t="inlineStr">
        <is>
          <t>IND/MEL/00381</t>
        </is>
      </c>
      <c r="F382" s="1" t="inlineStr">
        <is>
          <t>M</t>
        </is>
      </c>
      <c r="G382" s="1" t="inlineStr">
        <is>
          <t>Aren Sindale</t>
        </is>
      </c>
      <c r="H382" s="1" t="inlineStr">
        <is>
          <t>Alya Sindale</t>
        </is>
      </c>
      <c r="I382" s="30" t="n">
        <v>45805</v>
      </c>
      <c r="J382" s="1" t="inlineStr">
        <is>
          <t>28 Birchwood Lane</t>
        </is>
      </c>
      <c r="K382" s="1" t="inlineStr">
        <is>
          <t>Emerald Road</t>
        </is>
      </c>
      <c r="L382" s="1" t="inlineStr">
        <is>
          <t>PIN:703922 ADELAIDE</t>
        </is>
      </c>
      <c r="M382" s="2" t="inlineStr">
        <is>
          <t>MHA/IND/00381</t>
        </is>
      </c>
      <c r="N382" s="30" t="n">
        <v>45853</v>
      </c>
    </row>
    <row r="383">
      <c r="A383" s="28" t="n">
        <v>382</v>
      </c>
      <c r="B383" s="1" t="inlineStr">
        <is>
          <t>DIYA SHARMA</t>
        </is>
      </c>
      <c r="C383" s="30" t="n">
        <v>45701</v>
      </c>
      <c r="D383" s="1" t="inlineStr">
        <is>
          <t>TOOWOOMBA</t>
        </is>
      </c>
      <c r="E383" s="12" t="inlineStr">
        <is>
          <t>IND/MEL/00382</t>
        </is>
      </c>
      <c r="F383" s="1" t="inlineStr">
        <is>
          <t>F</t>
        </is>
      </c>
      <c r="G383" s="1" t="inlineStr">
        <is>
          <t>Arjun Sharma</t>
        </is>
      </c>
      <c r="H383" s="1" t="inlineStr">
        <is>
          <t>Alya Sharma</t>
        </is>
      </c>
      <c r="I383" s="30" t="n">
        <v>45738</v>
      </c>
      <c r="J383" s="1" t="inlineStr">
        <is>
          <t>185 Birchwood Lane</t>
        </is>
      </c>
      <c r="K383" s="1" t="inlineStr">
        <is>
          <t>Emerald Road</t>
        </is>
      </c>
      <c r="L383" s="1" t="inlineStr">
        <is>
          <t>PIN:926264 TOOWOOMBA</t>
        </is>
      </c>
      <c r="M383" s="2" t="inlineStr">
        <is>
          <t>MHA/IND/00382</t>
        </is>
      </c>
      <c r="N383" s="30" t="n">
        <v>45841</v>
      </c>
    </row>
    <row r="384">
      <c r="A384" s="28" t="n">
        <v>383</v>
      </c>
      <c r="B384" s="1" t="inlineStr">
        <is>
          <t>ISHAN SINDALE</t>
        </is>
      </c>
      <c r="C384" s="30" t="n">
        <v>45709</v>
      </c>
      <c r="D384" s="1" t="inlineStr">
        <is>
          <t>PERTH</t>
        </is>
      </c>
      <c r="E384" s="12" t="inlineStr">
        <is>
          <t>IND/MEL/00383</t>
        </is>
      </c>
      <c r="F384" s="1" t="inlineStr">
        <is>
          <t>M</t>
        </is>
      </c>
      <c r="G384" s="1" t="inlineStr">
        <is>
          <t>Arjun Sindale</t>
        </is>
      </c>
      <c r="H384" s="1" t="inlineStr">
        <is>
          <t>Sara Sindale</t>
        </is>
      </c>
      <c r="I384" s="30" t="n">
        <v>45797</v>
      </c>
      <c r="J384" s="1" t="inlineStr">
        <is>
          <t>166 Birchwood Lane</t>
        </is>
      </c>
      <c r="K384" s="1" t="inlineStr">
        <is>
          <t>Emerald Road</t>
        </is>
      </c>
      <c r="L384" s="1" t="inlineStr">
        <is>
          <t>PIN:836568 PERTH</t>
        </is>
      </c>
      <c r="M384" s="2" t="inlineStr">
        <is>
          <t>MHA/IND/00383</t>
        </is>
      </c>
      <c r="N384" s="30" t="n">
        <v>45851</v>
      </c>
    </row>
    <row r="385">
      <c r="A385" s="28" t="n">
        <v>384</v>
      </c>
      <c r="B385" s="1" t="inlineStr">
        <is>
          <t>ALYA RAO</t>
        </is>
      </c>
      <c r="C385" s="30" t="n">
        <v>45811</v>
      </c>
      <c r="D385" s="1" t="inlineStr">
        <is>
          <t>NEWCASTLE</t>
        </is>
      </c>
      <c r="E385" s="12" t="inlineStr">
        <is>
          <t>IND/MEL/00384</t>
        </is>
      </c>
      <c r="F385" s="1" t="inlineStr">
        <is>
          <t>F</t>
        </is>
      </c>
      <c r="G385" s="1" t="inlineStr">
        <is>
          <t>Ishan Rao</t>
        </is>
      </c>
      <c r="H385" s="1" t="inlineStr">
        <is>
          <t>Diya Rao</t>
        </is>
      </c>
      <c r="I385" s="30" t="n">
        <v>45898</v>
      </c>
      <c r="J385" s="1" t="inlineStr">
        <is>
          <t>190 Birchwood Lane</t>
        </is>
      </c>
      <c r="K385" s="1" t="inlineStr">
        <is>
          <t>Emerald Road</t>
        </is>
      </c>
      <c r="L385" s="1" t="inlineStr">
        <is>
          <t>PIN:596001 NEWCASTLE</t>
        </is>
      </c>
      <c r="M385" s="2" t="inlineStr">
        <is>
          <t>MHA/IND/00384</t>
        </is>
      </c>
      <c r="N385" s="30" t="n">
        <v>45849</v>
      </c>
    </row>
    <row r="386">
      <c r="A386" s="28" t="n">
        <v>385</v>
      </c>
      <c r="B386" s="1" t="inlineStr">
        <is>
          <t>ISHAN SINDALE</t>
        </is>
      </c>
      <c r="C386" s="30" t="n">
        <v>45699</v>
      </c>
      <c r="D386" s="1" t="inlineStr">
        <is>
          <t>SHEPPARTON</t>
        </is>
      </c>
      <c r="E386" s="12" t="inlineStr">
        <is>
          <t>IND/MEL/00385</t>
        </is>
      </c>
      <c r="F386" s="1" t="inlineStr">
        <is>
          <t>M</t>
        </is>
      </c>
      <c r="G386" s="1" t="inlineStr">
        <is>
          <t>Kabir Sindale</t>
        </is>
      </c>
      <c r="H386" s="1" t="inlineStr">
        <is>
          <t>Tara Sindale</t>
        </is>
      </c>
      <c r="I386" s="30" t="n">
        <v>45721</v>
      </c>
      <c r="J386" s="1" t="inlineStr">
        <is>
          <t>189 Birchwood Lane</t>
        </is>
      </c>
      <c r="K386" s="1" t="inlineStr">
        <is>
          <t>Emerald Road</t>
        </is>
      </c>
      <c r="L386" s="1" t="inlineStr">
        <is>
          <t>PIN:454480 SHEPPARTON</t>
        </is>
      </c>
      <c r="M386" s="2" t="inlineStr">
        <is>
          <t>MHA/IND/00385</t>
        </is>
      </c>
      <c r="N386" s="30" t="n">
        <v>45883</v>
      </c>
    </row>
    <row r="387">
      <c r="A387" s="28" t="n">
        <v>386</v>
      </c>
      <c r="B387" s="1" t="inlineStr">
        <is>
          <t>ISHAN KALEON</t>
        </is>
      </c>
      <c r="C387" s="30" t="n">
        <v>45945</v>
      </c>
      <c r="D387" s="1" t="inlineStr">
        <is>
          <t>MOUNT WAVERLEY</t>
        </is>
      </c>
      <c r="E387" s="12" t="inlineStr">
        <is>
          <t>IND/MEL/00386</t>
        </is>
      </c>
      <c r="F387" s="1" t="inlineStr">
        <is>
          <t>M</t>
        </is>
      </c>
      <c r="G387" s="1" t="inlineStr">
        <is>
          <t>Aren Kaleon</t>
        </is>
      </c>
      <c r="H387" s="1" t="inlineStr">
        <is>
          <t>Nina Kaleon</t>
        </is>
      </c>
      <c r="I387" s="30" t="n">
        <v>46061</v>
      </c>
      <c r="J387" s="1" t="inlineStr">
        <is>
          <t>137 Birchwood Lane</t>
        </is>
      </c>
      <c r="K387" s="1" t="inlineStr">
        <is>
          <t>Emerald Road</t>
        </is>
      </c>
      <c r="L387" s="1" t="inlineStr">
        <is>
          <t>PIN:600100 MOUNT WAVERLEY</t>
        </is>
      </c>
      <c r="M387" s="2" t="inlineStr">
        <is>
          <t>MHA/IND/00386</t>
        </is>
      </c>
      <c r="N387" s="30" t="n">
        <v>45843</v>
      </c>
    </row>
    <row r="388">
      <c r="A388" s="28" t="n">
        <v>387</v>
      </c>
      <c r="B388" s="1" t="inlineStr">
        <is>
          <t>KIRAN MYRTHOS</t>
        </is>
      </c>
      <c r="C388" s="30" t="n">
        <v>45736</v>
      </c>
      <c r="D388" s="1" t="inlineStr">
        <is>
          <t>DEVONPORT</t>
        </is>
      </c>
      <c r="E388" s="12" t="inlineStr">
        <is>
          <t>IND/MEL/00387</t>
        </is>
      </c>
      <c r="F388" s="1" t="inlineStr">
        <is>
          <t>M</t>
        </is>
      </c>
      <c r="G388" s="1" t="inlineStr">
        <is>
          <t>Arjun Myrthos</t>
        </is>
      </c>
      <c r="H388" s="1" t="inlineStr">
        <is>
          <t>Mira Myrthos</t>
        </is>
      </c>
      <c r="I388" s="30" t="n">
        <v>45837</v>
      </c>
      <c r="J388" s="1" t="inlineStr">
        <is>
          <t>125 Birchwood Lane</t>
        </is>
      </c>
      <c r="K388" s="1" t="inlineStr">
        <is>
          <t>Emerald Road</t>
        </is>
      </c>
      <c r="L388" s="1" t="inlineStr">
        <is>
          <t>PIN:206474 DEVONPORT</t>
        </is>
      </c>
      <c r="M388" s="2" t="inlineStr">
        <is>
          <t>MHA/IND/00387</t>
        </is>
      </c>
      <c r="N388" s="30" t="n">
        <v>45862</v>
      </c>
    </row>
    <row r="389">
      <c r="A389" s="28" t="n">
        <v>388</v>
      </c>
      <c r="B389" s="1" t="inlineStr">
        <is>
          <t>ISHAN MYRTHOS</t>
        </is>
      </c>
      <c r="C389" s="30" t="n">
        <v>45828</v>
      </c>
      <c r="D389" s="1" t="inlineStr">
        <is>
          <t>BENDIGO</t>
        </is>
      </c>
      <c r="E389" s="12" t="inlineStr">
        <is>
          <t>IND/MEL/00388</t>
        </is>
      </c>
      <c r="F389" s="1" t="inlineStr">
        <is>
          <t>M</t>
        </is>
      </c>
      <c r="G389" s="1" t="inlineStr">
        <is>
          <t>Aren Myrthos</t>
        </is>
      </c>
      <c r="H389" s="1" t="inlineStr">
        <is>
          <t>Anya Myrthos</t>
        </is>
      </c>
      <c r="I389" s="30" t="n">
        <v>45844</v>
      </c>
      <c r="J389" s="1" t="inlineStr">
        <is>
          <t>153 Birchwood Lane</t>
        </is>
      </c>
      <c r="K389" s="1" t="inlineStr">
        <is>
          <t>Emerald Road</t>
        </is>
      </c>
      <c r="L389" s="1" t="inlineStr">
        <is>
          <t>PIN:734089 BENDIGO</t>
        </is>
      </c>
      <c r="M389" s="2" t="inlineStr">
        <is>
          <t>MHA/IND/00388</t>
        </is>
      </c>
      <c r="N389" s="30" t="n">
        <v>45844</v>
      </c>
    </row>
    <row r="390" ht="30" customHeight="1">
      <c r="A390" s="28" t="n">
        <v>389</v>
      </c>
      <c r="B390" s="1" t="inlineStr">
        <is>
          <t>AREN SINDALE</t>
        </is>
      </c>
      <c r="C390" s="30" t="n">
        <v>45838</v>
      </c>
      <c r="D390" s="1" t="inlineStr">
        <is>
          <t>SHEPPARTON</t>
        </is>
      </c>
      <c r="E390" s="12" t="inlineStr">
        <is>
          <t>IND/MEL/00389</t>
        </is>
      </c>
      <c r="F390" s="1" t="inlineStr">
        <is>
          <t>M</t>
        </is>
      </c>
      <c r="G390" s="1" t="inlineStr">
        <is>
          <t>Kiran Sindale</t>
        </is>
      </c>
      <c r="H390" s="1" t="inlineStr">
        <is>
          <t>Tara Sindale</t>
        </is>
      </c>
      <c r="I390" s="30" t="n">
        <v>45918</v>
      </c>
      <c r="J390" s="1" t="inlineStr">
        <is>
          <t>62 Birchwood Lane</t>
        </is>
      </c>
      <c r="K390" s="1" t="inlineStr">
        <is>
          <t>Emerald Road</t>
        </is>
      </c>
      <c r="L390" s="1" t="inlineStr">
        <is>
          <t>PIN:334715 SHEPPARTON</t>
        </is>
      </c>
      <c r="M390" s="2" t="inlineStr">
        <is>
          <t>MHA/IND/00389</t>
        </is>
      </c>
      <c r="N390" s="30" t="n">
        <v>45890</v>
      </c>
    </row>
    <row r="391">
      <c r="A391" s="28" t="n">
        <v>390</v>
      </c>
      <c r="B391" s="1" t="inlineStr">
        <is>
          <t>ARJUN SHARMA</t>
        </is>
      </c>
      <c r="C391" s="30" t="n">
        <v>45900</v>
      </c>
      <c r="D391" s="1" t="inlineStr">
        <is>
          <t>WODONGA</t>
        </is>
      </c>
      <c r="E391" s="12" t="inlineStr">
        <is>
          <t>IND/MEL/00390</t>
        </is>
      </c>
      <c r="F391" s="1" t="inlineStr">
        <is>
          <t>M</t>
        </is>
      </c>
      <c r="G391" s="1" t="inlineStr">
        <is>
          <t>Dev Sharma</t>
        </is>
      </c>
      <c r="H391" s="1" t="inlineStr">
        <is>
          <t>Riya Sharma</t>
        </is>
      </c>
      <c r="I391" s="30" t="n">
        <v>45984</v>
      </c>
      <c r="J391" s="1" t="inlineStr">
        <is>
          <t>93 Birchwood Lane</t>
        </is>
      </c>
      <c r="K391" s="1" t="inlineStr">
        <is>
          <t>Emerald Road</t>
        </is>
      </c>
      <c r="L391" s="1" t="inlineStr">
        <is>
          <t>PIN:490957 WODONGA</t>
        </is>
      </c>
      <c r="M391" s="2" t="inlineStr">
        <is>
          <t>MHA/IND/00390</t>
        </is>
      </c>
      <c r="N391" s="30" t="n">
        <v>45846</v>
      </c>
    </row>
    <row r="392">
      <c r="A392" s="28" t="n">
        <v>391</v>
      </c>
      <c r="B392" s="1" t="inlineStr">
        <is>
          <t>ALYA RAO</t>
        </is>
      </c>
      <c r="C392" s="30" t="n">
        <v>45953</v>
      </c>
      <c r="D392" s="1" t="inlineStr">
        <is>
          <t>PENRITH</t>
        </is>
      </c>
      <c r="E392" s="12" t="inlineStr">
        <is>
          <t>IND/MEL/00391</t>
        </is>
      </c>
      <c r="F392" s="1" t="inlineStr">
        <is>
          <t>F</t>
        </is>
      </c>
      <c r="G392" s="1" t="inlineStr">
        <is>
          <t>Neil Rao</t>
        </is>
      </c>
      <c r="H392" s="1" t="inlineStr">
        <is>
          <t>Mira Rao</t>
        </is>
      </c>
      <c r="I392" s="30" t="n">
        <v>45959</v>
      </c>
      <c r="J392" s="1" t="inlineStr">
        <is>
          <t>159 Birchwood Lane</t>
        </is>
      </c>
      <c r="K392" s="1" t="inlineStr">
        <is>
          <t>Emerald Road</t>
        </is>
      </c>
      <c r="L392" s="1" t="inlineStr">
        <is>
          <t>PIN:895389 PENRITH</t>
        </is>
      </c>
      <c r="M392" s="2" t="inlineStr">
        <is>
          <t>MHA/IND/00391</t>
        </is>
      </c>
      <c r="N392" s="30" t="n">
        <v>45845</v>
      </c>
    </row>
    <row r="393">
      <c r="A393" s="28" t="n">
        <v>392</v>
      </c>
      <c r="B393" s="1" t="inlineStr">
        <is>
          <t>DIYA KALEON</t>
        </is>
      </c>
      <c r="C393" s="30" t="n">
        <v>45774</v>
      </c>
      <c r="D393" s="1" t="inlineStr">
        <is>
          <t>WODONGA</t>
        </is>
      </c>
      <c r="E393" s="12" t="inlineStr">
        <is>
          <t>IND/MEL/00392</t>
        </is>
      </c>
      <c r="F393" s="1" t="inlineStr">
        <is>
          <t>F</t>
        </is>
      </c>
      <c r="G393" s="1" t="inlineStr">
        <is>
          <t>Ishan Kaleon</t>
        </is>
      </c>
      <c r="H393" s="1" t="inlineStr">
        <is>
          <t>Alya Kaleon</t>
        </is>
      </c>
      <c r="I393" s="30" t="n">
        <v>45805</v>
      </c>
      <c r="J393" s="1" t="inlineStr">
        <is>
          <t>21 Birchwood Lane</t>
        </is>
      </c>
      <c r="K393" s="1" t="inlineStr">
        <is>
          <t>Emerald Road</t>
        </is>
      </c>
      <c r="L393" s="1" t="inlineStr">
        <is>
          <t>PIN:899035 WODONGA</t>
        </is>
      </c>
      <c r="M393" s="2" t="inlineStr">
        <is>
          <t>MHA/IND/00392</t>
        </is>
      </c>
      <c r="N393" s="30" t="n">
        <v>45898</v>
      </c>
    </row>
    <row r="394">
      <c r="A394" s="28" t="n">
        <v>393</v>
      </c>
      <c r="B394" s="1" t="inlineStr">
        <is>
          <t>ANYA RAO</t>
        </is>
      </c>
      <c r="C394" s="30" t="n">
        <v>45936</v>
      </c>
      <c r="D394" s="1" t="inlineStr">
        <is>
          <t>IPSWICH</t>
        </is>
      </c>
      <c r="E394" s="12" t="inlineStr">
        <is>
          <t>IND/MEL/00393</t>
        </is>
      </c>
      <c r="F394" s="1" t="inlineStr">
        <is>
          <t>F</t>
        </is>
      </c>
      <c r="G394" s="1" t="inlineStr">
        <is>
          <t>Neil Rao</t>
        </is>
      </c>
      <c r="H394" s="1" t="inlineStr">
        <is>
          <t>Diya Rao</t>
        </is>
      </c>
      <c r="I394" s="30" t="n">
        <v>45992</v>
      </c>
      <c r="J394" s="1" t="inlineStr">
        <is>
          <t>125 Birchwood Lane</t>
        </is>
      </c>
      <c r="K394" s="1" t="inlineStr">
        <is>
          <t>Emerald Road</t>
        </is>
      </c>
      <c r="L394" s="1" t="inlineStr">
        <is>
          <t>PIN:344922 IPSWICH</t>
        </is>
      </c>
      <c r="M394" s="2" t="inlineStr">
        <is>
          <t>MHA/IND/00393</t>
        </is>
      </c>
      <c r="N394" s="30" t="n">
        <v>45877</v>
      </c>
    </row>
    <row r="395" ht="30" customHeight="1">
      <c r="A395" s="28" t="n">
        <v>394</v>
      </c>
      <c r="B395" s="1" t="inlineStr">
        <is>
          <t>NINA KALEON</t>
        </is>
      </c>
      <c r="C395" s="30" t="n">
        <v>45743</v>
      </c>
      <c r="D395" s="1" t="inlineStr">
        <is>
          <t>BERWICK</t>
        </is>
      </c>
      <c r="E395" s="12" t="inlineStr">
        <is>
          <t>IND/MEL/00394</t>
        </is>
      </c>
      <c r="F395" s="1" t="inlineStr">
        <is>
          <t>F</t>
        </is>
      </c>
      <c r="G395" s="1" t="inlineStr">
        <is>
          <t>Arjun Kaleon</t>
        </is>
      </c>
      <c r="H395" s="1" t="inlineStr">
        <is>
          <t>Anya Kaleon</t>
        </is>
      </c>
      <c r="I395" s="30" t="n">
        <v>45754</v>
      </c>
      <c r="J395" s="1" t="inlineStr">
        <is>
          <t>68 Birchwood Lane</t>
        </is>
      </c>
      <c r="K395" s="1" t="inlineStr">
        <is>
          <t>Emerald Road</t>
        </is>
      </c>
      <c r="L395" s="1" t="inlineStr">
        <is>
          <t>PIN:360661 BERWICK</t>
        </is>
      </c>
      <c r="M395" s="2" t="inlineStr">
        <is>
          <t>MHA/IND/00394</t>
        </is>
      </c>
      <c r="N395" s="30" t="n">
        <v>45872</v>
      </c>
    </row>
    <row r="396">
      <c r="A396" s="28" t="n">
        <v>395</v>
      </c>
      <c r="B396" s="1" t="inlineStr">
        <is>
          <t>ANYA MYRTHOS</t>
        </is>
      </c>
      <c r="C396" s="30" t="n">
        <v>45950</v>
      </c>
      <c r="D396" s="1" t="inlineStr">
        <is>
          <t>CANBERRA</t>
        </is>
      </c>
      <c r="E396" s="12" t="inlineStr">
        <is>
          <t>IND/MEL/00395</t>
        </is>
      </c>
      <c r="F396" s="1" t="inlineStr">
        <is>
          <t>F</t>
        </is>
      </c>
      <c r="G396" s="1" t="inlineStr">
        <is>
          <t>Arjun Myrthos</t>
        </is>
      </c>
      <c r="H396" s="1" t="inlineStr">
        <is>
          <t>Nina Myrthos</t>
        </is>
      </c>
      <c r="I396" s="30" t="n">
        <v>45969</v>
      </c>
      <c r="J396" s="1" t="inlineStr">
        <is>
          <t>196 Birchwood Lane</t>
        </is>
      </c>
      <c r="K396" s="1" t="inlineStr">
        <is>
          <t>Emerald Road</t>
        </is>
      </c>
      <c r="L396" s="1" t="inlineStr">
        <is>
          <t>PIN:308984 CANBERRA</t>
        </is>
      </c>
      <c r="M396" s="2" t="inlineStr">
        <is>
          <t>MHA/IND/00395</t>
        </is>
      </c>
      <c r="N396" s="30" t="n">
        <v>45840</v>
      </c>
    </row>
    <row r="397">
      <c r="A397" s="28" t="n">
        <v>396</v>
      </c>
      <c r="B397" s="1" t="inlineStr">
        <is>
          <t>ANYA KALEON</t>
        </is>
      </c>
      <c r="C397" s="30" t="n">
        <v>45659</v>
      </c>
      <c r="D397" s="1" t="inlineStr">
        <is>
          <t>CLAYTON</t>
        </is>
      </c>
      <c r="E397" s="12" t="inlineStr">
        <is>
          <t>IND/MEL/00396</t>
        </is>
      </c>
      <c r="F397" s="1" t="inlineStr">
        <is>
          <t>F</t>
        </is>
      </c>
      <c r="G397" s="1" t="inlineStr">
        <is>
          <t>Aren Kaleon</t>
        </is>
      </c>
      <c r="H397" s="1" t="inlineStr">
        <is>
          <t>Alya Kaleon</t>
        </is>
      </c>
      <c r="I397" s="30" t="n">
        <v>45686</v>
      </c>
      <c r="J397" s="1" t="inlineStr">
        <is>
          <t>37 Birchwood Lane</t>
        </is>
      </c>
      <c r="K397" s="1" t="inlineStr">
        <is>
          <t>Emerald Road</t>
        </is>
      </c>
      <c r="L397" s="1" t="inlineStr">
        <is>
          <t>PIN:907143 CLAYTON</t>
        </is>
      </c>
      <c r="M397" s="2" t="inlineStr">
        <is>
          <t>MHA/IND/00396</t>
        </is>
      </c>
      <c r="N397" s="30" t="n">
        <v>45858</v>
      </c>
    </row>
    <row r="398">
      <c r="A398" s="28" t="n">
        <v>397</v>
      </c>
      <c r="B398" s="1" t="inlineStr">
        <is>
          <t>RIYA MYRTHOS</t>
        </is>
      </c>
      <c r="C398" s="30" t="n">
        <v>45841</v>
      </c>
      <c r="D398" s="1" t="inlineStr">
        <is>
          <t>BRISBANE</t>
        </is>
      </c>
      <c r="E398" s="12" t="inlineStr">
        <is>
          <t>IND/MEL/00397</t>
        </is>
      </c>
      <c r="F398" s="1" t="inlineStr">
        <is>
          <t>F</t>
        </is>
      </c>
      <c r="G398" s="1" t="inlineStr">
        <is>
          <t>Aren Myrthos</t>
        </is>
      </c>
      <c r="H398" s="1" t="inlineStr">
        <is>
          <t>Sara Myrthos</t>
        </is>
      </c>
      <c r="I398" s="30" t="n">
        <v>45924</v>
      </c>
      <c r="J398" s="1" t="inlineStr">
        <is>
          <t>78 Birchwood Lane</t>
        </is>
      </c>
      <c r="K398" s="1" t="inlineStr">
        <is>
          <t>Emerald Road</t>
        </is>
      </c>
      <c r="L398" s="1" t="inlineStr">
        <is>
          <t>PIN:350260 BRISBANE</t>
        </is>
      </c>
      <c r="M398" s="2" t="inlineStr">
        <is>
          <t>MHA/IND/00397</t>
        </is>
      </c>
      <c r="N398" s="30" t="n">
        <v>45859</v>
      </c>
    </row>
    <row r="399">
      <c r="A399" s="28" t="n">
        <v>398</v>
      </c>
      <c r="B399" s="1" t="inlineStr">
        <is>
          <t>NEIL KALEON</t>
        </is>
      </c>
      <c r="C399" s="30" t="n">
        <v>45835</v>
      </c>
      <c r="D399" s="1" t="inlineStr">
        <is>
          <t>KINGSWOOD</t>
        </is>
      </c>
      <c r="E399" s="12" t="inlineStr">
        <is>
          <t>IND/MEL/00398</t>
        </is>
      </c>
      <c r="F399" s="1" t="inlineStr">
        <is>
          <t>M</t>
        </is>
      </c>
      <c r="G399" s="1" t="inlineStr">
        <is>
          <t>Kiran Kaleon</t>
        </is>
      </c>
      <c r="H399" s="1" t="inlineStr">
        <is>
          <t>Diya Kaleon</t>
        </is>
      </c>
      <c r="I399" s="30" t="n">
        <v>45893</v>
      </c>
      <c r="J399" s="1" t="inlineStr">
        <is>
          <t>112 Birchwood Lane</t>
        </is>
      </c>
      <c r="K399" s="1" t="inlineStr">
        <is>
          <t>Emerald Road</t>
        </is>
      </c>
      <c r="L399" s="1" t="inlineStr">
        <is>
          <t>PIN:337234 KINGSWOOD</t>
        </is>
      </c>
      <c r="M399" s="2" t="inlineStr">
        <is>
          <t>MHA/IND/00398</t>
        </is>
      </c>
      <c r="N399" s="30" t="n">
        <v>45846</v>
      </c>
    </row>
    <row r="400">
      <c r="A400" s="28" t="n">
        <v>399</v>
      </c>
      <c r="B400" s="1" t="inlineStr">
        <is>
          <t>KABIR SHARMA</t>
        </is>
      </c>
      <c r="C400" s="30" t="n">
        <v>45926</v>
      </c>
      <c r="D400" s="1" t="inlineStr">
        <is>
          <t>CAMPBELLTOWN</t>
        </is>
      </c>
      <c r="E400" s="12" t="inlineStr">
        <is>
          <t>IND/MEL/00399</t>
        </is>
      </c>
      <c r="F400" s="1" t="inlineStr">
        <is>
          <t>M</t>
        </is>
      </c>
      <c r="G400" s="1" t="inlineStr">
        <is>
          <t>Arjun Sharma</t>
        </is>
      </c>
      <c r="H400" s="1" t="inlineStr">
        <is>
          <t>Mira Sharma</t>
        </is>
      </c>
      <c r="I400" s="30" t="n">
        <v>45969</v>
      </c>
      <c r="J400" s="1" t="inlineStr">
        <is>
          <t>84 Birchwood Lane</t>
        </is>
      </c>
      <c r="K400" s="1" t="inlineStr">
        <is>
          <t>Emerald Road</t>
        </is>
      </c>
      <c r="L400" s="1" t="inlineStr">
        <is>
          <t>PIN:403707 CAMPBELLTOWN</t>
        </is>
      </c>
      <c r="M400" s="2" t="inlineStr">
        <is>
          <t>MHA/IND/00399</t>
        </is>
      </c>
      <c r="N400" s="30" t="n">
        <v>45896</v>
      </c>
    </row>
    <row r="401">
      <c r="A401" s="28" t="n">
        <v>400</v>
      </c>
      <c r="B401" s="1" t="inlineStr">
        <is>
          <t>ANYA RISHKAN</t>
        </is>
      </c>
      <c r="C401" s="30" t="n">
        <v>45663</v>
      </c>
      <c r="D401" s="1" t="inlineStr">
        <is>
          <t>BERWICK</t>
        </is>
      </c>
      <c r="E401" s="12" t="inlineStr">
        <is>
          <t>IND/MEL/00400</t>
        </is>
      </c>
      <c r="F401" s="1" t="inlineStr">
        <is>
          <t>F</t>
        </is>
      </c>
      <c r="G401" s="1" t="inlineStr">
        <is>
          <t>Arjun Rishkan</t>
        </is>
      </c>
      <c r="H401" s="1" t="inlineStr">
        <is>
          <t>Mira Rishkan</t>
        </is>
      </c>
      <c r="I401" s="30" t="n">
        <v>45730</v>
      </c>
      <c r="J401" s="1" t="inlineStr">
        <is>
          <t>61 Birchwood Lane</t>
        </is>
      </c>
      <c r="K401" s="1" t="inlineStr">
        <is>
          <t>Emerald Road</t>
        </is>
      </c>
      <c r="L401" s="1" t="inlineStr">
        <is>
          <t>PIN:379882 BERWICK</t>
        </is>
      </c>
      <c r="M401" s="2" t="inlineStr">
        <is>
          <t>MHA/IND/00400</t>
        </is>
      </c>
      <c r="N401" s="30" t="n">
        <v>45848</v>
      </c>
    </row>
    <row r="402" ht="30" customHeight="1">
      <c r="A402" s="28" t="n">
        <v>401</v>
      </c>
      <c r="B402" s="1" t="inlineStr">
        <is>
          <t>ISHAN RAO</t>
        </is>
      </c>
      <c r="C402" s="30" t="n">
        <v>45706</v>
      </c>
      <c r="D402" s="1" t="inlineStr">
        <is>
          <t>PERTH</t>
        </is>
      </c>
      <c r="E402" s="12" t="inlineStr">
        <is>
          <t>IND/MEL/00401</t>
        </is>
      </c>
      <c r="F402" s="1" t="inlineStr">
        <is>
          <t>M</t>
        </is>
      </c>
      <c r="G402" s="1" t="inlineStr">
        <is>
          <t>Arjun Rao</t>
        </is>
      </c>
      <c r="H402" s="1" t="inlineStr">
        <is>
          <t>Mira Rao</t>
        </is>
      </c>
      <c r="I402" s="30" t="n">
        <v>45815</v>
      </c>
      <c r="J402" s="1" t="inlineStr">
        <is>
          <t>15 Birchwood Lane</t>
        </is>
      </c>
      <c r="K402" s="1" t="inlineStr">
        <is>
          <t>Emerald Road</t>
        </is>
      </c>
      <c r="L402" s="1" t="inlineStr">
        <is>
          <t>PIN:909065 PERTH</t>
        </is>
      </c>
      <c r="M402" s="2" t="inlineStr">
        <is>
          <t>MHA/IND/00401</t>
        </is>
      </c>
      <c r="N402" s="30" t="n">
        <v>45884</v>
      </c>
    </row>
    <row r="403" ht="30" customHeight="1">
      <c r="A403" s="28" t="n">
        <v>402</v>
      </c>
      <c r="B403" s="1" t="inlineStr">
        <is>
          <t>DIYA SHARMA</t>
        </is>
      </c>
      <c r="C403" s="30" t="n">
        <v>45854</v>
      </c>
      <c r="D403" s="1" t="inlineStr">
        <is>
          <t>TRARALGON</t>
        </is>
      </c>
      <c r="E403" s="12" t="inlineStr">
        <is>
          <t>IND/MEL/00402</t>
        </is>
      </c>
      <c r="F403" s="1" t="inlineStr">
        <is>
          <t>F</t>
        </is>
      </c>
      <c r="G403" s="1" t="inlineStr">
        <is>
          <t>Rohit Sharma</t>
        </is>
      </c>
      <c r="H403" s="1" t="inlineStr">
        <is>
          <t>Anya Sharma</t>
        </is>
      </c>
      <c r="I403" s="30" t="n">
        <v>45971</v>
      </c>
      <c r="J403" s="1" t="inlineStr">
        <is>
          <t>105 Birchwood Lane</t>
        </is>
      </c>
      <c r="K403" s="1" t="inlineStr">
        <is>
          <t>Emerald Road</t>
        </is>
      </c>
      <c r="L403" s="1" t="inlineStr">
        <is>
          <t>PIN:749689 TRARALGON</t>
        </is>
      </c>
      <c r="M403" s="2" t="inlineStr">
        <is>
          <t>MHA/IND/00402</t>
        </is>
      </c>
      <c r="N403" s="30" t="n">
        <v>45872</v>
      </c>
    </row>
    <row r="404" ht="30" customHeight="1">
      <c r="A404" s="28" t="n">
        <v>403</v>
      </c>
      <c r="B404" s="1" t="inlineStr">
        <is>
          <t>SARA KALEON</t>
        </is>
      </c>
      <c r="C404" s="30" t="n">
        <v>45946</v>
      </c>
      <c r="D404" s="1" t="inlineStr">
        <is>
          <t>BRISBANE</t>
        </is>
      </c>
      <c r="E404" s="12" t="inlineStr">
        <is>
          <t>IND/MEL/00403</t>
        </is>
      </c>
      <c r="F404" s="1" t="inlineStr">
        <is>
          <t>F</t>
        </is>
      </c>
      <c r="G404" s="1" t="inlineStr">
        <is>
          <t>Ishan Kaleon</t>
        </is>
      </c>
      <c r="H404" s="1" t="inlineStr">
        <is>
          <t>Nina Kaleon</t>
        </is>
      </c>
      <c r="I404" s="30" t="n">
        <v>46009</v>
      </c>
      <c r="J404" s="1" t="inlineStr">
        <is>
          <t>151 Birchwood Lane</t>
        </is>
      </c>
      <c r="K404" s="1" t="inlineStr">
        <is>
          <t>Emerald Road</t>
        </is>
      </c>
      <c r="L404" s="1" t="inlineStr">
        <is>
          <t>PIN:690803 BRISBANE</t>
        </is>
      </c>
      <c r="M404" s="2" t="inlineStr">
        <is>
          <t>MHA/IND/00403</t>
        </is>
      </c>
      <c r="N404" s="30" t="n">
        <v>45841</v>
      </c>
    </row>
    <row r="405" ht="30" customHeight="1">
      <c r="A405" s="28" t="n">
        <v>404</v>
      </c>
      <c r="B405" s="1" t="inlineStr">
        <is>
          <t>KABIR RAO</t>
        </is>
      </c>
      <c r="C405" s="30" t="n">
        <v>45940</v>
      </c>
      <c r="D405" s="1" t="inlineStr">
        <is>
          <t>GEELONG</t>
        </is>
      </c>
      <c r="E405" s="12" t="inlineStr">
        <is>
          <t>IND/MEL/00404</t>
        </is>
      </c>
      <c r="F405" s="1" t="inlineStr">
        <is>
          <t>M</t>
        </is>
      </c>
      <c r="G405" s="1" t="inlineStr">
        <is>
          <t>Neil Rao</t>
        </is>
      </c>
      <c r="H405" s="1" t="inlineStr">
        <is>
          <t>Riya Rao</t>
        </is>
      </c>
      <c r="I405" s="30" t="n">
        <v>46053</v>
      </c>
      <c r="J405" s="1" t="inlineStr">
        <is>
          <t>28 Birchwood Lane</t>
        </is>
      </c>
      <c r="K405" s="1" t="inlineStr">
        <is>
          <t>Emerald Road</t>
        </is>
      </c>
      <c r="L405" s="1" t="inlineStr">
        <is>
          <t>PIN:862049 GEELONG</t>
        </is>
      </c>
      <c r="M405" s="2" t="inlineStr">
        <is>
          <t>MHA/IND/00404</t>
        </is>
      </c>
      <c r="N405" s="30" t="n">
        <v>45845</v>
      </c>
    </row>
    <row r="406" ht="30" customHeight="1">
      <c r="A406" s="28" t="n">
        <v>405</v>
      </c>
      <c r="B406" s="1" t="inlineStr">
        <is>
          <t>NEIL SHARMA</t>
        </is>
      </c>
      <c r="C406" s="30" t="n">
        <v>45698</v>
      </c>
      <c r="D406" s="1" t="inlineStr">
        <is>
          <t>WONTHAGGI</t>
        </is>
      </c>
      <c r="E406" s="12" t="inlineStr">
        <is>
          <t>IND/MEL/00405</t>
        </is>
      </c>
      <c r="F406" s="1" t="inlineStr">
        <is>
          <t>M</t>
        </is>
      </c>
      <c r="G406" s="1" t="inlineStr">
        <is>
          <t>Aren Sharma</t>
        </is>
      </c>
      <c r="H406" s="1" t="inlineStr">
        <is>
          <t>Tara Sharma</t>
        </is>
      </c>
      <c r="I406" s="30" t="n">
        <v>45746</v>
      </c>
      <c r="J406" s="1" t="inlineStr">
        <is>
          <t>49 Birchwood Lane</t>
        </is>
      </c>
      <c r="K406" s="1" t="inlineStr">
        <is>
          <t>Emerald Road</t>
        </is>
      </c>
      <c r="L406" s="1" t="inlineStr">
        <is>
          <t>PIN:481640 WONTHAGGI</t>
        </is>
      </c>
      <c r="M406" s="2" t="inlineStr">
        <is>
          <t>MHA/IND/00405</t>
        </is>
      </c>
      <c r="N406" s="30" t="n">
        <v>45876</v>
      </c>
    </row>
    <row r="407">
      <c r="A407" s="28" t="n">
        <v>406</v>
      </c>
      <c r="B407" s="1" t="inlineStr">
        <is>
          <t>NINA RAO</t>
        </is>
      </c>
      <c r="C407" s="30" t="n">
        <v>45786</v>
      </c>
      <c r="D407" s="1" t="inlineStr">
        <is>
          <t>BELCONNEN</t>
        </is>
      </c>
      <c r="E407" s="12" t="inlineStr">
        <is>
          <t>IND/MEL/00406</t>
        </is>
      </c>
      <c r="F407" s="1" t="inlineStr">
        <is>
          <t>F</t>
        </is>
      </c>
      <c r="G407" s="1" t="inlineStr">
        <is>
          <t>Neil Rao</t>
        </is>
      </c>
      <c r="H407" s="1" t="inlineStr">
        <is>
          <t>Anya Rao</t>
        </is>
      </c>
      <c r="I407" s="30" t="n">
        <v>45815</v>
      </c>
      <c r="J407" s="1" t="inlineStr">
        <is>
          <t>139 Birchwood Lane</t>
        </is>
      </c>
      <c r="K407" s="1" t="inlineStr">
        <is>
          <t>Emerald Road</t>
        </is>
      </c>
      <c r="L407" s="1" t="inlineStr">
        <is>
          <t>PIN:562907 BELCONNEN</t>
        </is>
      </c>
      <c r="M407" s="2" t="inlineStr">
        <is>
          <t>MHA/IND/00406</t>
        </is>
      </c>
      <c r="N407" s="30" t="n">
        <v>45890</v>
      </c>
    </row>
    <row r="408">
      <c r="A408" s="28" t="n">
        <v>407</v>
      </c>
      <c r="B408" s="1" t="inlineStr">
        <is>
          <t>ANYA VALZARI</t>
        </is>
      </c>
      <c r="C408" s="30" t="n">
        <v>45828</v>
      </c>
      <c r="D408" s="1" t="inlineStr">
        <is>
          <t>ST ALBANS</t>
        </is>
      </c>
      <c r="E408" s="12" t="inlineStr">
        <is>
          <t>IND/MEL/00407</t>
        </is>
      </c>
      <c r="F408" s="1" t="inlineStr">
        <is>
          <t>F</t>
        </is>
      </c>
      <c r="G408" s="1" t="inlineStr">
        <is>
          <t>Dev Valzari</t>
        </is>
      </c>
      <c r="H408" s="1" t="inlineStr">
        <is>
          <t>Tara Valzari</t>
        </is>
      </c>
      <c r="I408" s="30" t="n">
        <v>45852</v>
      </c>
      <c r="J408" s="1" t="inlineStr">
        <is>
          <t>121 Birchwood Lane</t>
        </is>
      </c>
      <c r="K408" s="1" t="inlineStr">
        <is>
          <t>Emerald Road</t>
        </is>
      </c>
      <c r="L408" s="1" t="inlineStr">
        <is>
          <t>PIN:447933 ST ALBANS</t>
        </is>
      </c>
      <c r="M408" s="2" t="inlineStr">
        <is>
          <t>MHA/IND/00407</t>
        </is>
      </c>
      <c r="N408" s="30" t="n">
        <v>45898</v>
      </c>
    </row>
    <row r="409">
      <c r="A409" s="28" t="n">
        <v>408</v>
      </c>
      <c r="B409" s="1" t="inlineStr">
        <is>
          <t>NINA RISHKAN</t>
        </is>
      </c>
      <c r="C409" s="30" t="n">
        <v>45699</v>
      </c>
      <c r="D409" s="1" t="inlineStr">
        <is>
          <t>TOWNSVILLE</t>
        </is>
      </c>
      <c r="E409" s="12" t="inlineStr">
        <is>
          <t>IND/MEL/00408</t>
        </is>
      </c>
      <c r="F409" s="1" t="inlineStr">
        <is>
          <t>F</t>
        </is>
      </c>
      <c r="G409" s="1" t="inlineStr">
        <is>
          <t>Rohit Rishkan</t>
        </is>
      </c>
      <c r="H409" s="1" t="inlineStr">
        <is>
          <t>Diya Rishkan</t>
        </is>
      </c>
      <c r="I409" s="30" t="n">
        <v>45809</v>
      </c>
      <c r="J409" s="1" t="inlineStr">
        <is>
          <t>13 Birchwood Lane</t>
        </is>
      </c>
      <c r="K409" s="1" t="inlineStr">
        <is>
          <t>Emerald Road</t>
        </is>
      </c>
      <c r="L409" s="1" t="inlineStr">
        <is>
          <t>PIN:803740 TOWNSVILLE</t>
        </is>
      </c>
      <c r="M409" s="2" t="inlineStr">
        <is>
          <t>MHA/IND/00408</t>
        </is>
      </c>
      <c r="N409" s="30" t="n">
        <v>45866</v>
      </c>
    </row>
    <row r="410">
      <c r="A410" s="28" t="n">
        <v>409</v>
      </c>
      <c r="B410" s="1" t="inlineStr">
        <is>
          <t>MIRA KALEON</t>
        </is>
      </c>
      <c r="C410" s="30" t="n">
        <v>45703</v>
      </c>
      <c r="D410" s="1" t="inlineStr">
        <is>
          <t>WOLLONGONG</t>
        </is>
      </c>
      <c r="E410" s="12" t="inlineStr">
        <is>
          <t>IND/MEL/00409</t>
        </is>
      </c>
      <c r="F410" s="1" t="inlineStr">
        <is>
          <t>F</t>
        </is>
      </c>
      <c r="G410" s="1" t="inlineStr">
        <is>
          <t>Kabir Kaleon</t>
        </is>
      </c>
      <c r="H410" s="1" t="inlineStr">
        <is>
          <t>Riya Kaleon</t>
        </is>
      </c>
      <c r="I410" s="30" t="n">
        <v>45820</v>
      </c>
      <c r="J410" s="1" t="inlineStr">
        <is>
          <t>31 Birchwood Lane</t>
        </is>
      </c>
      <c r="K410" s="1" t="inlineStr">
        <is>
          <t>Emerald Road</t>
        </is>
      </c>
      <c r="L410" s="1" t="inlineStr">
        <is>
          <t>PIN:595547 WOLLONGONG</t>
        </is>
      </c>
      <c r="M410" s="2" t="inlineStr">
        <is>
          <t>MHA/IND/00409</t>
        </is>
      </c>
      <c r="N410" s="30" t="n">
        <v>45897</v>
      </c>
    </row>
    <row r="411">
      <c r="A411" s="28" t="n">
        <v>410</v>
      </c>
      <c r="B411" s="1" t="inlineStr">
        <is>
          <t>ROHIT MYRTHOS</t>
        </is>
      </c>
      <c r="C411" s="30" t="n">
        <v>45737</v>
      </c>
      <c r="D411" s="1" t="inlineStr">
        <is>
          <t>CAMPBELLTOWN</t>
        </is>
      </c>
      <c r="E411" s="12" t="inlineStr">
        <is>
          <t>IND/MEL/00410</t>
        </is>
      </c>
      <c r="F411" s="1" t="inlineStr">
        <is>
          <t>M</t>
        </is>
      </c>
      <c r="G411" s="1" t="inlineStr">
        <is>
          <t>Rohit Myrthos</t>
        </is>
      </c>
      <c r="H411" s="1" t="inlineStr">
        <is>
          <t>Alya Myrthos</t>
        </is>
      </c>
      <c r="I411" s="30" t="n">
        <v>45800</v>
      </c>
      <c r="J411" s="1" t="inlineStr">
        <is>
          <t>59 Birchwood Lane</t>
        </is>
      </c>
      <c r="K411" s="1" t="inlineStr">
        <is>
          <t>Emerald Road</t>
        </is>
      </c>
      <c r="L411" s="1" t="inlineStr">
        <is>
          <t>PIN:475285 CAMPBELLTOWN</t>
        </is>
      </c>
      <c r="M411" s="2" t="inlineStr">
        <is>
          <t>MHA/IND/00410</t>
        </is>
      </c>
      <c r="N411" s="30" t="n">
        <v>45885</v>
      </c>
    </row>
    <row r="412">
      <c r="A412" s="28" t="n">
        <v>411</v>
      </c>
      <c r="B412" s="1" t="inlineStr">
        <is>
          <t>ISHAN SHARMA</t>
        </is>
      </c>
      <c r="C412" s="30" t="n">
        <v>45955</v>
      </c>
      <c r="D412" s="1" t="inlineStr">
        <is>
          <t>LENAH VALLEY</t>
        </is>
      </c>
      <c r="E412" s="12" t="inlineStr">
        <is>
          <t>IND/MEL/00411</t>
        </is>
      </c>
      <c r="F412" s="1" t="inlineStr">
        <is>
          <t>M</t>
        </is>
      </c>
      <c r="G412" s="1" t="inlineStr">
        <is>
          <t>Dev Sharma</t>
        </is>
      </c>
      <c r="H412" s="1" t="inlineStr">
        <is>
          <t>Riya Sharma</t>
        </is>
      </c>
      <c r="I412" s="30" t="n">
        <v>45983</v>
      </c>
      <c r="J412" s="1" t="inlineStr">
        <is>
          <t>55 Birchwood Lane</t>
        </is>
      </c>
      <c r="K412" s="1" t="inlineStr">
        <is>
          <t>Emerald Road</t>
        </is>
      </c>
      <c r="L412" s="1" t="inlineStr">
        <is>
          <t>PIN:883192 LENAH VALLEY</t>
        </is>
      </c>
      <c r="M412" s="2" t="inlineStr">
        <is>
          <t>MHA/IND/00411</t>
        </is>
      </c>
      <c r="N412" s="30" t="n">
        <v>45868</v>
      </c>
    </row>
    <row r="413">
      <c r="A413" s="28" t="n">
        <v>412</v>
      </c>
      <c r="B413" s="1" t="inlineStr">
        <is>
          <t>DEV VALZARI</t>
        </is>
      </c>
      <c r="C413" s="30" t="n">
        <v>45826</v>
      </c>
      <c r="D413" s="1" t="inlineStr">
        <is>
          <t>PARRAMATTA</t>
        </is>
      </c>
      <c r="E413" s="12" t="inlineStr">
        <is>
          <t>IND/MEL/00412</t>
        </is>
      </c>
      <c r="F413" s="1" t="inlineStr">
        <is>
          <t>M</t>
        </is>
      </c>
      <c r="G413" s="1" t="inlineStr">
        <is>
          <t>Kabir Valzari</t>
        </is>
      </c>
      <c r="H413" s="1" t="inlineStr">
        <is>
          <t>Anya Valzari</t>
        </is>
      </c>
      <c r="I413" s="30" t="n">
        <v>45840</v>
      </c>
      <c r="J413" s="1" t="inlineStr">
        <is>
          <t>18 Birchwood Lane</t>
        </is>
      </c>
      <c r="K413" s="1" t="inlineStr">
        <is>
          <t>Emerald Road</t>
        </is>
      </c>
      <c r="L413" s="1" t="inlineStr">
        <is>
          <t>PIN:623840 PARRAMATTA</t>
        </is>
      </c>
      <c r="M413" s="2" t="inlineStr">
        <is>
          <t>MHA/IND/00412</t>
        </is>
      </c>
      <c r="N413" s="30" t="n">
        <v>45858</v>
      </c>
    </row>
    <row r="414">
      <c r="A414" s="28" t="n">
        <v>413</v>
      </c>
      <c r="B414" s="1" t="inlineStr">
        <is>
          <t>ANYA RAO</t>
        </is>
      </c>
      <c r="C414" s="30" t="n">
        <v>45782</v>
      </c>
      <c r="D414" s="1" t="inlineStr">
        <is>
          <t>GEELONG</t>
        </is>
      </c>
      <c r="E414" s="12" t="inlineStr">
        <is>
          <t>IND/MEL/00413</t>
        </is>
      </c>
      <c r="F414" s="1" t="inlineStr">
        <is>
          <t>F</t>
        </is>
      </c>
      <c r="G414" s="1" t="inlineStr">
        <is>
          <t>Rohit Rao</t>
        </is>
      </c>
      <c r="H414" s="1" t="inlineStr">
        <is>
          <t>Alya Rao</t>
        </is>
      </c>
      <c r="I414" s="30" t="n">
        <v>45787</v>
      </c>
      <c r="J414" s="1" t="inlineStr">
        <is>
          <t>112 Birchwood Lane</t>
        </is>
      </c>
      <c r="K414" s="1" t="inlineStr">
        <is>
          <t>Emerald Road</t>
        </is>
      </c>
      <c r="L414" s="1" t="inlineStr">
        <is>
          <t>PIN:153426 GEELONG</t>
        </is>
      </c>
      <c r="M414" s="2" t="inlineStr">
        <is>
          <t>MHA/IND/00413</t>
        </is>
      </c>
      <c r="N414" s="30" t="n">
        <v>45852</v>
      </c>
    </row>
    <row r="415">
      <c r="A415" s="28" t="n">
        <v>414</v>
      </c>
      <c r="B415" s="1" t="inlineStr">
        <is>
          <t>ROHIT VALZARI</t>
        </is>
      </c>
      <c r="C415" s="30" t="n">
        <v>45754</v>
      </c>
      <c r="D415" s="1" t="inlineStr">
        <is>
          <t>PALMERSTON</t>
        </is>
      </c>
      <c r="E415" s="12" t="inlineStr">
        <is>
          <t>IND/MEL/00414</t>
        </is>
      </c>
      <c r="F415" s="1" t="inlineStr">
        <is>
          <t>M</t>
        </is>
      </c>
      <c r="G415" s="1" t="inlineStr">
        <is>
          <t>Aren Valzari</t>
        </is>
      </c>
      <c r="H415" s="1" t="inlineStr">
        <is>
          <t>Anya Valzari</t>
        </is>
      </c>
      <c r="I415" s="30" t="n">
        <v>45765</v>
      </c>
      <c r="J415" s="1" t="inlineStr">
        <is>
          <t>20 Birchwood Lane</t>
        </is>
      </c>
      <c r="K415" s="1" t="inlineStr">
        <is>
          <t>Emerald Road</t>
        </is>
      </c>
      <c r="L415" s="1" t="inlineStr">
        <is>
          <t>PIN:548726 PALMERSTON</t>
        </is>
      </c>
      <c r="M415" s="2" t="inlineStr">
        <is>
          <t>MHA/IND/00414</t>
        </is>
      </c>
      <c r="N415" s="30" t="n">
        <v>45855</v>
      </c>
    </row>
    <row r="416">
      <c r="A416" s="28" t="n">
        <v>415</v>
      </c>
      <c r="B416" s="1" t="inlineStr">
        <is>
          <t>ARJUN KALEON</t>
        </is>
      </c>
      <c r="C416" s="30" t="n">
        <v>45951</v>
      </c>
      <c r="D416" s="1" t="inlineStr">
        <is>
          <t>LENAH VALLEY</t>
        </is>
      </c>
      <c r="E416" s="12" t="inlineStr">
        <is>
          <t>IND/MEL/00415</t>
        </is>
      </c>
      <c r="F416" s="1" t="inlineStr">
        <is>
          <t>M</t>
        </is>
      </c>
      <c r="G416" s="1" t="inlineStr">
        <is>
          <t>Kabir Kaleon</t>
        </is>
      </c>
      <c r="H416" s="1" t="inlineStr">
        <is>
          <t>Riya Kaleon</t>
        </is>
      </c>
      <c r="I416" s="30" t="n">
        <v>46031</v>
      </c>
      <c r="J416" s="1" t="inlineStr">
        <is>
          <t>163 Birchwood Lane</t>
        </is>
      </c>
      <c r="K416" s="1" t="inlineStr">
        <is>
          <t>Emerald Road</t>
        </is>
      </c>
      <c r="L416" s="1" t="inlineStr">
        <is>
          <t>PIN:398774 LENAH VALLEY</t>
        </is>
      </c>
      <c r="M416" s="2" t="inlineStr">
        <is>
          <t>MHA/IND/00415</t>
        </is>
      </c>
      <c r="N416" s="30" t="n">
        <v>45880</v>
      </c>
    </row>
    <row r="417">
      <c r="A417" s="28" t="n">
        <v>416</v>
      </c>
      <c r="B417" s="1" t="inlineStr">
        <is>
          <t>AREN MYRTHOS</t>
        </is>
      </c>
      <c r="C417" s="30" t="n">
        <v>45804</v>
      </c>
      <c r="D417" s="1" t="inlineStr">
        <is>
          <t>MIDLAND</t>
        </is>
      </c>
      <c r="E417" s="12" t="inlineStr">
        <is>
          <t>IND/MEL/00416</t>
        </is>
      </c>
      <c r="F417" s="1" t="inlineStr">
        <is>
          <t>M</t>
        </is>
      </c>
      <c r="G417" s="1" t="inlineStr">
        <is>
          <t>Kabir Myrthos</t>
        </is>
      </c>
      <c r="H417" s="1" t="inlineStr">
        <is>
          <t>Nina Myrthos</t>
        </is>
      </c>
      <c r="I417" s="30" t="n">
        <v>45918</v>
      </c>
      <c r="J417" s="1" t="inlineStr">
        <is>
          <t>179 Birchwood Lane</t>
        </is>
      </c>
      <c r="K417" s="1" t="inlineStr">
        <is>
          <t>Emerald Road</t>
        </is>
      </c>
      <c r="L417" s="1" t="inlineStr">
        <is>
          <t>PIN:688803 MIDLAND</t>
        </is>
      </c>
      <c r="M417" s="2" t="inlineStr">
        <is>
          <t>MHA/IND/00416</t>
        </is>
      </c>
      <c r="N417" s="30" t="n">
        <v>45859</v>
      </c>
    </row>
    <row r="418">
      <c r="A418" s="28" t="n">
        <v>417</v>
      </c>
      <c r="B418" s="1" t="inlineStr">
        <is>
          <t>MIRA SINDALE</t>
        </is>
      </c>
      <c r="C418" s="30" t="n">
        <v>45908</v>
      </c>
      <c r="D418" s="1" t="inlineStr">
        <is>
          <t>ROCKHAMPTON</t>
        </is>
      </c>
      <c r="E418" s="12" t="inlineStr">
        <is>
          <t>IND/MEL/00417</t>
        </is>
      </c>
      <c r="F418" s="1" t="inlineStr">
        <is>
          <t>F</t>
        </is>
      </c>
      <c r="G418" s="1" t="inlineStr">
        <is>
          <t>Ishan Sindale</t>
        </is>
      </c>
      <c r="H418" s="1" t="inlineStr">
        <is>
          <t>Anya Sindale</t>
        </is>
      </c>
      <c r="I418" s="30" t="n">
        <v>45915</v>
      </c>
      <c r="J418" s="1" t="inlineStr">
        <is>
          <t>11 Birchwood Lane</t>
        </is>
      </c>
      <c r="K418" s="1" t="inlineStr">
        <is>
          <t>Emerald Road</t>
        </is>
      </c>
      <c r="L418" s="1" t="inlineStr">
        <is>
          <t>PIN:572879 ROCKHAMPTON</t>
        </is>
      </c>
      <c r="M418" s="2" t="inlineStr">
        <is>
          <t>MHA/IND/00417</t>
        </is>
      </c>
      <c r="N418" s="30" t="n">
        <v>45842</v>
      </c>
    </row>
    <row r="419">
      <c r="A419" s="28" t="n">
        <v>418</v>
      </c>
      <c r="B419" s="1" t="inlineStr">
        <is>
          <t>ALYA VALZARI</t>
        </is>
      </c>
      <c r="C419" s="30" t="n">
        <v>45692</v>
      </c>
      <c r="D419" s="1" t="inlineStr">
        <is>
          <t>MANDURAH</t>
        </is>
      </c>
      <c r="E419" s="12" t="inlineStr">
        <is>
          <t>IND/MEL/00418</t>
        </is>
      </c>
      <c r="F419" s="1" t="inlineStr">
        <is>
          <t>F</t>
        </is>
      </c>
      <c r="G419" s="1" t="inlineStr">
        <is>
          <t>Dev Valzari</t>
        </is>
      </c>
      <c r="H419" s="1" t="inlineStr">
        <is>
          <t>Alya Valzari</t>
        </is>
      </c>
      <c r="I419" s="30" t="n">
        <v>45717</v>
      </c>
      <c r="J419" s="1" t="inlineStr">
        <is>
          <t>69 Birchwood Lane</t>
        </is>
      </c>
      <c r="K419" s="1" t="inlineStr">
        <is>
          <t>Emerald Road</t>
        </is>
      </c>
      <c r="L419" s="1" t="inlineStr">
        <is>
          <t>PIN:775685 MANDURAH</t>
        </is>
      </c>
      <c r="M419" s="2" t="inlineStr">
        <is>
          <t>MHA/IND/00418</t>
        </is>
      </c>
      <c r="N419" s="30" t="n">
        <v>45886</v>
      </c>
    </row>
    <row r="420">
      <c r="A420" s="28" t="n">
        <v>419</v>
      </c>
      <c r="B420" s="1" t="inlineStr">
        <is>
          <t>ARJUN RISHKAN</t>
        </is>
      </c>
      <c r="C420" s="30" t="n">
        <v>45695</v>
      </c>
      <c r="D420" s="1" t="inlineStr">
        <is>
          <t>DALBY</t>
        </is>
      </c>
      <c r="E420" s="12" t="inlineStr">
        <is>
          <t>IND/MEL/00419</t>
        </is>
      </c>
      <c r="F420" s="1" t="inlineStr">
        <is>
          <t>M</t>
        </is>
      </c>
      <c r="G420" s="1" t="inlineStr">
        <is>
          <t>Arjun Rishkan</t>
        </is>
      </c>
      <c r="H420" s="1" t="inlineStr">
        <is>
          <t>Riya Rishkan</t>
        </is>
      </c>
      <c r="I420" s="30" t="n">
        <v>45747</v>
      </c>
      <c r="J420" s="1" t="inlineStr">
        <is>
          <t>16 Birchwood Lane</t>
        </is>
      </c>
      <c r="K420" s="1" t="inlineStr">
        <is>
          <t>Emerald Road</t>
        </is>
      </c>
      <c r="L420" s="1" t="inlineStr">
        <is>
          <t>PIN:294333 DALBY</t>
        </is>
      </c>
      <c r="M420" s="2" t="inlineStr">
        <is>
          <t>MHA/IND/00419</t>
        </is>
      </c>
      <c r="N420" s="30" t="n">
        <v>45892</v>
      </c>
    </row>
    <row r="421">
      <c r="A421" s="28" t="n">
        <v>420</v>
      </c>
      <c r="B421" s="1" t="inlineStr">
        <is>
          <t>ANYA RAO</t>
        </is>
      </c>
      <c r="C421" s="30" t="n">
        <v>45833</v>
      </c>
      <c r="D421" s="1" t="inlineStr">
        <is>
          <t>PARKVILLE</t>
        </is>
      </c>
      <c r="E421" s="12" t="inlineStr">
        <is>
          <t>IND/MEL/00420</t>
        </is>
      </c>
      <c r="F421" s="1" t="inlineStr">
        <is>
          <t>F</t>
        </is>
      </c>
      <c r="G421" s="1" t="inlineStr">
        <is>
          <t>Ishan Rao</t>
        </is>
      </c>
      <c r="H421" s="1" t="inlineStr">
        <is>
          <t>Riya Rao</t>
        </is>
      </c>
      <c r="I421" s="30" t="n">
        <v>45856</v>
      </c>
      <c r="J421" s="1" t="inlineStr">
        <is>
          <t>89 Birchwood Lane</t>
        </is>
      </c>
      <c r="K421" s="1" t="inlineStr">
        <is>
          <t>Emerald Road</t>
        </is>
      </c>
      <c r="L421" s="1" t="inlineStr">
        <is>
          <t>PIN:778480 PARKVILLE</t>
        </is>
      </c>
      <c r="M421" s="2" t="inlineStr">
        <is>
          <t>MHA/IND/00420</t>
        </is>
      </c>
      <c r="N421" s="30" t="n">
        <v>45893</v>
      </c>
    </row>
    <row r="422">
      <c r="A422" s="28" t="n">
        <v>421</v>
      </c>
      <c r="B422" s="1" t="inlineStr">
        <is>
          <t>TARA RISHKAN</t>
        </is>
      </c>
      <c r="C422" s="30" t="n">
        <v>45812</v>
      </c>
      <c r="D422" s="1" t="inlineStr">
        <is>
          <t>ADELAIDE</t>
        </is>
      </c>
      <c r="E422" s="12" t="inlineStr">
        <is>
          <t>IND/MEL/00421</t>
        </is>
      </c>
      <c r="F422" s="1" t="inlineStr">
        <is>
          <t>F</t>
        </is>
      </c>
      <c r="G422" s="1" t="inlineStr">
        <is>
          <t>Kabir Rishkan</t>
        </is>
      </c>
      <c r="H422" s="1" t="inlineStr">
        <is>
          <t>Sara Rishkan</t>
        </is>
      </c>
      <c r="I422" s="30" t="n">
        <v>45931</v>
      </c>
      <c r="J422" s="1" t="inlineStr">
        <is>
          <t>77 Birchwood Lane</t>
        </is>
      </c>
      <c r="K422" s="1" t="inlineStr">
        <is>
          <t>Emerald Road</t>
        </is>
      </c>
      <c r="L422" s="1" t="inlineStr">
        <is>
          <t>PIN:952963 ADELAIDE</t>
        </is>
      </c>
      <c r="M422" s="2" t="inlineStr">
        <is>
          <t>MHA/IND/00421</t>
        </is>
      </c>
      <c r="N422" s="30" t="n">
        <v>45877</v>
      </c>
    </row>
    <row r="423">
      <c r="A423" s="28" t="n">
        <v>422</v>
      </c>
      <c r="B423" s="1" t="inlineStr">
        <is>
          <t>ISHAN RAO</t>
        </is>
      </c>
      <c r="C423" s="30" t="n">
        <v>45833</v>
      </c>
      <c r="D423" s="1" t="inlineStr">
        <is>
          <t>LOGAN</t>
        </is>
      </c>
      <c r="E423" s="12" t="inlineStr">
        <is>
          <t>IND/MEL/00422</t>
        </is>
      </c>
      <c r="F423" s="1" t="inlineStr">
        <is>
          <t>M</t>
        </is>
      </c>
      <c r="G423" s="1" t="inlineStr">
        <is>
          <t>Arjun Rao</t>
        </is>
      </c>
      <c r="H423" s="1" t="inlineStr">
        <is>
          <t>Nina Rao</t>
        </is>
      </c>
      <c r="I423" s="30" t="n">
        <v>45935</v>
      </c>
      <c r="J423" s="1" t="inlineStr">
        <is>
          <t>190 Birchwood Lane</t>
        </is>
      </c>
      <c r="K423" s="1" t="inlineStr">
        <is>
          <t>Emerald Road</t>
        </is>
      </c>
      <c r="L423" s="1" t="inlineStr">
        <is>
          <t>PIN:921501 LOGAN</t>
        </is>
      </c>
      <c r="M423" s="2" t="inlineStr">
        <is>
          <t>MHA/IND/00422</t>
        </is>
      </c>
      <c r="N423" s="30" t="n">
        <v>45848</v>
      </c>
    </row>
    <row r="424">
      <c r="A424" s="28" t="n">
        <v>423</v>
      </c>
      <c r="B424" s="1" t="inlineStr">
        <is>
          <t>NEIL RISHKAN</t>
        </is>
      </c>
      <c r="C424" s="30" t="n">
        <v>45834</v>
      </c>
      <c r="D424" s="1" t="inlineStr">
        <is>
          <t>FRANKSTON</t>
        </is>
      </c>
      <c r="E424" s="12" t="inlineStr">
        <is>
          <t>IND/MEL/00423</t>
        </is>
      </c>
      <c r="F424" s="1" t="inlineStr">
        <is>
          <t>M</t>
        </is>
      </c>
      <c r="G424" s="1" t="inlineStr">
        <is>
          <t>Neil Rishkan</t>
        </is>
      </c>
      <c r="H424" s="1" t="inlineStr">
        <is>
          <t>Tara Rishkan</t>
        </is>
      </c>
      <c r="I424" s="30" t="n">
        <v>45866</v>
      </c>
      <c r="J424" s="1" t="inlineStr">
        <is>
          <t>135 Birchwood Lane</t>
        </is>
      </c>
      <c r="K424" s="1" t="inlineStr">
        <is>
          <t>Emerald Road</t>
        </is>
      </c>
      <c r="L424" s="1" t="inlineStr">
        <is>
          <t>PIN:461997 FRANKSTON</t>
        </is>
      </c>
      <c r="M424" s="2" t="inlineStr">
        <is>
          <t>MHA/IND/00423</t>
        </is>
      </c>
      <c r="N424" s="30" t="n">
        <v>45881</v>
      </c>
    </row>
    <row r="425">
      <c r="A425" s="28" t="n">
        <v>424</v>
      </c>
      <c r="B425" s="1" t="inlineStr">
        <is>
          <t>KIRAN MYRTHOS</t>
        </is>
      </c>
      <c r="C425" s="30" t="n">
        <v>45787</v>
      </c>
      <c r="D425" s="1" t="inlineStr">
        <is>
          <t>ST ALBANS</t>
        </is>
      </c>
      <c r="E425" s="12" t="inlineStr">
        <is>
          <t>IND/MEL/00424</t>
        </is>
      </c>
      <c r="F425" s="1" t="inlineStr">
        <is>
          <t>M</t>
        </is>
      </c>
      <c r="G425" s="1" t="inlineStr">
        <is>
          <t>Arjun Myrthos</t>
        </is>
      </c>
      <c r="H425" s="1" t="inlineStr">
        <is>
          <t>Sara Myrthos</t>
        </is>
      </c>
      <c r="I425" s="30" t="n">
        <v>45833</v>
      </c>
      <c r="J425" s="1" t="inlineStr">
        <is>
          <t>118 Birchwood Lane</t>
        </is>
      </c>
      <c r="K425" s="1" t="inlineStr">
        <is>
          <t>Emerald Road</t>
        </is>
      </c>
      <c r="L425" s="1" t="inlineStr">
        <is>
          <t>PIN:541304 ST ALBANS</t>
        </is>
      </c>
      <c r="M425" s="2" t="inlineStr">
        <is>
          <t>MHA/IND/00424</t>
        </is>
      </c>
      <c r="N425" s="30" t="n">
        <v>45878</v>
      </c>
    </row>
    <row r="426">
      <c r="A426" s="28" t="n">
        <v>425</v>
      </c>
      <c r="B426" s="1" t="inlineStr">
        <is>
          <t>DEV RISHKAN</t>
        </is>
      </c>
      <c r="C426" s="30" t="n">
        <v>45667</v>
      </c>
      <c r="D426" s="1" t="inlineStr">
        <is>
          <t>MANDURAH</t>
        </is>
      </c>
      <c r="E426" s="12" t="inlineStr">
        <is>
          <t>IND/MEL/00425</t>
        </is>
      </c>
      <c r="F426" s="1" t="inlineStr">
        <is>
          <t>M</t>
        </is>
      </c>
      <c r="G426" s="1" t="inlineStr">
        <is>
          <t>Arjun Rishkan</t>
        </is>
      </c>
      <c r="H426" s="1" t="inlineStr">
        <is>
          <t>Sara Rishkan</t>
        </is>
      </c>
      <c r="I426" s="30" t="n">
        <v>45721</v>
      </c>
      <c r="J426" s="1" t="inlineStr">
        <is>
          <t>10 Birchwood Lane</t>
        </is>
      </c>
      <c r="K426" s="1" t="inlineStr">
        <is>
          <t>Emerald Road</t>
        </is>
      </c>
      <c r="L426" s="1" t="inlineStr">
        <is>
          <t>PIN:613365 MANDURAH</t>
        </is>
      </c>
      <c r="M426" s="2" t="inlineStr">
        <is>
          <t>MHA/IND/00425</t>
        </is>
      </c>
      <c r="N426" s="30" t="n">
        <v>45877</v>
      </c>
    </row>
    <row r="427">
      <c r="A427" s="28" t="n">
        <v>426</v>
      </c>
      <c r="B427" s="1" t="inlineStr">
        <is>
          <t>SARA VALZARI</t>
        </is>
      </c>
      <c r="C427" s="30" t="n">
        <v>45956</v>
      </c>
      <c r="D427" s="1" t="inlineStr">
        <is>
          <t>BEDFORD PARK</t>
        </is>
      </c>
      <c r="E427" s="12" t="inlineStr">
        <is>
          <t>IND/MEL/00426</t>
        </is>
      </c>
      <c r="F427" s="1" t="inlineStr">
        <is>
          <t>F</t>
        </is>
      </c>
      <c r="G427" s="1" t="inlineStr">
        <is>
          <t>Arjun Valzari</t>
        </is>
      </c>
      <c r="H427" s="1" t="inlineStr">
        <is>
          <t>Diya Valzari</t>
        </is>
      </c>
      <c r="I427" s="30" t="n">
        <v>45962</v>
      </c>
      <c r="J427" s="1" t="inlineStr">
        <is>
          <t>184 Birchwood Lane</t>
        </is>
      </c>
      <c r="K427" s="1" t="inlineStr">
        <is>
          <t>Emerald Road</t>
        </is>
      </c>
      <c r="L427" s="1" t="inlineStr">
        <is>
          <t>PIN:462170 BEDFORD PARK</t>
        </is>
      </c>
      <c r="M427" s="2" t="inlineStr">
        <is>
          <t>MHA/IND/00426</t>
        </is>
      </c>
      <c r="N427" s="30" t="n">
        <v>45864</v>
      </c>
    </row>
    <row r="428">
      <c r="A428" s="28" t="n">
        <v>427</v>
      </c>
      <c r="B428" s="1" t="inlineStr">
        <is>
          <t>ROHIT MYRTHOS</t>
        </is>
      </c>
      <c r="C428" s="30" t="n">
        <v>45901</v>
      </c>
      <c r="D428" s="1" t="inlineStr">
        <is>
          <t>WERRIBEE</t>
        </is>
      </c>
      <c r="E428" s="12" t="inlineStr">
        <is>
          <t>IND/MEL/00427</t>
        </is>
      </c>
      <c r="F428" s="1" t="inlineStr">
        <is>
          <t>M</t>
        </is>
      </c>
      <c r="G428" s="1" t="inlineStr">
        <is>
          <t>Arjun Myrthos</t>
        </is>
      </c>
      <c r="H428" s="1" t="inlineStr">
        <is>
          <t>Nina Myrthos</t>
        </is>
      </c>
      <c r="I428" s="30" t="n">
        <v>45941</v>
      </c>
      <c r="J428" s="1" t="inlineStr">
        <is>
          <t>35 Birchwood Lane</t>
        </is>
      </c>
      <c r="K428" s="1" t="inlineStr">
        <is>
          <t>Emerald Road</t>
        </is>
      </c>
      <c r="L428" s="1" t="inlineStr">
        <is>
          <t>PIN:345085 WERRIBEE</t>
        </is>
      </c>
      <c r="M428" s="2" t="inlineStr">
        <is>
          <t>MHA/IND/00427</t>
        </is>
      </c>
      <c r="N428" s="30" t="n">
        <v>45857</v>
      </c>
    </row>
    <row r="429">
      <c r="A429" s="28" t="n">
        <v>428</v>
      </c>
      <c r="B429" s="1" t="inlineStr">
        <is>
          <t>KABIR RAO</t>
        </is>
      </c>
      <c r="C429" s="30" t="n">
        <v>45860</v>
      </c>
      <c r="D429" s="1" t="inlineStr">
        <is>
          <t>BUNDABERG</t>
        </is>
      </c>
      <c r="E429" s="12" t="inlineStr">
        <is>
          <t>IND/MEL/00428</t>
        </is>
      </c>
      <c r="F429" s="1" t="inlineStr">
        <is>
          <t>M</t>
        </is>
      </c>
      <c r="G429" s="1" t="inlineStr">
        <is>
          <t>Neil Rao</t>
        </is>
      </c>
      <c r="H429" s="1" t="inlineStr">
        <is>
          <t>Sara Rao</t>
        </is>
      </c>
      <c r="I429" s="30" t="n">
        <v>45905</v>
      </c>
      <c r="J429" s="1" t="inlineStr">
        <is>
          <t>131 Birchwood Lane</t>
        </is>
      </c>
      <c r="K429" s="1" t="inlineStr">
        <is>
          <t>Emerald Road</t>
        </is>
      </c>
      <c r="L429" s="1" t="inlineStr">
        <is>
          <t>PIN:834366 BUNDABERG</t>
        </is>
      </c>
      <c r="M429" s="2" t="inlineStr">
        <is>
          <t>MHA/IND/00428</t>
        </is>
      </c>
      <c r="N429" s="30" t="n">
        <v>45844</v>
      </c>
    </row>
    <row r="430">
      <c r="A430" s="28" t="n">
        <v>429</v>
      </c>
      <c r="B430" s="1" t="inlineStr">
        <is>
          <t>DIYA RAO</t>
        </is>
      </c>
      <c r="C430" s="30" t="n">
        <v>45828</v>
      </c>
      <c r="D430" s="1" t="inlineStr">
        <is>
          <t>PERTH</t>
        </is>
      </c>
      <c r="E430" s="12" t="inlineStr">
        <is>
          <t>IND/MEL/00429</t>
        </is>
      </c>
      <c r="F430" s="1" t="inlineStr">
        <is>
          <t>F</t>
        </is>
      </c>
      <c r="G430" s="1" t="inlineStr">
        <is>
          <t>Neil Rao</t>
        </is>
      </c>
      <c r="H430" s="1" t="inlineStr">
        <is>
          <t>Riya Rao</t>
        </is>
      </c>
      <c r="I430" s="30" t="n">
        <v>45872</v>
      </c>
      <c r="J430" s="1" t="inlineStr">
        <is>
          <t>32 Birchwood Lane</t>
        </is>
      </c>
      <c r="K430" s="1" t="inlineStr">
        <is>
          <t>Emerald Road</t>
        </is>
      </c>
      <c r="L430" s="1" t="inlineStr">
        <is>
          <t>PIN:127602 PERTH</t>
        </is>
      </c>
      <c r="M430" s="2" t="inlineStr">
        <is>
          <t>MHA/IND/00429</t>
        </is>
      </c>
      <c r="N430" s="30" t="n">
        <v>45864</v>
      </c>
    </row>
    <row r="431">
      <c r="A431" s="28" t="n">
        <v>430</v>
      </c>
      <c r="B431" s="1" t="inlineStr">
        <is>
          <t>KIRAN MYRTHOS</t>
        </is>
      </c>
      <c r="C431" s="30" t="n">
        <v>45775</v>
      </c>
      <c r="D431" s="1" t="inlineStr">
        <is>
          <t>NEWCASTLE</t>
        </is>
      </c>
      <c r="E431" s="12" t="inlineStr">
        <is>
          <t>IND/MEL/00430</t>
        </is>
      </c>
      <c r="F431" s="1" t="inlineStr">
        <is>
          <t>M</t>
        </is>
      </c>
      <c r="G431" s="1" t="inlineStr">
        <is>
          <t>Ishan Myrthos</t>
        </is>
      </c>
      <c r="H431" s="1" t="inlineStr">
        <is>
          <t>Anya Myrthos</t>
        </is>
      </c>
      <c r="I431" s="30" t="n">
        <v>45873</v>
      </c>
      <c r="J431" s="1" t="inlineStr">
        <is>
          <t>139 Birchwood Lane</t>
        </is>
      </c>
      <c r="K431" s="1" t="inlineStr">
        <is>
          <t>Emerald Road</t>
        </is>
      </c>
      <c r="L431" s="1" t="inlineStr">
        <is>
          <t>PIN:884260 NEWCASTLE</t>
        </is>
      </c>
      <c r="M431" s="2" t="inlineStr">
        <is>
          <t>MHA/IND/00430</t>
        </is>
      </c>
      <c r="N431" s="30" t="n">
        <v>45840</v>
      </c>
    </row>
    <row r="432">
      <c r="A432" s="28" t="n">
        <v>431</v>
      </c>
      <c r="B432" s="1" t="inlineStr">
        <is>
          <t>NEIL SINDALE</t>
        </is>
      </c>
      <c r="C432" s="30" t="n">
        <v>45733</v>
      </c>
      <c r="D432" s="1" t="inlineStr">
        <is>
          <t>PARKVILLE</t>
        </is>
      </c>
      <c r="E432" s="12" t="inlineStr">
        <is>
          <t>IND/MEL/00431</t>
        </is>
      </c>
      <c r="F432" s="1" t="inlineStr">
        <is>
          <t>M</t>
        </is>
      </c>
      <c r="G432" s="1" t="inlineStr">
        <is>
          <t>Kabir Sindale</t>
        </is>
      </c>
      <c r="H432" s="1" t="inlineStr">
        <is>
          <t>Sara Sindale</t>
        </is>
      </c>
      <c r="I432" s="30" t="n">
        <v>45786</v>
      </c>
      <c r="J432" s="1" t="inlineStr">
        <is>
          <t>164 Birchwood Lane</t>
        </is>
      </c>
      <c r="K432" s="1" t="inlineStr">
        <is>
          <t>Emerald Road</t>
        </is>
      </c>
      <c r="L432" s="1" t="inlineStr">
        <is>
          <t>PIN:603548 PARKVILLE</t>
        </is>
      </c>
      <c r="M432" s="2" t="inlineStr">
        <is>
          <t>MHA/IND/00431</t>
        </is>
      </c>
      <c r="N432" s="30" t="n">
        <v>45868</v>
      </c>
    </row>
    <row r="433">
      <c r="A433" s="28" t="n">
        <v>432</v>
      </c>
      <c r="B433" s="1" t="inlineStr">
        <is>
          <t>ANYA RISHKAN</t>
        </is>
      </c>
      <c r="C433" s="30" t="n">
        <v>45813</v>
      </c>
      <c r="D433" s="1" t="inlineStr">
        <is>
          <t>CLAYTON</t>
        </is>
      </c>
      <c r="E433" s="12" t="inlineStr">
        <is>
          <t>IND/MEL/00432</t>
        </is>
      </c>
      <c r="F433" s="1" t="inlineStr">
        <is>
          <t>F</t>
        </is>
      </c>
      <c r="G433" s="1" t="inlineStr">
        <is>
          <t>Arjun Rishkan</t>
        </is>
      </c>
      <c r="H433" s="1" t="inlineStr">
        <is>
          <t>Riya Rishkan</t>
        </is>
      </c>
      <c r="I433" s="30" t="n">
        <v>45881</v>
      </c>
      <c r="J433" s="1" t="inlineStr">
        <is>
          <t>115 Birchwood Lane</t>
        </is>
      </c>
      <c r="K433" s="1" t="inlineStr">
        <is>
          <t>Emerald Road</t>
        </is>
      </c>
      <c r="L433" s="1" t="inlineStr">
        <is>
          <t>PIN:420167 CLAYTON</t>
        </is>
      </c>
      <c r="M433" s="2" t="inlineStr">
        <is>
          <t>MHA/IND/00432</t>
        </is>
      </c>
      <c r="N433" s="30" t="n">
        <v>45849</v>
      </c>
    </row>
    <row r="434">
      <c r="A434" s="28" t="n">
        <v>433</v>
      </c>
      <c r="B434" s="1" t="inlineStr">
        <is>
          <t>ISHAN MYRTHOS</t>
        </is>
      </c>
      <c r="C434" s="30" t="n">
        <v>45884</v>
      </c>
      <c r="D434" s="1" t="inlineStr">
        <is>
          <t>SYDNEY</t>
        </is>
      </c>
      <c r="E434" s="12" t="inlineStr">
        <is>
          <t>IND/MEL/00433</t>
        </is>
      </c>
      <c r="F434" s="1" t="inlineStr">
        <is>
          <t>M</t>
        </is>
      </c>
      <c r="G434" s="1" t="inlineStr">
        <is>
          <t>Rohit Myrthos</t>
        </is>
      </c>
      <c r="H434" s="1" t="inlineStr">
        <is>
          <t>Sara Myrthos</t>
        </is>
      </c>
      <c r="I434" s="30" t="n">
        <v>45929</v>
      </c>
      <c r="J434" s="1" t="inlineStr">
        <is>
          <t>87 Birchwood Lane</t>
        </is>
      </c>
      <c r="K434" s="1" t="inlineStr">
        <is>
          <t>Emerald Road</t>
        </is>
      </c>
      <c r="L434" s="1" t="inlineStr">
        <is>
          <t>PIN:467770 SYDNEY</t>
        </is>
      </c>
      <c r="M434" s="2" t="inlineStr">
        <is>
          <t>MHA/IND/00433</t>
        </is>
      </c>
      <c r="N434" s="30" t="n">
        <v>45855</v>
      </c>
    </row>
    <row r="435">
      <c r="A435" s="28" t="n">
        <v>434</v>
      </c>
      <c r="B435" s="1" t="inlineStr">
        <is>
          <t>ROHIT KALEON</t>
        </is>
      </c>
      <c r="C435" s="30" t="n">
        <v>45922</v>
      </c>
      <c r="D435" s="1" t="inlineStr">
        <is>
          <t>SHEPPARTON</t>
        </is>
      </c>
      <c r="E435" s="12" t="inlineStr">
        <is>
          <t>IND/MEL/00434</t>
        </is>
      </c>
      <c r="F435" s="1" t="inlineStr">
        <is>
          <t>M</t>
        </is>
      </c>
      <c r="G435" s="1" t="inlineStr">
        <is>
          <t>Arjun Kaleon</t>
        </is>
      </c>
      <c r="H435" s="1" t="inlineStr">
        <is>
          <t>Nina Kaleon</t>
        </is>
      </c>
      <c r="I435" s="30" t="n">
        <v>46024</v>
      </c>
      <c r="J435" s="1" t="inlineStr">
        <is>
          <t>77 Birchwood Lane</t>
        </is>
      </c>
      <c r="K435" s="1" t="inlineStr">
        <is>
          <t>Emerald Road</t>
        </is>
      </c>
      <c r="L435" s="1" t="inlineStr">
        <is>
          <t>PIN:757926 SHEPPARTON</t>
        </is>
      </c>
      <c r="M435" s="2" t="inlineStr">
        <is>
          <t>MHA/IND/00434</t>
        </is>
      </c>
      <c r="N435" s="30" t="n">
        <v>45879</v>
      </c>
    </row>
    <row r="436">
      <c r="A436" s="28" t="n">
        <v>435</v>
      </c>
      <c r="B436" s="1" t="inlineStr">
        <is>
          <t>NEIL KALEON</t>
        </is>
      </c>
      <c r="C436" s="30" t="n">
        <v>45768</v>
      </c>
      <c r="D436" s="1" t="inlineStr">
        <is>
          <t>WERRIBEE</t>
        </is>
      </c>
      <c r="E436" s="12" t="inlineStr">
        <is>
          <t>IND/MEL/00435</t>
        </is>
      </c>
      <c r="F436" s="1" t="inlineStr">
        <is>
          <t>M</t>
        </is>
      </c>
      <c r="G436" s="1" t="inlineStr">
        <is>
          <t>Rohit Kaleon</t>
        </is>
      </c>
      <c r="H436" s="1" t="inlineStr">
        <is>
          <t>Diya Kaleon</t>
        </is>
      </c>
      <c r="I436" s="30" t="n">
        <v>45776</v>
      </c>
      <c r="J436" s="1" t="inlineStr">
        <is>
          <t>59 Birchwood Lane</t>
        </is>
      </c>
      <c r="K436" s="1" t="inlineStr">
        <is>
          <t>Emerald Road</t>
        </is>
      </c>
      <c r="L436" s="1" t="inlineStr">
        <is>
          <t>PIN:445229 WERRIBEE</t>
        </is>
      </c>
      <c r="M436" s="2" t="inlineStr">
        <is>
          <t>MHA/IND/00435</t>
        </is>
      </c>
      <c r="N436" s="30" t="n">
        <v>45897</v>
      </c>
    </row>
    <row r="437">
      <c r="A437" s="28" t="n">
        <v>436</v>
      </c>
      <c r="B437" s="1" t="inlineStr">
        <is>
          <t>MIRA KALEON</t>
        </is>
      </c>
      <c r="C437" s="30" t="n">
        <v>45957</v>
      </c>
      <c r="D437" s="1" t="inlineStr">
        <is>
          <t>MOUNT WAVERLEY</t>
        </is>
      </c>
      <c r="E437" s="12" t="inlineStr">
        <is>
          <t>IND/MEL/00436</t>
        </is>
      </c>
      <c r="F437" s="1" t="inlineStr">
        <is>
          <t>F</t>
        </is>
      </c>
      <c r="G437" s="1" t="inlineStr">
        <is>
          <t>Arjun Kaleon</t>
        </is>
      </c>
      <c r="H437" s="1" t="inlineStr">
        <is>
          <t>Diya Kaleon</t>
        </is>
      </c>
      <c r="I437" s="30" t="n">
        <v>45976</v>
      </c>
      <c r="J437" s="1" t="inlineStr">
        <is>
          <t>97 Birchwood Lane</t>
        </is>
      </c>
      <c r="K437" s="1" t="inlineStr">
        <is>
          <t>Emerald Road</t>
        </is>
      </c>
      <c r="L437" s="1" t="inlineStr">
        <is>
          <t>PIN:563405 MOUNT WAVERLEY</t>
        </is>
      </c>
      <c r="M437" s="2" t="inlineStr">
        <is>
          <t>MHA/IND/00436</t>
        </is>
      </c>
      <c r="N437" s="30" t="n">
        <v>45839</v>
      </c>
    </row>
    <row r="438">
      <c r="A438" s="28" t="n">
        <v>437</v>
      </c>
      <c r="B438" s="1" t="inlineStr">
        <is>
          <t>DIYA KALEON</t>
        </is>
      </c>
      <c r="C438" s="30" t="n">
        <v>45849</v>
      </c>
      <c r="D438" s="1" t="inlineStr">
        <is>
          <t>BRISBANE</t>
        </is>
      </c>
      <c r="E438" s="12" t="inlineStr">
        <is>
          <t>IND/MEL/00437</t>
        </is>
      </c>
      <c r="F438" s="1" t="inlineStr">
        <is>
          <t>F</t>
        </is>
      </c>
      <c r="G438" s="1" t="inlineStr">
        <is>
          <t>Dev Kaleon</t>
        </is>
      </c>
      <c r="H438" s="1" t="inlineStr">
        <is>
          <t>Anya Kaleon</t>
        </is>
      </c>
      <c r="I438" s="30" t="n">
        <v>45956</v>
      </c>
      <c r="J438" s="1" t="inlineStr">
        <is>
          <t>27 Birchwood Lane</t>
        </is>
      </c>
      <c r="K438" s="1" t="inlineStr">
        <is>
          <t>Emerald Road</t>
        </is>
      </c>
      <c r="L438" s="1" t="inlineStr">
        <is>
          <t>PIN:220650 BRISBANE</t>
        </is>
      </c>
      <c r="M438" s="2" t="inlineStr">
        <is>
          <t>MHA/IND/00437</t>
        </is>
      </c>
      <c r="N438" s="30" t="n">
        <v>45893</v>
      </c>
    </row>
    <row r="439">
      <c r="A439" s="28" t="n">
        <v>438</v>
      </c>
      <c r="B439" s="1" t="inlineStr">
        <is>
          <t>KABIR MYRTHOS</t>
        </is>
      </c>
      <c r="C439" s="30" t="n">
        <v>45704</v>
      </c>
      <c r="D439" s="1" t="inlineStr">
        <is>
          <t>MILDURA</t>
        </is>
      </c>
      <c r="E439" s="12" t="inlineStr">
        <is>
          <t>IND/MEL/00438</t>
        </is>
      </c>
      <c r="F439" s="1" t="inlineStr">
        <is>
          <t>M</t>
        </is>
      </c>
      <c r="G439" s="1" t="inlineStr">
        <is>
          <t>Kiran Myrthos</t>
        </is>
      </c>
      <c r="H439" s="1" t="inlineStr">
        <is>
          <t>Sara Myrthos</t>
        </is>
      </c>
      <c r="I439" s="30" t="n">
        <v>45773</v>
      </c>
      <c r="J439" s="1" t="inlineStr">
        <is>
          <t>198 Birchwood Lane</t>
        </is>
      </c>
      <c r="K439" s="1" t="inlineStr">
        <is>
          <t>Emerald Road</t>
        </is>
      </c>
      <c r="L439" s="1" t="inlineStr">
        <is>
          <t>PIN:462004 MILDURA</t>
        </is>
      </c>
      <c r="M439" s="2" t="inlineStr">
        <is>
          <t>MHA/IND/00438</t>
        </is>
      </c>
      <c r="N439" s="30" t="n">
        <v>45881</v>
      </c>
    </row>
    <row r="440">
      <c r="A440" s="28" t="n">
        <v>439</v>
      </c>
      <c r="B440" s="1" t="inlineStr">
        <is>
          <t>ROHIT RISHKAN</t>
        </is>
      </c>
      <c r="C440" s="30" t="n">
        <v>45702</v>
      </c>
      <c r="D440" s="1" t="inlineStr">
        <is>
          <t>KINGSWOOD</t>
        </is>
      </c>
      <c r="E440" s="12" t="inlineStr">
        <is>
          <t>IND/MEL/00439</t>
        </is>
      </c>
      <c r="F440" s="1" t="inlineStr">
        <is>
          <t>M</t>
        </is>
      </c>
      <c r="G440" s="1" t="inlineStr">
        <is>
          <t>Arjun Rishkan</t>
        </is>
      </c>
      <c r="H440" s="1" t="inlineStr">
        <is>
          <t>Anya Rishkan</t>
        </is>
      </c>
      <c r="I440" s="30" t="n">
        <v>45741</v>
      </c>
      <c r="J440" s="1" t="inlineStr">
        <is>
          <t>83 Birchwood Lane</t>
        </is>
      </c>
      <c r="K440" s="1" t="inlineStr">
        <is>
          <t>Emerald Road</t>
        </is>
      </c>
      <c r="L440" s="1" t="inlineStr">
        <is>
          <t>PIN:270087 KINGSWOOD</t>
        </is>
      </c>
      <c r="M440" s="2" t="inlineStr">
        <is>
          <t>MHA/IND/00439</t>
        </is>
      </c>
      <c r="N440" s="30" t="n">
        <v>45862</v>
      </c>
    </row>
    <row r="441">
      <c r="A441" s="28" t="n">
        <v>440</v>
      </c>
      <c r="B441" s="1" t="inlineStr">
        <is>
          <t>ROHIT MYRTHOS</t>
        </is>
      </c>
      <c r="C441" s="30" t="n">
        <v>45917</v>
      </c>
      <c r="D441" s="1" t="inlineStr">
        <is>
          <t>TUGGERANONG</t>
        </is>
      </c>
      <c r="E441" s="12" t="inlineStr">
        <is>
          <t>IND/MEL/00440</t>
        </is>
      </c>
      <c r="F441" s="1" t="inlineStr">
        <is>
          <t>M</t>
        </is>
      </c>
      <c r="G441" s="1" t="inlineStr">
        <is>
          <t>Neil Myrthos</t>
        </is>
      </c>
      <c r="H441" s="1" t="inlineStr">
        <is>
          <t>Riya Myrthos</t>
        </is>
      </c>
      <c r="I441" s="30" t="n">
        <v>45969</v>
      </c>
      <c r="J441" s="1" t="inlineStr">
        <is>
          <t>97 Birchwood Lane</t>
        </is>
      </c>
      <c r="K441" s="1" t="inlineStr">
        <is>
          <t>Emerald Road</t>
        </is>
      </c>
      <c r="L441" s="1" t="inlineStr">
        <is>
          <t>PIN:639992 TUGGERANONG</t>
        </is>
      </c>
      <c r="M441" s="2" t="inlineStr">
        <is>
          <t>MHA/IND/00440</t>
        </is>
      </c>
      <c r="N441" s="30" t="n">
        <v>45886</v>
      </c>
    </row>
    <row r="442">
      <c r="A442" s="28" t="n">
        <v>441</v>
      </c>
      <c r="B442" s="1" t="inlineStr">
        <is>
          <t>ALYA RAO</t>
        </is>
      </c>
      <c r="C442" s="30" t="n">
        <v>45671</v>
      </c>
      <c r="D442" s="1" t="inlineStr">
        <is>
          <t>HEIDELBERG</t>
        </is>
      </c>
      <c r="E442" s="12" t="inlineStr">
        <is>
          <t>IND/MEL/00441</t>
        </is>
      </c>
      <c r="F442" s="1" t="inlineStr">
        <is>
          <t>F</t>
        </is>
      </c>
      <c r="G442" s="1" t="inlineStr">
        <is>
          <t>Rohit Rao</t>
        </is>
      </c>
      <c r="H442" s="1" t="inlineStr">
        <is>
          <t>Alya Rao</t>
        </is>
      </c>
      <c r="I442" s="30" t="n">
        <v>45780</v>
      </c>
      <c r="J442" s="1" t="inlineStr">
        <is>
          <t>140 Birchwood Lane</t>
        </is>
      </c>
      <c r="K442" s="1" t="inlineStr">
        <is>
          <t>Emerald Road</t>
        </is>
      </c>
      <c r="L442" s="1" t="inlineStr">
        <is>
          <t>PIN:499471 HEIDELBERG</t>
        </is>
      </c>
      <c r="M442" s="2" t="inlineStr">
        <is>
          <t>MHA/IND/00441</t>
        </is>
      </c>
      <c r="N442" s="30" t="n">
        <v>45866</v>
      </c>
    </row>
    <row r="443">
      <c r="A443" s="28" t="n">
        <v>442</v>
      </c>
      <c r="B443" s="1" t="inlineStr">
        <is>
          <t>NEIL RISHKAN</t>
        </is>
      </c>
      <c r="C443" s="30" t="n">
        <v>45800</v>
      </c>
      <c r="D443" s="1" t="inlineStr">
        <is>
          <t>BALLARAT CENTRAL</t>
        </is>
      </c>
      <c r="E443" s="12" t="inlineStr">
        <is>
          <t>IND/MEL/00442</t>
        </is>
      </c>
      <c r="F443" s="1" t="inlineStr">
        <is>
          <t>M</t>
        </is>
      </c>
      <c r="G443" s="1" t="inlineStr">
        <is>
          <t>Neil Rishkan</t>
        </is>
      </c>
      <c r="H443" s="1" t="inlineStr">
        <is>
          <t>Nina Rishkan</t>
        </is>
      </c>
      <c r="I443" s="30" t="n">
        <v>45822</v>
      </c>
      <c r="J443" s="1" t="inlineStr">
        <is>
          <t>80 Birchwood Lane</t>
        </is>
      </c>
      <c r="K443" s="1" t="inlineStr">
        <is>
          <t>Emerald Road</t>
        </is>
      </c>
      <c r="L443" s="1" t="inlineStr">
        <is>
          <t>PIN:295625 BALLARAT CENTRAL</t>
        </is>
      </c>
      <c r="M443" s="2" t="inlineStr">
        <is>
          <t>MHA/IND/00442</t>
        </is>
      </c>
      <c r="N443" s="30" t="n">
        <v>45851</v>
      </c>
    </row>
    <row r="444">
      <c r="A444" s="28" t="n">
        <v>443</v>
      </c>
      <c r="B444" s="1" t="inlineStr">
        <is>
          <t>RIYA SHARMA</t>
        </is>
      </c>
      <c r="C444" s="30" t="n">
        <v>45932</v>
      </c>
      <c r="D444" s="1" t="inlineStr">
        <is>
          <t>BUNDABERG</t>
        </is>
      </c>
      <c r="E444" s="12" t="inlineStr">
        <is>
          <t>IND/MEL/00443</t>
        </is>
      </c>
      <c r="F444" s="1" t="inlineStr">
        <is>
          <t>F</t>
        </is>
      </c>
      <c r="G444" s="1" t="inlineStr">
        <is>
          <t>Kabir Sharma</t>
        </is>
      </c>
      <c r="H444" s="1" t="inlineStr">
        <is>
          <t>Alya Sharma</t>
        </is>
      </c>
      <c r="I444" s="30" t="n">
        <v>45950</v>
      </c>
      <c r="J444" s="1" t="inlineStr">
        <is>
          <t>164 Birchwood Lane</t>
        </is>
      </c>
      <c r="K444" s="1" t="inlineStr">
        <is>
          <t>Emerald Road</t>
        </is>
      </c>
      <c r="L444" s="1" t="inlineStr">
        <is>
          <t>PIN:842372 BUNDABERG</t>
        </is>
      </c>
      <c r="M444" s="2" t="inlineStr">
        <is>
          <t>MHA/IND/00443</t>
        </is>
      </c>
      <c r="N444" s="30" t="n">
        <v>45885</v>
      </c>
    </row>
    <row r="445">
      <c r="A445" s="28" t="n">
        <v>444</v>
      </c>
      <c r="B445" s="1" t="inlineStr">
        <is>
          <t>ALYA SHARMA</t>
        </is>
      </c>
      <c r="C445" s="30" t="n">
        <v>45775</v>
      </c>
      <c r="D445" s="1" t="inlineStr">
        <is>
          <t>LAUNCESTON</t>
        </is>
      </c>
      <c r="E445" s="12" t="inlineStr">
        <is>
          <t>IND/MEL/00444</t>
        </is>
      </c>
      <c r="F445" s="1" t="inlineStr">
        <is>
          <t>F</t>
        </is>
      </c>
      <c r="G445" s="1" t="inlineStr">
        <is>
          <t>Kabir Sharma</t>
        </is>
      </c>
      <c r="H445" s="1" t="inlineStr">
        <is>
          <t>Alya Sharma</t>
        </is>
      </c>
      <c r="I445" s="30" t="n">
        <v>45864</v>
      </c>
      <c r="J445" s="1" t="inlineStr">
        <is>
          <t>15 Birchwood Lane</t>
        </is>
      </c>
      <c r="K445" s="1" t="inlineStr">
        <is>
          <t>Emerald Road</t>
        </is>
      </c>
      <c r="L445" s="1" t="inlineStr">
        <is>
          <t>PIN:931268 LAUNCESTON</t>
        </is>
      </c>
      <c r="M445" s="2" t="inlineStr">
        <is>
          <t>MHA/IND/00444</t>
        </is>
      </c>
      <c r="N445" s="30" t="n">
        <v>45897</v>
      </c>
    </row>
    <row r="446">
      <c r="A446" s="28" t="n">
        <v>445</v>
      </c>
      <c r="B446" s="1" t="inlineStr">
        <is>
          <t>SARA KALEON</t>
        </is>
      </c>
      <c r="C446" s="30" t="n">
        <v>45942</v>
      </c>
      <c r="D446" s="1" t="inlineStr">
        <is>
          <t>BUNDOORA</t>
        </is>
      </c>
      <c r="E446" s="12" t="inlineStr">
        <is>
          <t>IND/MEL/00445</t>
        </is>
      </c>
      <c r="F446" s="1" t="inlineStr">
        <is>
          <t>F</t>
        </is>
      </c>
      <c r="G446" s="1" t="inlineStr">
        <is>
          <t>Kabir Kaleon</t>
        </is>
      </c>
      <c r="H446" s="1" t="inlineStr">
        <is>
          <t>Mira Kaleon</t>
        </is>
      </c>
      <c r="I446" s="30" t="n">
        <v>45975</v>
      </c>
      <c r="J446" s="1" t="inlineStr">
        <is>
          <t>100 Birchwood Lane</t>
        </is>
      </c>
      <c r="K446" s="1" t="inlineStr">
        <is>
          <t>Emerald Road</t>
        </is>
      </c>
      <c r="L446" s="1" t="inlineStr">
        <is>
          <t>PIN:115514 BUNDOORA</t>
        </is>
      </c>
      <c r="M446" s="2" t="inlineStr">
        <is>
          <t>MHA/IND/00445</t>
        </is>
      </c>
      <c r="N446" s="30" t="n">
        <v>45858</v>
      </c>
    </row>
    <row r="447">
      <c r="A447" s="28" t="n">
        <v>446</v>
      </c>
      <c r="B447" s="1" t="inlineStr">
        <is>
          <t>ARJUN VALZARI</t>
        </is>
      </c>
      <c r="C447" s="30" t="n">
        <v>45664</v>
      </c>
      <c r="D447" s="1" t="inlineStr">
        <is>
          <t>ST ALBANS</t>
        </is>
      </c>
      <c r="E447" s="12" t="inlineStr">
        <is>
          <t>IND/MEL/00446</t>
        </is>
      </c>
      <c r="F447" s="1" t="inlineStr">
        <is>
          <t>M</t>
        </is>
      </c>
      <c r="G447" s="1" t="inlineStr">
        <is>
          <t>Arjun Valzari</t>
        </is>
      </c>
      <c r="H447" s="1" t="inlineStr">
        <is>
          <t>Alya Valzari</t>
        </is>
      </c>
      <c r="I447" s="30" t="n">
        <v>45725</v>
      </c>
      <c r="J447" s="1" t="inlineStr">
        <is>
          <t>140 Birchwood Lane</t>
        </is>
      </c>
      <c r="K447" s="1" t="inlineStr">
        <is>
          <t>Emerald Road</t>
        </is>
      </c>
      <c r="L447" s="1" t="inlineStr">
        <is>
          <t>PIN:979619 ST ALBANS</t>
        </is>
      </c>
      <c r="M447" s="2" t="inlineStr">
        <is>
          <t>MHA/IND/00446</t>
        </is>
      </c>
      <c r="N447" s="30" t="n">
        <v>45859</v>
      </c>
    </row>
    <row r="448">
      <c r="A448" s="28" t="n">
        <v>447</v>
      </c>
      <c r="B448" s="1" t="inlineStr">
        <is>
          <t>NEIL VALZARI</t>
        </is>
      </c>
      <c r="C448" s="30" t="n">
        <v>45894</v>
      </c>
      <c r="D448" s="1" t="inlineStr">
        <is>
          <t>BLACKTOWN</t>
        </is>
      </c>
      <c r="E448" s="12" t="inlineStr">
        <is>
          <t>IND/MEL/00447</t>
        </is>
      </c>
      <c r="F448" s="1" t="inlineStr">
        <is>
          <t>M</t>
        </is>
      </c>
      <c r="G448" s="1" t="inlineStr">
        <is>
          <t>Ishan Valzari</t>
        </is>
      </c>
      <c r="H448" s="1" t="inlineStr">
        <is>
          <t>Sara Valzari</t>
        </is>
      </c>
      <c r="I448" s="30" t="n">
        <v>45951</v>
      </c>
      <c r="J448" s="1" t="inlineStr">
        <is>
          <t>59 Birchwood Lane</t>
        </is>
      </c>
      <c r="K448" s="1" t="inlineStr">
        <is>
          <t>Emerald Road</t>
        </is>
      </c>
      <c r="L448" s="1" t="inlineStr">
        <is>
          <t>PIN:338900 BLACKTOWN</t>
        </is>
      </c>
      <c r="M448" s="2" t="inlineStr">
        <is>
          <t>MHA/IND/00447</t>
        </is>
      </c>
      <c r="N448" s="30" t="n">
        <v>45895</v>
      </c>
    </row>
    <row r="449">
      <c r="A449" s="28" t="n">
        <v>448</v>
      </c>
      <c r="B449" s="1" t="inlineStr">
        <is>
          <t>ANYA RISHKAN</t>
        </is>
      </c>
      <c r="C449" s="30" t="n">
        <v>45891</v>
      </c>
      <c r="D449" s="1" t="inlineStr">
        <is>
          <t>DARWIN</t>
        </is>
      </c>
      <c r="E449" s="12" t="inlineStr">
        <is>
          <t>IND/MEL/00448</t>
        </is>
      </c>
      <c r="F449" s="1" t="inlineStr">
        <is>
          <t>F</t>
        </is>
      </c>
      <c r="G449" s="1" t="inlineStr">
        <is>
          <t>Rohit Rishkan</t>
        </is>
      </c>
      <c r="H449" s="1" t="inlineStr">
        <is>
          <t>Mira Rishkan</t>
        </is>
      </c>
      <c r="I449" s="30" t="n">
        <v>45934</v>
      </c>
      <c r="J449" s="1" t="inlineStr">
        <is>
          <t>125 Birchwood Lane</t>
        </is>
      </c>
      <c r="K449" s="1" t="inlineStr">
        <is>
          <t>Emerald Road</t>
        </is>
      </c>
      <c r="L449" s="1" t="inlineStr">
        <is>
          <t>PIN:311709 DARWIN</t>
        </is>
      </c>
      <c r="M449" s="2" t="inlineStr">
        <is>
          <t>MHA/IND/00448</t>
        </is>
      </c>
      <c r="N449" s="30" t="n">
        <v>45884</v>
      </c>
    </row>
    <row r="450">
      <c r="A450" s="28" t="n">
        <v>449</v>
      </c>
      <c r="B450" s="1" t="inlineStr">
        <is>
          <t>RIYA VALZARI</t>
        </is>
      </c>
      <c r="C450" s="30" t="n">
        <v>45681</v>
      </c>
      <c r="D450" s="1" t="inlineStr">
        <is>
          <t>TOWNSVILLE</t>
        </is>
      </c>
      <c r="E450" s="12" t="inlineStr">
        <is>
          <t>IND/MEL/00449</t>
        </is>
      </c>
      <c r="F450" s="1" t="inlineStr">
        <is>
          <t>F</t>
        </is>
      </c>
      <c r="G450" s="1" t="inlineStr">
        <is>
          <t>Kiran Valzari</t>
        </is>
      </c>
      <c r="H450" s="1" t="inlineStr">
        <is>
          <t>Riya Valzari</t>
        </is>
      </c>
      <c r="I450" s="30" t="n">
        <v>45731</v>
      </c>
      <c r="J450" s="1" t="inlineStr">
        <is>
          <t>66 Birchwood Lane</t>
        </is>
      </c>
      <c r="K450" s="1" t="inlineStr">
        <is>
          <t>Emerald Road</t>
        </is>
      </c>
      <c r="L450" s="1" t="inlineStr">
        <is>
          <t>PIN:614427 TOWNSVILLE</t>
        </is>
      </c>
      <c r="M450" s="2" t="inlineStr">
        <is>
          <t>MHA/IND/00449</t>
        </is>
      </c>
      <c r="N450" s="30" t="n">
        <v>45857</v>
      </c>
    </row>
    <row r="451">
      <c r="A451" s="28" t="n">
        <v>450</v>
      </c>
      <c r="B451" s="1" t="inlineStr">
        <is>
          <t>NINA MYRTHOS</t>
        </is>
      </c>
      <c r="C451" s="30" t="n">
        <v>45792</v>
      </c>
      <c r="D451" s="1" t="inlineStr">
        <is>
          <t>MANDURAH</t>
        </is>
      </c>
      <c r="E451" s="12" t="inlineStr">
        <is>
          <t>IND/MEL/00450</t>
        </is>
      </c>
      <c r="F451" s="1" t="inlineStr">
        <is>
          <t>F</t>
        </is>
      </c>
      <c r="G451" s="1" t="inlineStr">
        <is>
          <t>Neil Myrthos</t>
        </is>
      </c>
      <c r="H451" s="1" t="inlineStr">
        <is>
          <t>Mira Myrthos</t>
        </is>
      </c>
      <c r="I451" s="30" t="n">
        <v>45804</v>
      </c>
      <c r="J451" s="1" t="inlineStr">
        <is>
          <t>141 Birchwood Lane</t>
        </is>
      </c>
      <c r="K451" s="1" t="inlineStr">
        <is>
          <t>Emerald Road</t>
        </is>
      </c>
      <c r="L451" s="1" t="inlineStr">
        <is>
          <t>PIN:221704 MANDURAH</t>
        </is>
      </c>
      <c r="M451" s="2" t="inlineStr">
        <is>
          <t>MHA/IND/00450</t>
        </is>
      </c>
      <c r="N451" s="30" t="n">
        <v>45856</v>
      </c>
    </row>
    <row r="452">
      <c r="A452" s="28" t="n">
        <v>451</v>
      </c>
      <c r="B452" s="1" t="inlineStr">
        <is>
          <t>KABIR KALEON</t>
        </is>
      </c>
      <c r="C452" s="30" t="n">
        <v>45720</v>
      </c>
      <c r="D452" s="1" t="inlineStr">
        <is>
          <t>CLAYTON</t>
        </is>
      </c>
      <c r="E452" s="12" t="inlineStr">
        <is>
          <t>IND/MEL/00451</t>
        </is>
      </c>
      <c r="F452" s="1" t="inlineStr">
        <is>
          <t>M</t>
        </is>
      </c>
      <c r="G452" s="1" t="inlineStr">
        <is>
          <t>Kabir Kaleon</t>
        </is>
      </c>
      <c r="H452" s="1" t="inlineStr">
        <is>
          <t>Tara Kaleon</t>
        </is>
      </c>
      <c r="I452" s="30" t="n">
        <v>45828</v>
      </c>
      <c r="J452" s="1" t="inlineStr">
        <is>
          <t>185 Birchwood Lane</t>
        </is>
      </c>
      <c r="K452" s="1" t="inlineStr">
        <is>
          <t>Emerald Road</t>
        </is>
      </c>
      <c r="L452" s="1" t="inlineStr">
        <is>
          <t>PIN:746995 CLAYTON</t>
        </is>
      </c>
      <c r="M452" s="2" t="inlineStr">
        <is>
          <t>MHA/IND/00451</t>
        </is>
      </c>
      <c r="N452" s="30" t="n">
        <v>45870</v>
      </c>
    </row>
    <row r="453">
      <c r="A453" s="28" t="n">
        <v>452</v>
      </c>
      <c r="B453" s="1" t="inlineStr">
        <is>
          <t>MIRA MYRTHOS</t>
        </is>
      </c>
      <c r="C453" s="30" t="n">
        <v>45902</v>
      </c>
      <c r="D453" s="1" t="inlineStr">
        <is>
          <t>WAGGA WAGGA</t>
        </is>
      </c>
      <c r="E453" s="12" t="inlineStr">
        <is>
          <t>IND/MEL/00452</t>
        </is>
      </c>
      <c r="F453" s="1" t="inlineStr">
        <is>
          <t>F</t>
        </is>
      </c>
      <c r="G453" s="1" t="inlineStr">
        <is>
          <t>Kiran Myrthos</t>
        </is>
      </c>
      <c r="H453" s="1" t="inlineStr">
        <is>
          <t>Sara Myrthos</t>
        </is>
      </c>
      <c r="I453" s="30" t="n">
        <v>45948</v>
      </c>
      <c r="J453" s="1" t="inlineStr">
        <is>
          <t>91 Birchwood Lane</t>
        </is>
      </c>
      <c r="K453" s="1" t="inlineStr">
        <is>
          <t>Emerald Road</t>
        </is>
      </c>
      <c r="L453" s="1" t="inlineStr">
        <is>
          <t>PIN:224333 WAGGA WAGGA</t>
        </is>
      </c>
      <c r="M453" s="2" t="inlineStr">
        <is>
          <t>MHA/IND/00452</t>
        </is>
      </c>
      <c r="N453" s="30" t="n">
        <v>45885</v>
      </c>
    </row>
    <row r="454">
      <c r="A454" s="28" t="n">
        <v>453</v>
      </c>
      <c r="B454" s="1" t="inlineStr">
        <is>
          <t>KIRAN SHARMA</t>
        </is>
      </c>
      <c r="C454" s="30" t="n">
        <v>45772</v>
      </c>
      <c r="D454" s="1" t="inlineStr">
        <is>
          <t>BOX HILL</t>
        </is>
      </c>
      <c r="E454" s="12" t="inlineStr">
        <is>
          <t>IND/MEL/00453</t>
        </is>
      </c>
      <c r="F454" s="1" t="inlineStr">
        <is>
          <t>M</t>
        </is>
      </c>
      <c r="G454" s="1" t="inlineStr">
        <is>
          <t>Rohit Sharma</t>
        </is>
      </c>
      <c r="H454" s="1" t="inlineStr">
        <is>
          <t>Anya Sharma</t>
        </is>
      </c>
      <c r="I454" s="30" t="n">
        <v>45866</v>
      </c>
      <c r="J454" s="1" t="inlineStr">
        <is>
          <t>177 Birchwood Lane</t>
        </is>
      </c>
      <c r="K454" s="1" t="inlineStr">
        <is>
          <t>Emerald Road</t>
        </is>
      </c>
      <c r="L454" s="1" t="inlineStr">
        <is>
          <t>PIN:240679 BOX HILL</t>
        </is>
      </c>
      <c r="M454" s="2" t="inlineStr">
        <is>
          <t>MHA/IND/00453</t>
        </is>
      </c>
      <c r="N454" s="30" t="n">
        <v>45871</v>
      </c>
    </row>
    <row r="455">
      <c r="A455" s="28" t="n">
        <v>454</v>
      </c>
      <c r="B455" s="1" t="inlineStr">
        <is>
          <t>KIRAN KALEON</t>
        </is>
      </c>
      <c r="C455" s="30" t="n">
        <v>45877</v>
      </c>
      <c r="D455" s="1" t="inlineStr">
        <is>
          <t>ARMADALE</t>
        </is>
      </c>
      <c r="E455" s="12" t="inlineStr">
        <is>
          <t>IND/MEL/00454</t>
        </is>
      </c>
      <c r="F455" s="1" t="inlineStr">
        <is>
          <t>M</t>
        </is>
      </c>
      <c r="G455" s="1" t="inlineStr">
        <is>
          <t>Neil Kaleon</t>
        </is>
      </c>
      <c r="H455" s="1" t="inlineStr">
        <is>
          <t>Alya Kaleon</t>
        </is>
      </c>
      <c r="I455" s="30" t="n">
        <v>45911</v>
      </c>
      <c r="J455" s="1" t="inlineStr">
        <is>
          <t>129 Birchwood Lane</t>
        </is>
      </c>
      <c r="K455" s="1" t="inlineStr">
        <is>
          <t>Emerald Road</t>
        </is>
      </c>
      <c r="L455" s="1" t="inlineStr">
        <is>
          <t>PIN:586924 ARMADALE</t>
        </is>
      </c>
      <c r="M455" s="2" t="inlineStr">
        <is>
          <t>MHA/IND/00454</t>
        </is>
      </c>
      <c r="N455" s="30" t="n">
        <v>45861</v>
      </c>
    </row>
    <row r="456">
      <c r="A456" s="28" t="n">
        <v>455</v>
      </c>
      <c r="B456" s="1" t="inlineStr">
        <is>
          <t>TARA SINDALE</t>
        </is>
      </c>
      <c r="C456" s="30" t="n">
        <v>45719</v>
      </c>
      <c r="D456" s="1" t="inlineStr">
        <is>
          <t>BUNDABERG</t>
        </is>
      </c>
      <c r="E456" s="12" t="inlineStr">
        <is>
          <t>IND/MEL/00455</t>
        </is>
      </c>
      <c r="F456" s="1" t="inlineStr">
        <is>
          <t>F</t>
        </is>
      </c>
      <c r="G456" s="1" t="inlineStr">
        <is>
          <t>Kiran Sindale</t>
        </is>
      </c>
      <c r="H456" s="1" t="inlineStr">
        <is>
          <t>Riya Sindale</t>
        </is>
      </c>
      <c r="I456" s="30" t="n">
        <v>45770</v>
      </c>
      <c r="J456" s="1" t="inlineStr">
        <is>
          <t>16 Birchwood Lane</t>
        </is>
      </c>
      <c r="K456" s="1" t="inlineStr">
        <is>
          <t>Emerald Road</t>
        </is>
      </c>
      <c r="L456" s="1" t="inlineStr">
        <is>
          <t>PIN:282096 BUNDABERG</t>
        </is>
      </c>
      <c r="M456" s="2" t="inlineStr">
        <is>
          <t>MHA/IND/00455</t>
        </is>
      </c>
      <c r="N456" s="30" t="n">
        <v>45873</v>
      </c>
    </row>
    <row r="457">
      <c r="A457" s="28" t="n">
        <v>456</v>
      </c>
      <c r="B457" s="1" t="inlineStr">
        <is>
          <t>DEV RAO</t>
        </is>
      </c>
      <c r="C457" s="30" t="n">
        <v>45744</v>
      </c>
      <c r="D457" s="1" t="inlineStr">
        <is>
          <t>CANBERRA</t>
        </is>
      </c>
      <c r="E457" s="12" t="inlineStr">
        <is>
          <t>IND/MEL/00456</t>
        </is>
      </c>
      <c r="F457" s="1" t="inlineStr">
        <is>
          <t>M</t>
        </is>
      </c>
      <c r="G457" s="1" t="inlineStr">
        <is>
          <t>Arjun Rao</t>
        </is>
      </c>
      <c r="H457" s="1" t="inlineStr">
        <is>
          <t>Sara Rao</t>
        </is>
      </c>
      <c r="I457" s="30" t="n">
        <v>45788</v>
      </c>
      <c r="J457" s="1" t="inlineStr">
        <is>
          <t>41 Birchwood Lane</t>
        </is>
      </c>
      <c r="K457" s="1" t="inlineStr">
        <is>
          <t>Emerald Road</t>
        </is>
      </c>
      <c r="L457" s="1" t="inlineStr">
        <is>
          <t>PIN:342753 CANBERRA</t>
        </is>
      </c>
      <c r="M457" s="2" t="inlineStr">
        <is>
          <t>MHA/IND/00456</t>
        </is>
      </c>
      <c r="N457" s="30" t="n">
        <v>45853</v>
      </c>
    </row>
    <row r="458">
      <c r="A458" s="28" t="n">
        <v>457</v>
      </c>
      <c r="B458" s="1" t="inlineStr">
        <is>
          <t>ISHAN RISHKAN</t>
        </is>
      </c>
      <c r="C458" s="30" t="n">
        <v>45825</v>
      </c>
      <c r="D458" s="1" t="inlineStr">
        <is>
          <t>DALBY</t>
        </is>
      </c>
      <c r="E458" s="12" t="inlineStr">
        <is>
          <t>IND/MEL/00457</t>
        </is>
      </c>
      <c r="F458" s="1" t="inlineStr">
        <is>
          <t>M</t>
        </is>
      </c>
      <c r="G458" s="1" t="inlineStr">
        <is>
          <t>Arjun Rishkan</t>
        </is>
      </c>
      <c r="H458" s="1" t="inlineStr">
        <is>
          <t>Sara Rishkan</t>
        </is>
      </c>
      <c r="I458" s="30" t="n">
        <v>45852</v>
      </c>
      <c r="J458" s="1" t="inlineStr">
        <is>
          <t>153 Birchwood Lane</t>
        </is>
      </c>
      <c r="K458" s="1" t="inlineStr">
        <is>
          <t>Emerald Road</t>
        </is>
      </c>
      <c r="L458" s="1" t="inlineStr">
        <is>
          <t>PIN:321233 DALBY</t>
        </is>
      </c>
      <c r="M458" s="2" t="inlineStr">
        <is>
          <t>MHA/IND/00457</t>
        </is>
      </c>
      <c r="N458" s="30" t="n">
        <v>45865</v>
      </c>
    </row>
    <row r="459">
      <c r="A459" s="28" t="n">
        <v>458</v>
      </c>
      <c r="B459" s="1" t="inlineStr">
        <is>
          <t>KABIR SINDALE</t>
        </is>
      </c>
      <c r="C459" s="30" t="n">
        <v>45917</v>
      </c>
      <c r="D459" s="1" t="inlineStr">
        <is>
          <t>FREMANTLE</t>
        </is>
      </c>
      <c r="E459" s="12" t="inlineStr">
        <is>
          <t>IND/MEL/00458</t>
        </is>
      </c>
      <c r="F459" s="1" t="inlineStr">
        <is>
          <t>M</t>
        </is>
      </c>
      <c r="G459" s="1" t="inlineStr">
        <is>
          <t>Dev Sindale</t>
        </is>
      </c>
      <c r="H459" s="1" t="inlineStr">
        <is>
          <t>Mira Sindale</t>
        </is>
      </c>
      <c r="I459" s="30" t="n">
        <v>46021</v>
      </c>
      <c r="J459" s="1" t="inlineStr">
        <is>
          <t>85 Birchwood Lane</t>
        </is>
      </c>
      <c r="K459" s="1" t="inlineStr">
        <is>
          <t>Emerald Road</t>
        </is>
      </c>
      <c r="L459" s="1" t="inlineStr">
        <is>
          <t>PIN:895271 FREMANTLE</t>
        </is>
      </c>
      <c r="M459" s="2" t="inlineStr">
        <is>
          <t>MHA/IND/00458</t>
        </is>
      </c>
      <c r="N459" s="30" t="n">
        <v>45840</v>
      </c>
    </row>
    <row r="460">
      <c r="A460" s="28" t="n">
        <v>459</v>
      </c>
      <c r="B460" s="1" t="inlineStr">
        <is>
          <t>KABIR SINDALE</t>
        </is>
      </c>
      <c r="C460" s="30" t="n">
        <v>45872</v>
      </c>
      <c r="D460" s="1" t="inlineStr">
        <is>
          <t>MILDURA</t>
        </is>
      </c>
      <c r="E460" s="12" t="inlineStr">
        <is>
          <t>IND/MEL/00459</t>
        </is>
      </c>
      <c r="F460" s="1" t="inlineStr">
        <is>
          <t>M</t>
        </is>
      </c>
      <c r="G460" s="1" t="inlineStr">
        <is>
          <t>Rohit Sindale</t>
        </is>
      </c>
      <c r="H460" s="1" t="inlineStr">
        <is>
          <t>Riya Sindale</t>
        </is>
      </c>
      <c r="I460" s="30" t="n">
        <v>45939</v>
      </c>
      <c r="J460" s="1" t="inlineStr">
        <is>
          <t>79 Birchwood Lane</t>
        </is>
      </c>
      <c r="K460" s="1" t="inlineStr">
        <is>
          <t>Emerald Road</t>
        </is>
      </c>
      <c r="L460" s="1" t="inlineStr">
        <is>
          <t>PIN:922144 MILDURA</t>
        </is>
      </c>
      <c r="M460" s="2" t="inlineStr">
        <is>
          <t>MHA/IND/00459</t>
        </is>
      </c>
      <c r="N460" s="30" t="n">
        <v>45878</v>
      </c>
    </row>
    <row r="461">
      <c r="A461" s="28" t="n">
        <v>460</v>
      </c>
      <c r="B461" s="1" t="inlineStr">
        <is>
          <t>AREN RAO</t>
        </is>
      </c>
      <c r="C461" s="30" t="n">
        <v>45678</v>
      </c>
      <c r="D461" s="1" t="inlineStr">
        <is>
          <t>BENDIGO</t>
        </is>
      </c>
      <c r="E461" s="12" t="inlineStr">
        <is>
          <t>IND/MEL/00460</t>
        </is>
      </c>
      <c r="F461" s="1" t="inlineStr">
        <is>
          <t>M</t>
        </is>
      </c>
      <c r="G461" s="1" t="inlineStr">
        <is>
          <t>Rohit Rao</t>
        </is>
      </c>
      <c r="H461" s="1" t="inlineStr">
        <is>
          <t>Alya Rao</t>
        </is>
      </c>
      <c r="I461" s="30" t="n">
        <v>45741</v>
      </c>
      <c r="J461" s="1" t="inlineStr">
        <is>
          <t>196 Birchwood Lane</t>
        </is>
      </c>
      <c r="K461" s="1" t="inlineStr">
        <is>
          <t>Emerald Road</t>
        </is>
      </c>
      <c r="L461" s="1" t="inlineStr">
        <is>
          <t>PIN:670585 BENDIGO</t>
        </is>
      </c>
      <c r="M461" s="2" t="inlineStr">
        <is>
          <t>MHA/IND/00460</t>
        </is>
      </c>
      <c r="N461" s="30" t="n">
        <v>45845</v>
      </c>
    </row>
    <row r="462">
      <c r="A462" s="28" t="n">
        <v>461</v>
      </c>
      <c r="B462" s="1" t="inlineStr">
        <is>
          <t>ANYA KALEON</t>
        </is>
      </c>
      <c r="C462" s="30" t="n">
        <v>45871</v>
      </c>
      <c r="D462" s="1" t="inlineStr">
        <is>
          <t>ELIZABETH VALE</t>
        </is>
      </c>
      <c r="E462" s="12" t="inlineStr">
        <is>
          <t>IND/MEL/00461</t>
        </is>
      </c>
      <c r="F462" s="1" t="inlineStr">
        <is>
          <t>F</t>
        </is>
      </c>
      <c r="G462" s="1" t="inlineStr">
        <is>
          <t>Arjun Kaleon</t>
        </is>
      </c>
      <c r="H462" s="1" t="inlineStr">
        <is>
          <t>Diya Kaleon</t>
        </is>
      </c>
      <c r="I462" s="30" t="n">
        <v>45877</v>
      </c>
      <c r="J462" s="1" t="inlineStr">
        <is>
          <t>21 Birchwood Lane</t>
        </is>
      </c>
      <c r="K462" s="1" t="inlineStr">
        <is>
          <t>Emerald Road</t>
        </is>
      </c>
      <c r="L462" s="1" t="inlineStr">
        <is>
          <t>PIN:270043 ELIZABETH VALE</t>
        </is>
      </c>
      <c r="M462" s="2" t="inlineStr">
        <is>
          <t>MHA/IND/00461</t>
        </is>
      </c>
      <c r="N462" s="30" t="n">
        <v>45858</v>
      </c>
    </row>
    <row r="463">
      <c r="A463" s="28" t="n">
        <v>462</v>
      </c>
      <c r="B463" s="1" t="inlineStr">
        <is>
          <t>TARA SHARMA</t>
        </is>
      </c>
      <c r="C463" s="30" t="n">
        <v>45678</v>
      </c>
      <c r="D463" s="1" t="inlineStr">
        <is>
          <t>ROCKHAMPTON</t>
        </is>
      </c>
      <c r="E463" s="12" t="inlineStr">
        <is>
          <t>IND/MEL/00462</t>
        </is>
      </c>
      <c r="F463" s="1" t="inlineStr">
        <is>
          <t>F</t>
        </is>
      </c>
      <c r="G463" s="1" t="inlineStr">
        <is>
          <t>Ishan Sharma</t>
        </is>
      </c>
      <c r="H463" s="1" t="inlineStr">
        <is>
          <t>Alya Sharma</t>
        </is>
      </c>
      <c r="I463" s="30" t="n">
        <v>45723</v>
      </c>
      <c r="J463" s="1" t="inlineStr">
        <is>
          <t>18 Birchwood Lane</t>
        </is>
      </c>
      <c r="K463" s="1" t="inlineStr">
        <is>
          <t>Emerald Road</t>
        </is>
      </c>
      <c r="L463" s="1" t="inlineStr">
        <is>
          <t>PIN:303591 ROCKHAMPTON</t>
        </is>
      </c>
      <c r="M463" s="2" t="inlineStr">
        <is>
          <t>MHA/IND/00462</t>
        </is>
      </c>
      <c r="N463" s="30" t="n">
        <v>45865</v>
      </c>
    </row>
    <row r="464">
      <c r="A464" s="28" t="n">
        <v>463</v>
      </c>
      <c r="B464" s="1" t="inlineStr">
        <is>
          <t>NINA RISHKAN</t>
        </is>
      </c>
      <c r="C464" s="30" t="n">
        <v>45759</v>
      </c>
      <c r="D464" s="1" t="inlineStr">
        <is>
          <t>PENRITH</t>
        </is>
      </c>
      <c r="E464" s="12" t="inlineStr">
        <is>
          <t>IND/MEL/00463</t>
        </is>
      </c>
      <c r="F464" s="1" t="inlineStr">
        <is>
          <t>F</t>
        </is>
      </c>
      <c r="G464" s="1" t="inlineStr">
        <is>
          <t>Rohit Rishkan</t>
        </is>
      </c>
      <c r="H464" s="1" t="inlineStr">
        <is>
          <t>Diya Rishkan</t>
        </is>
      </c>
      <c r="I464" s="30" t="n">
        <v>45784</v>
      </c>
      <c r="J464" s="1" t="inlineStr">
        <is>
          <t>15 Birchwood Lane</t>
        </is>
      </c>
      <c r="K464" s="1" t="inlineStr">
        <is>
          <t>Emerald Road</t>
        </is>
      </c>
      <c r="L464" s="1" t="inlineStr">
        <is>
          <t>PIN:224030 PENRITH</t>
        </is>
      </c>
      <c r="M464" s="2" t="inlineStr">
        <is>
          <t>MHA/IND/00463</t>
        </is>
      </c>
      <c r="N464" s="30" t="n">
        <v>45885</v>
      </c>
    </row>
    <row r="465">
      <c r="A465" s="28" t="n">
        <v>464</v>
      </c>
      <c r="B465" s="1" t="inlineStr">
        <is>
          <t>ISHAN SHARMA</t>
        </is>
      </c>
      <c r="C465" s="30" t="n">
        <v>45922</v>
      </c>
      <c r="D465" s="1" t="inlineStr">
        <is>
          <t>SHEPPARTON</t>
        </is>
      </c>
      <c r="E465" s="12" t="inlineStr">
        <is>
          <t>IND/MEL/00464</t>
        </is>
      </c>
      <c r="F465" s="1" t="inlineStr">
        <is>
          <t>M</t>
        </is>
      </c>
      <c r="G465" s="1" t="inlineStr">
        <is>
          <t>Kiran Sharma</t>
        </is>
      </c>
      <c r="H465" s="1" t="inlineStr">
        <is>
          <t>Anya Sharma</t>
        </is>
      </c>
      <c r="I465" s="30" t="n">
        <v>46001</v>
      </c>
      <c r="J465" s="1" t="inlineStr">
        <is>
          <t>80 Birchwood Lane</t>
        </is>
      </c>
      <c r="K465" s="1" t="inlineStr">
        <is>
          <t>Emerald Road</t>
        </is>
      </c>
      <c r="L465" s="1" t="inlineStr">
        <is>
          <t>PIN:482859 SHEPPARTON</t>
        </is>
      </c>
      <c r="M465" s="2" t="inlineStr">
        <is>
          <t>MHA/IND/00464</t>
        </is>
      </c>
      <c r="N465" s="30" t="n">
        <v>45867</v>
      </c>
    </row>
    <row r="466">
      <c r="A466" s="28" t="n">
        <v>465</v>
      </c>
      <c r="B466" s="1" t="inlineStr">
        <is>
          <t>DIYA KALEON</t>
        </is>
      </c>
      <c r="C466" s="30" t="n">
        <v>45951</v>
      </c>
      <c r="D466" s="1" t="inlineStr">
        <is>
          <t>CANBERRA</t>
        </is>
      </c>
      <c r="E466" s="12" t="inlineStr">
        <is>
          <t>IND/MEL/00465</t>
        </is>
      </c>
      <c r="F466" s="1" t="inlineStr">
        <is>
          <t>F</t>
        </is>
      </c>
      <c r="G466" s="1" t="inlineStr">
        <is>
          <t>Rohit Kaleon</t>
        </is>
      </c>
      <c r="H466" s="1" t="inlineStr">
        <is>
          <t>Tara Kaleon</t>
        </is>
      </c>
      <c r="I466" s="30" t="n">
        <v>45996</v>
      </c>
      <c r="J466" s="1" t="inlineStr">
        <is>
          <t>125 Birchwood Lane</t>
        </is>
      </c>
      <c r="K466" s="1" t="inlineStr">
        <is>
          <t>Emerald Road</t>
        </is>
      </c>
      <c r="L466" s="1" t="inlineStr">
        <is>
          <t>PIN:924013 CANBERRA</t>
        </is>
      </c>
      <c r="M466" s="2" t="inlineStr">
        <is>
          <t>MHA/IND/00465</t>
        </is>
      </c>
      <c r="N466" s="30" t="n">
        <v>45895</v>
      </c>
    </row>
    <row r="467">
      <c r="A467" s="28" t="n">
        <v>466</v>
      </c>
      <c r="B467" s="1" t="inlineStr">
        <is>
          <t>SARA SINDALE</t>
        </is>
      </c>
      <c r="C467" s="30" t="n">
        <v>45810</v>
      </c>
      <c r="D467" s="1" t="inlineStr">
        <is>
          <t>KINGSWOOD</t>
        </is>
      </c>
      <c r="E467" s="12" t="inlineStr">
        <is>
          <t>IND/MEL/00466</t>
        </is>
      </c>
      <c r="F467" s="1" t="inlineStr">
        <is>
          <t>F</t>
        </is>
      </c>
      <c r="G467" s="1" t="inlineStr">
        <is>
          <t>Dev Sindale</t>
        </is>
      </c>
      <c r="H467" s="1" t="inlineStr">
        <is>
          <t>Sara Sindale</t>
        </is>
      </c>
      <c r="I467" s="30" t="n">
        <v>45883</v>
      </c>
      <c r="J467" s="1" t="inlineStr">
        <is>
          <t>41 Birchwood Lane</t>
        </is>
      </c>
      <c r="K467" s="1" t="inlineStr">
        <is>
          <t>Emerald Road</t>
        </is>
      </c>
      <c r="L467" s="1" t="inlineStr">
        <is>
          <t>PIN:781777 KINGSWOOD</t>
        </is>
      </c>
      <c r="M467" s="2" t="inlineStr">
        <is>
          <t>MHA/IND/00466</t>
        </is>
      </c>
      <c r="N467" s="30" t="n">
        <v>45847</v>
      </c>
    </row>
    <row r="468">
      <c r="A468" s="28" t="n">
        <v>467</v>
      </c>
      <c r="B468" s="1" t="inlineStr">
        <is>
          <t>ANYA RISHKAN</t>
        </is>
      </c>
      <c r="C468" s="30" t="n">
        <v>45803</v>
      </c>
      <c r="D468" s="1" t="inlineStr">
        <is>
          <t>LOGAN</t>
        </is>
      </c>
      <c r="E468" s="12" t="inlineStr">
        <is>
          <t>IND/MEL/00467</t>
        </is>
      </c>
      <c r="F468" s="1" t="inlineStr">
        <is>
          <t>F</t>
        </is>
      </c>
      <c r="G468" s="1" t="inlineStr">
        <is>
          <t>Ishan Rishkan</t>
        </is>
      </c>
      <c r="H468" s="1" t="inlineStr">
        <is>
          <t>Nina Rishkan</t>
        </is>
      </c>
      <c r="I468" s="30" t="n">
        <v>45810</v>
      </c>
      <c r="J468" s="1" t="inlineStr">
        <is>
          <t>185 Birchwood Lane</t>
        </is>
      </c>
      <c r="K468" s="1" t="inlineStr">
        <is>
          <t>Emerald Road</t>
        </is>
      </c>
      <c r="L468" s="1" t="inlineStr">
        <is>
          <t>PIN:787279 LOGAN</t>
        </is>
      </c>
      <c r="M468" s="2" t="inlineStr">
        <is>
          <t>MHA/IND/00467</t>
        </is>
      </c>
      <c r="N468" s="30" t="n">
        <v>45896</v>
      </c>
    </row>
    <row r="469">
      <c r="A469" s="28" t="n">
        <v>468</v>
      </c>
      <c r="B469" s="1" t="inlineStr">
        <is>
          <t>ISHAN VALZARI</t>
        </is>
      </c>
      <c r="C469" s="30" t="n">
        <v>45745</v>
      </c>
      <c r="D469" s="1" t="inlineStr">
        <is>
          <t>WOLLONGONG</t>
        </is>
      </c>
      <c r="E469" s="12" t="inlineStr">
        <is>
          <t>IND/MEL/00468</t>
        </is>
      </c>
      <c r="F469" s="1" t="inlineStr">
        <is>
          <t>M</t>
        </is>
      </c>
      <c r="G469" s="1" t="inlineStr">
        <is>
          <t>Rohit Valzari</t>
        </is>
      </c>
      <c r="H469" s="1" t="inlineStr">
        <is>
          <t>Anya Valzari</t>
        </is>
      </c>
      <c r="I469" s="30" t="n">
        <v>45765</v>
      </c>
      <c r="J469" s="1" t="inlineStr">
        <is>
          <t>164 Birchwood Lane</t>
        </is>
      </c>
      <c r="K469" s="1" t="inlineStr">
        <is>
          <t>Emerald Road</t>
        </is>
      </c>
      <c r="L469" s="1" t="inlineStr">
        <is>
          <t>PIN:587534 WOLLONGONG</t>
        </is>
      </c>
      <c r="M469" s="2" t="inlineStr">
        <is>
          <t>MHA/IND/00468</t>
        </is>
      </c>
      <c r="N469" s="30" t="n">
        <v>45858</v>
      </c>
    </row>
    <row r="470">
      <c r="A470" s="28" t="n">
        <v>469</v>
      </c>
      <c r="B470" s="1" t="inlineStr">
        <is>
          <t>ANYA SHARMA</t>
        </is>
      </c>
      <c r="C470" s="30" t="n">
        <v>45710</v>
      </c>
      <c r="D470" s="1" t="inlineStr">
        <is>
          <t>LENAH VALLEY</t>
        </is>
      </c>
      <c r="E470" s="12" t="inlineStr">
        <is>
          <t>IND/MEL/00469</t>
        </is>
      </c>
      <c r="F470" s="1" t="inlineStr">
        <is>
          <t>F</t>
        </is>
      </c>
      <c r="G470" s="1" t="inlineStr">
        <is>
          <t>Ishan Sharma</t>
        </is>
      </c>
      <c r="H470" s="1" t="inlineStr">
        <is>
          <t>Mira Sharma</t>
        </is>
      </c>
      <c r="I470" s="30" t="n">
        <v>45826</v>
      </c>
      <c r="J470" s="1" t="inlineStr">
        <is>
          <t>173 Birchwood Lane</t>
        </is>
      </c>
      <c r="K470" s="1" t="inlineStr">
        <is>
          <t>Emerald Road</t>
        </is>
      </c>
      <c r="L470" s="1" t="inlineStr">
        <is>
          <t>PIN:603275 LENAH VALLEY</t>
        </is>
      </c>
      <c r="M470" s="2" t="inlineStr">
        <is>
          <t>MHA/IND/00469</t>
        </is>
      </c>
      <c r="N470" s="30" t="n">
        <v>45869</v>
      </c>
    </row>
    <row r="471">
      <c r="A471" s="28" t="n">
        <v>470</v>
      </c>
      <c r="B471" s="1" t="inlineStr">
        <is>
          <t>AREN SHARMA</t>
        </is>
      </c>
      <c r="C471" s="30" t="n">
        <v>45924</v>
      </c>
      <c r="D471" s="1" t="inlineStr">
        <is>
          <t>ST ALBANS</t>
        </is>
      </c>
      <c r="E471" s="12" t="inlineStr">
        <is>
          <t>IND/MEL/00470</t>
        </is>
      </c>
      <c r="F471" s="1" t="inlineStr">
        <is>
          <t>M</t>
        </is>
      </c>
      <c r="G471" s="1" t="inlineStr">
        <is>
          <t>Ishan Sharma</t>
        </is>
      </c>
      <c r="H471" s="1" t="inlineStr">
        <is>
          <t>Sara Sharma</t>
        </is>
      </c>
      <c r="I471" s="30" t="n">
        <v>45978</v>
      </c>
      <c r="J471" s="1" t="inlineStr">
        <is>
          <t>185 Birchwood Lane</t>
        </is>
      </c>
      <c r="K471" s="1" t="inlineStr">
        <is>
          <t>Emerald Road</t>
        </is>
      </c>
      <c r="L471" s="1" t="inlineStr">
        <is>
          <t>PIN:267223 ST ALBANS</t>
        </is>
      </c>
      <c r="M471" s="2" t="inlineStr">
        <is>
          <t>MHA/IND/00470</t>
        </is>
      </c>
      <c r="N471" s="30" t="n">
        <v>45853</v>
      </c>
    </row>
    <row r="472">
      <c r="A472" s="28" t="n">
        <v>471</v>
      </c>
      <c r="B472" s="1" t="inlineStr">
        <is>
          <t>KIRAN RAO</t>
        </is>
      </c>
      <c r="C472" s="30" t="n">
        <v>45884</v>
      </c>
      <c r="D472" s="1" t="inlineStr">
        <is>
          <t>MOUNT BARKER</t>
        </is>
      </c>
      <c r="E472" s="12" t="inlineStr">
        <is>
          <t>IND/MEL/00471</t>
        </is>
      </c>
      <c r="F472" s="1" t="inlineStr">
        <is>
          <t>M</t>
        </is>
      </c>
      <c r="G472" s="1" t="inlineStr">
        <is>
          <t>Arjun Rao</t>
        </is>
      </c>
      <c r="H472" s="1" t="inlineStr">
        <is>
          <t>Nina Rao</t>
        </is>
      </c>
      <c r="I472" s="30" t="n">
        <v>45993</v>
      </c>
      <c r="J472" s="1" t="inlineStr">
        <is>
          <t>34 Birchwood Lane</t>
        </is>
      </c>
      <c r="K472" s="1" t="inlineStr">
        <is>
          <t>Emerald Road</t>
        </is>
      </c>
      <c r="L472" s="1" t="inlineStr">
        <is>
          <t>PIN:714417 MOUNT BARKER</t>
        </is>
      </c>
      <c r="M472" s="2" t="inlineStr">
        <is>
          <t>MHA/IND/00471</t>
        </is>
      </c>
      <c r="N472" s="30" t="n">
        <v>45893</v>
      </c>
    </row>
    <row r="473">
      <c r="A473" s="28" t="n">
        <v>472</v>
      </c>
      <c r="B473" s="1" t="inlineStr">
        <is>
          <t>DIYA MYRTHOS</t>
        </is>
      </c>
      <c r="C473" s="30" t="n">
        <v>45849</v>
      </c>
      <c r="D473" s="1" t="inlineStr">
        <is>
          <t>WAGGA WAGGA</t>
        </is>
      </c>
      <c r="E473" s="12" t="inlineStr">
        <is>
          <t>IND/MEL/00472</t>
        </is>
      </c>
      <c r="F473" s="1" t="inlineStr">
        <is>
          <t>F</t>
        </is>
      </c>
      <c r="G473" s="1" t="inlineStr">
        <is>
          <t>Dev Myrthos</t>
        </is>
      </c>
      <c r="H473" s="1" t="inlineStr">
        <is>
          <t>Anya Myrthos</t>
        </is>
      </c>
      <c r="I473" s="30" t="n">
        <v>45947</v>
      </c>
      <c r="J473" s="1" t="inlineStr">
        <is>
          <t>180 Birchwood Lane</t>
        </is>
      </c>
      <c r="K473" s="1" t="inlineStr">
        <is>
          <t>Emerald Road</t>
        </is>
      </c>
      <c r="L473" s="1" t="inlineStr">
        <is>
          <t>PIN:547163 WAGGA WAGGA</t>
        </is>
      </c>
      <c r="M473" s="2" t="inlineStr">
        <is>
          <t>MHA/IND/00472</t>
        </is>
      </c>
      <c r="N473" s="30" t="n">
        <v>45868</v>
      </c>
    </row>
    <row r="474">
      <c r="A474" s="28" t="n">
        <v>473</v>
      </c>
      <c r="B474" s="1" t="inlineStr">
        <is>
          <t>RIYA KALEON</t>
        </is>
      </c>
      <c r="C474" s="30" t="n">
        <v>45828</v>
      </c>
      <c r="D474" s="1" t="inlineStr">
        <is>
          <t>MANDURAH</t>
        </is>
      </c>
      <c r="E474" s="12" t="inlineStr">
        <is>
          <t>IND/MEL/00473</t>
        </is>
      </c>
      <c r="F474" s="1" t="inlineStr">
        <is>
          <t>F</t>
        </is>
      </c>
      <c r="G474" s="1" t="inlineStr">
        <is>
          <t>Kiran Kaleon</t>
        </is>
      </c>
      <c r="H474" s="1" t="inlineStr">
        <is>
          <t>Diya Kaleon</t>
        </is>
      </c>
      <c r="I474" s="30" t="n">
        <v>45920</v>
      </c>
      <c r="J474" s="1" t="inlineStr">
        <is>
          <t>175 Birchwood Lane</t>
        </is>
      </c>
      <c r="K474" s="1" t="inlineStr">
        <is>
          <t>Emerald Road</t>
        </is>
      </c>
      <c r="L474" s="1" t="inlineStr">
        <is>
          <t>PIN:580720 MANDURAH</t>
        </is>
      </c>
      <c r="M474" s="2" t="inlineStr">
        <is>
          <t>MHA/IND/00473</t>
        </is>
      </c>
      <c r="N474" s="30" t="n">
        <v>45885</v>
      </c>
    </row>
    <row r="475">
      <c r="A475" s="28" t="n">
        <v>474</v>
      </c>
      <c r="B475" s="1" t="inlineStr">
        <is>
          <t>AREN VALZARI</t>
        </is>
      </c>
      <c r="C475" s="30" t="n">
        <v>45846</v>
      </c>
      <c r="D475" s="1" t="inlineStr">
        <is>
          <t>BERWICK</t>
        </is>
      </c>
      <c r="E475" s="12" t="inlineStr">
        <is>
          <t>IND/MEL/00474</t>
        </is>
      </c>
      <c r="F475" s="1" t="inlineStr">
        <is>
          <t>M</t>
        </is>
      </c>
      <c r="G475" s="1" t="inlineStr">
        <is>
          <t>Kabir Valzari</t>
        </is>
      </c>
      <c r="H475" s="1" t="inlineStr">
        <is>
          <t>Anya Valzari</t>
        </is>
      </c>
      <c r="I475" s="30" t="n">
        <v>45910</v>
      </c>
      <c r="J475" s="1" t="inlineStr">
        <is>
          <t>172 Birchwood Lane</t>
        </is>
      </c>
      <c r="K475" s="1" t="inlineStr">
        <is>
          <t>Emerald Road</t>
        </is>
      </c>
      <c r="L475" s="1" t="inlineStr">
        <is>
          <t>PIN:562388 BERWICK</t>
        </is>
      </c>
      <c r="M475" s="2" t="inlineStr">
        <is>
          <t>MHA/IND/00474</t>
        </is>
      </c>
      <c r="N475" s="30" t="n">
        <v>45878</v>
      </c>
    </row>
    <row r="476">
      <c r="A476" s="28" t="n">
        <v>475</v>
      </c>
      <c r="B476" s="1" t="inlineStr">
        <is>
          <t>SARA VALZARI</t>
        </is>
      </c>
      <c r="C476" s="30" t="n">
        <v>45841</v>
      </c>
      <c r="D476" s="1" t="inlineStr">
        <is>
          <t>BERWICK</t>
        </is>
      </c>
      <c r="E476" s="12" t="inlineStr">
        <is>
          <t>IND/MEL/00475</t>
        </is>
      </c>
      <c r="F476" s="1" t="inlineStr">
        <is>
          <t>F</t>
        </is>
      </c>
      <c r="G476" s="1" t="inlineStr">
        <is>
          <t>Arjun Valzari</t>
        </is>
      </c>
      <c r="H476" s="1" t="inlineStr">
        <is>
          <t>Riya Valzari</t>
        </is>
      </c>
      <c r="I476" s="30" t="n">
        <v>45873</v>
      </c>
      <c r="J476" s="1" t="inlineStr">
        <is>
          <t>82 Birchwood Lane</t>
        </is>
      </c>
      <c r="K476" s="1" t="inlineStr">
        <is>
          <t>Emerald Road</t>
        </is>
      </c>
      <c r="L476" s="1" t="inlineStr">
        <is>
          <t>PIN:894635 BERWICK</t>
        </is>
      </c>
      <c r="M476" s="2" t="inlineStr">
        <is>
          <t>MHA/IND/00475</t>
        </is>
      </c>
      <c r="N476" s="30" t="n">
        <v>45854</v>
      </c>
    </row>
    <row r="477">
      <c r="A477" s="28" t="n">
        <v>476</v>
      </c>
      <c r="B477" s="1" t="inlineStr">
        <is>
          <t>KABIR MYRTHOS</t>
        </is>
      </c>
      <c r="C477" s="30" t="n">
        <v>45922</v>
      </c>
      <c r="D477" s="1" t="inlineStr">
        <is>
          <t>LIVERPOOL</t>
        </is>
      </c>
      <c r="E477" s="12" t="inlineStr">
        <is>
          <t>IND/MEL/00476</t>
        </is>
      </c>
      <c r="F477" s="1" t="inlineStr">
        <is>
          <t>M</t>
        </is>
      </c>
      <c r="G477" s="1" t="inlineStr">
        <is>
          <t>Dev Myrthos</t>
        </is>
      </c>
      <c r="H477" s="1" t="inlineStr">
        <is>
          <t>Riya Myrthos</t>
        </is>
      </c>
      <c r="I477" s="30" t="n">
        <v>45983</v>
      </c>
      <c r="J477" s="1" t="inlineStr">
        <is>
          <t>164 Birchwood Lane</t>
        </is>
      </c>
      <c r="K477" s="1" t="inlineStr">
        <is>
          <t>Emerald Road</t>
        </is>
      </c>
      <c r="L477" s="1" t="inlineStr">
        <is>
          <t>PIN:165275 LIVERPOOL</t>
        </is>
      </c>
      <c r="M477" s="2" t="inlineStr">
        <is>
          <t>MHA/IND/00476</t>
        </is>
      </c>
      <c r="N477" s="30" t="n">
        <v>45844</v>
      </c>
    </row>
    <row r="478">
      <c r="A478" s="28" t="n">
        <v>477</v>
      </c>
      <c r="B478" s="1" t="inlineStr">
        <is>
          <t>KIRAN SHARMA</t>
        </is>
      </c>
      <c r="C478" s="30" t="n">
        <v>45721</v>
      </c>
      <c r="D478" s="1" t="inlineStr">
        <is>
          <t>NEWCASTLE</t>
        </is>
      </c>
      <c r="E478" s="12" t="inlineStr">
        <is>
          <t>IND/MEL/00477</t>
        </is>
      </c>
      <c r="F478" s="1" t="inlineStr">
        <is>
          <t>M</t>
        </is>
      </c>
      <c r="G478" s="1" t="inlineStr">
        <is>
          <t>Aren Sharma</t>
        </is>
      </c>
      <c r="H478" s="1" t="inlineStr">
        <is>
          <t>Diya Sharma</t>
        </is>
      </c>
      <c r="I478" s="30" t="n">
        <v>45744</v>
      </c>
      <c r="J478" s="1" t="inlineStr">
        <is>
          <t>151 Birchwood Lane</t>
        </is>
      </c>
      <c r="K478" s="1" t="inlineStr">
        <is>
          <t>Emerald Road</t>
        </is>
      </c>
      <c r="L478" s="1" t="inlineStr">
        <is>
          <t>PIN:313133 NEWCASTLE</t>
        </is>
      </c>
      <c r="M478" s="2" t="inlineStr">
        <is>
          <t>MHA/IND/00477</t>
        </is>
      </c>
      <c r="N478" s="30" t="n">
        <v>45885</v>
      </c>
    </row>
    <row r="479">
      <c r="A479" s="28" t="n">
        <v>478</v>
      </c>
      <c r="B479" s="1" t="inlineStr">
        <is>
          <t>TARA SINDALE</t>
        </is>
      </c>
      <c r="C479" s="30" t="n">
        <v>45751</v>
      </c>
      <c r="D479" s="1" t="inlineStr">
        <is>
          <t>LIVERPOOL</t>
        </is>
      </c>
      <c r="E479" s="12" t="inlineStr">
        <is>
          <t>IND/MEL/00478</t>
        </is>
      </c>
      <c r="F479" s="1" t="inlineStr">
        <is>
          <t>F</t>
        </is>
      </c>
      <c r="G479" s="1" t="inlineStr">
        <is>
          <t>Aren Sindale</t>
        </is>
      </c>
      <c r="H479" s="1" t="inlineStr">
        <is>
          <t>Riya Sindale</t>
        </is>
      </c>
      <c r="I479" s="30" t="n">
        <v>45763</v>
      </c>
      <c r="J479" s="1" t="inlineStr">
        <is>
          <t>29 Birchwood Lane</t>
        </is>
      </c>
      <c r="K479" s="1" t="inlineStr">
        <is>
          <t>Emerald Road</t>
        </is>
      </c>
      <c r="L479" s="1" t="inlineStr">
        <is>
          <t>PIN:978049 LIVERPOOL</t>
        </is>
      </c>
      <c r="M479" s="2" t="inlineStr">
        <is>
          <t>MHA/IND/00478</t>
        </is>
      </c>
      <c r="N479" s="30" t="n">
        <v>45891</v>
      </c>
    </row>
    <row r="480">
      <c r="A480" s="28" t="n">
        <v>479</v>
      </c>
      <c r="B480" s="1" t="inlineStr">
        <is>
          <t>ARJUN KALEON</t>
        </is>
      </c>
      <c r="C480" s="30" t="n">
        <v>45863</v>
      </c>
      <c r="D480" s="1" t="inlineStr">
        <is>
          <t>NEWCASTLE</t>
        </is>
      </c>
      <c r="E480" s="12" t="inlineStr">
        <is>
          <t>IND/MEL/00479</t>
        </is>
      </c>
      <c r="F480" s="1" t="inlineStr">
        <is>
          <t>M</t>
        </is>
      </c>
      <c r="G480" s="1" t="inlineStr">
        <is>
          <t>Arjun Kaleon</t>
        </is>
      </c>
      <c r="H480" s="1" t="inlineStr">
        <is>
          <t>Alya Kaleon</t>
        </is>
      </c>
      <c r="I480" s="30" t="n">
        <v>45879</v>
      </c>
      <c r="J480" s="1" t="inlineStr">
        <is>
          <t>62 Birchwood Lane</t>
        </is>
      </c>
      <c r="K480" s="1" t="inlineStr">
        <is>
          <t>Emerald Road</t>
        </is>
      </c>
      <c r="L480" s="1" t="inlineStr">
        <is>
          <t>PIN:759250 NEWCASTLE</t>
        </is>
      </c>
      <c r="M480" s="2" t="inlineStr">
        <is>
          <t>MHA/IND/00479</t>
        </is>
      </c>
      <c r="N480" s="30" t="n">
        <v>45847</v>
      </c>
    </row>
    <row r="481">
      <c r="A481" s="28" t="n">
        <v>480</v>
      </c>
      <c r="B481" s="1" t="inlineStr">
        <is>
          <t>DEV SHARMA</t>
        </is>
      </c>
      <c r="C481" s="30" t="n">
        <v>45678</v>
      </c>
      <c r="D481" s="1" t="inlineStr">
        <is>
          <t>LIVERPOOL</t>
        </is>
      </c>
      <c r="E481" s="12" t="inlineStr">
        <is>
          <t>IND/MEL/00480</t>
        </is>
      </c>
      <c r="F481" s="1" t="inlineStr">
        <is>
          <t>M</t>
        </is>
      </c>
      <c r="G481" s="1" t="inlineStr">
        <is>
          <t>Rohit Sharma</t>
        </is>
      </c>
      <c r="H481" s="1" t="inlineStr">
        <is>
          <t>Alya Sharma</t>
        </is>
      </c>
      <c r="I481" s="30" t="n">
        <v>45709</v>
      </c>
      <c r="J481" s="1" t="inlineStr">
        <is>
          <t>136 Birchwood Lane</t>
        </is>
      </c>
      <c r="K481" s="1" t="inlineStr">
        <is>
          <t>Emerald Road</t>
        </is>
      </c>
      <c r="L481" s="1" t="inlineStr">
        <is>
          <t>PIN:265684 LIVERPOOL</t>
        </is>
      </c>
      <c r="M481" s="2" t="inlineStr">
        <is>
          <t>MHA/IND/00480</t>
        </is>
      </c>
      <c r="N481" s="30" t="n">
        <v>45884</v>
      </c>
    </row>
    <row r="482">
      <c r="A482" s="28" t="n">
        <v>481</v>
      </c>
      <c r="B482" s="1" t="inlineStr">
        <is>
          <t>KABIR KALEON</t>
        </is>
      </c>
      <c r="C482" s="30" t="n">
        <v>45815</v>
      </c>
      <c r="D482" s="1" t="inlineStr">
        <is>
          <t>BENDIGO</t>
        </is>
      </c>
      <c r="E482" s="12" t="inlineStr">
        <is>
          <t>IND/MEL/00481</t>
        </is>
      </c>
      <c r="F482" s="1" t="inlineStr">
        <is>
          <t>M</t>
        </is>
      </c>
      <c r="G482" s="1" t="inlineStr">
        <is>
          <t>Dev Kaleon</t>
        </is>
      </c>
      <c r="H482" s="1" t="inlineStr">
        <is>
          <t>Tara Kaleon</t>
        </is>
      </c>
      <c r="I482" s="30" t="n">
        <v>45869</v>
      </c>
      <c r="J482" s="1" t="inlineStr">
        <is>
          <t>70 Birchwood Lane</t>
        </is>
      </c>
      <c r="K482" s="1" t="inlineStr">
        <is>
          <t>Emerald Road</t>
        </is>
      </c>
      <c r="L482" s="1" t="inlineStr">
        <is>
          <t>PIN:669525 BENDIGO</t>
        </is>
      </c>
      <c r="M482" s="2" t="inlineStr">
        <is>
          <t>MHA/IND/00481</t>
        </is>
      </c>
      <c r="N482" s="30" t="n">
        <v>45873</v>
      </c>
    </row>
    <row r="483">
      <c r="A483" s="28" t="n">
        <v>482</v>
      </c>
      <c r="B483" s="1" t="inlineStr">
        <is>
          <t>ALYA SINDALE</t>
        </is>
      </c>
      <c r="C483" s="30" t="n">
        <v>45851</v>
      </c>
      <c r="D483" s="1" t="inlineStr">
        <is>
          <t>WOLLONGONG</t>
        </is>
      </c>
      <c r="E483" s="12" t="inlineStr">
        <is>
          <t>IND/MEL/00482</t>
        </is>
      </c>
      <c r="F483" s="1" t="inlineStr">
        <is>
          <t>F</t>
        </is>
      </c>
      <c r="G483" s="1" t="inlineStr">
        <is>
          <t>Rohit Sindale</t>
        </is>
      </c>
      <c r="H483" s="1" t="inlineStr">
        <is>
          <t>Nina Sindale</t>
        </is>
      </c>
      <c r="I483" s="30" t="n">
        <v>45889</v>
      </c>
      <c r="J483" s="1" t="inlineStr">
        <is>
          <t>71 Birchwood Lane</t>
        </is>
      </c>
      <c r="K483" s="1" t="inlineStr">
        <is>
          <t>Emerald Road</t>
        </is>
      </c>
      <c r="L483" s="1" t="inlineStr">
        <is>
          <t>PIN:806096 WOLLONGONG</t>
        </is>
      </c>
      <c r="M483" s="2" t="inlineStr">
        <is>
          <t>MHA/IND/00482</t>
        </is>
      </c>
      <c r="N483" s="30" t="n">
        <v>45844</v>
      </c>
    </row>
    <row r="484">
      <c r="A484" s="28" t="n">
        <v>483</v>
      </c>
      <c r="B484" s="1" t="inlineStr">
        <is>
          <t>MIRA KALEON</t>
        </is>
      </c>
      <c r="C484" s="30" t="n">
        <v>45825</v>
      </c>
      <c r="D484" s="1" t="inlineStr">
        <is>
          <t>DALBY</t>
        </is>
      </c>
      <c r="E484" s="12" t="inlineStr">
        <is>
          <t>IND/MEL/00483</t>
        </is>
      </c>
      <c r="F484" s="1" t="inlineStr">
        <is>
          <t>F</t>
        </is>
      </c>
      <c r="G484" s="1" t="inlineStr">
        <is>
          <t>Kabir Kaleon</t>
        </is>
      </c>
      <c r="H484" s="1" t="inlineStr">
        <is>
          <t>Alya Kaleon</t>
        </is>
      </c>
      <c r="I484" s="30" t="n">
        <v>45844</v>
      </c>
      <c r="J484" s="1" t="inlineStr">
        <is>
          <t>123 Birchwood Lane</t>
        </is>
      </c>
      <c r="K484" s="1" t="inlineStr">
        <is>
          <t>Emerald Road</t>
        </is>
      </c>
      <c r="L484" s="1" t="inlineStr">
        <is>
          <t>PIN:836079 DALBY</t>
        </is>
      </c>
      <c r="M484" s="2" t="inlineStr">
        <is>
          <t>MHA/IND/00483</t>
        </is>
      </c>
      <c r="N484" s="30" t="n">
        <v>45887</v>
      </c>
    </row>
    <row r="485">
      <c r="A485" s="28" t="n">
        <v>484</v>
      </c>
      <c r="B485" s="1" t="inlineStr">
        <is>
          <t>ROHIT MYRTHOS</t>
        </is>
      </c>
      <c r="C485" s="30" t="n">
        <v>45685</v>
      </c>
      <c r="D485" s="1" t="inlineStr">
        <is>
          <t>CLAYTON</t>
        </is>
      </c>
      <c r="E485" s="12" t="inlineStr">
        <is>
          <t>IND/MEL/00484</t>
        </is>
      </c>
      <c r="F485" s="1" t="inlineStr">
        <is>
          <t>M</t>
        </is>
      </c>
      <c r="G485" s="1" t="inlineStr">
        <is>
          <t>Kabir Myrthos</t>
        </is>
      </c>
      <c r="H485" s="1" t="inlineStr">
        <is>
          <t>Mira Myrthos</t>
        </is>
      </c>
      <c r="I485" s="30" t="n">
        <v>45709</v>
      </c>
      <c r="J485" s="1" t="inlineStr">
        <is>
          <t>106 Birchwood Lane</t>
        </is>
      </c>
      <c r="K485" s="1" t="inlineStr">
        <is>
          <t>Emerald Road</t>
        </is>
      </c>
      <c r="L485" s="1" t="inlineStr">
        <is>
          <t>PIN:528267 CLAYTON</t>
        </is>
      </c>
      <c r="M485" s="2" t="inlineStr">
        <is>
          <t>MHA/IND/00484</t>
        </is>
      </c>
      <c r="N485" s="30" t="n">
        <v>45858</v>
      </c>
    </row>
    <row r="486">
      <c r="A486" s="28" t="n">
        <v>485</v>
      </c>
      <c r="B486" s="1" t="inlineStr">
        <is>
          <t>TARA SINDALE</t>
        </is>
      </c>
      <c r="C486" s="30" t="n">
        <v>45841</v>
      </c>
      <c r="D486" s="1" t="inlineStr">
        <is>
          <t>MANDURAH</t>
        </is>
      </c>
      <c r="E486" s="12" t="inlineStr">
        <is>
          <t>IND/MEL/00485</t>
        </is>
      </c>
      <c r="F486" s="1" t="inlineStr">
        <is>
          <t>F</t>
        </is>
      </c>
      <c r="G486" s="1" t="inlineStr">
        <is>
          <t>Dev Sindale</t>
        </is>
      </c>
      <c r="H486" s="1" t="inlineStr">
        <is>
          <t>Nina Sindale</t>
        </is>
      </c>
      <c r="I486" s="30" t="n">
        <v>45884</v>
      </c>
      <c r="J486" s="1" t="inlineStr">
        <is>
          <t>163 Birchwood Lane</t>
        </is>
      </c>
      <c r="K486" s="1" t="inlineStr">
        <is>
          <t>Emerald Road</t>
        </is>
      </c>
      <c r="L486" s="1" t="inlineStr">
        <is>
          <t>PIN:587920 MANDURAH</t>
        </is>
      </c>
      <c r="M486" s="2" t="inlineStr">
        <is>
          <t>MHA/IND/00485</t>
        </is>
      </c>
      <c r="N486" s="30" t="n">
        <v>45860</v>
      </c>
    </row>
    <row r="487">
      <c r="A487" s="28" t="n">
        <v>486</v>
      </c>
      <c r="B487" s="1" t="inlineStr">
        <is>
          <t>ANYA RAO</t>
        </is>
      </c>
      <c r="C487" s="30" t="n">
        <v>45815</v>
      </c>
      <c r="D487" s="1" t="inlineStr">
        <is>
          <t>BUNDOORA</t>
        </is>
      </c>
      <c r="E487" s="12" t="inlineStr">
        <is>
          <t>IND/MEL/00486</t>
        </is>
      </c>
      <c r="F487" s="1" t="inlineStr">
        <is>
          <t>F</t>
        </is>
      </c>
      <c r="G487" s="1" t="inlineStr">
        <is>
          <t>Kiran Rao</t>
        </is>
      </c>
      <c r="H487" s="1" t="inlineStr">
        <is>
          <t>Tara Rao</t>
        </is>
      </c>
      <c r="I487" s="30" t="n">
        <v>45833</v>
      </c>
      <c r="J487" s="1" t="inlineStr">
        <is>
          <t>166 Birchwood Lane</t>
        </is>
      </c>
      <c r="K487" s="1" t="inlineStr">
        <is>
          <t>Emerald Road</t>
        </is>
      </c>
      <c r="L487" s="1" t="inlineStr">
        <is>
          <t>PIN:443245 BUNDOORA</t>
        </is>
      </c>
      <c r="M487" s="2" t="inlineStr">
        <is>
          <t>MHA/IND/00486</t>
        </is>
      </c>
      <c r="N487" s="30" t="n">
        <v>45870</v>
      </c>
    </row>
    <row r="488">
      <c r="A488" s="28" t="n">
        <v>487</v>
      </c>
      <c r="B488" s="1" t="inlineStr">
        <is>
          <t>TARA RISHKAN</t>
        </is>
      </c>
      <c r="C488" s="30" t="n">
        <v>45803</v>
      </c>
      <c r="D488" s="1" t="inlineStr">
        <is>
          <t>BRISBANE</t>
        </is>
      </c>
      <c r="E488" s="12" t="inlineStr">
        <is>
          <t>IND/MEL/00487</t>
        </is>
      </c>
      <c r="F488" s="1" t="inlineStr">
        <is>
          <t>F</t>
        </is>
      </c>
      <c r="G488" s="1" t="inlineStr">
        <is>
          <t>Rohit Rishkan</t>
        </is>
      </c>
      <c r="H488" s="1" t="inlineStr">
        <is>
          <t>Sara Rishkan</t>
        </is>
      </c>
      <c r="I488" s="30" t="n">
        <v>45882</v>
      </c>
      <c r="J488" s="1" t="inlineStr">
        <is>
          <t>130 Birchwood Lane</t>
        </is>
      </c>
      <c r="K488" s="1" t="inlineStr">
        <is>
          <t>Emerald Road</t>
        </is>
      </c>
      <c r="L488" s="1" t="inlineStr">
        <is>
          <t>PIN:854044 BRISBANE</t>
        </is>
      </c>
      <c r="M488" s="2" t="inlineStr">
        <is>
          <t>MHA/IND/00487</t>
        </is>
      </c>
      <c r="N488" s="30" t="n">
        <v>45866</v>
      </c>
    </row>
    <row r="489">
      <c r="A489" s="28" t="n">
        <v>488</v>
      </c>
      <c r="B489" s="1" t="inlineStr">
        <is>
          <t>KABIR SINDALE</t>
        </is>
      </c>
      <c r="C489" s="30" t="n">
        <v>45729</v>
      </c>
      <c r="D489" s="1" t="inlineStr">
        <is>
          <t>BERWICK</t>
        </is>
      </c>
      <c r="E489" s="12" t="inlineStr">
        <is>
          <t>IND/MEL/00488</t>
        </is>
      </c>
      <c r="F489" s="1" t="inlineStr">
        <is>
          <t>M</t>
        </is>
      </c>
      <c r="G489" s="1" t="inlineStr">
        <is>
          <t>Neil Sindale</t>
        </is>
      </c>
      <c r="H489" s="1" t="inlineStr">
        <is>
          <t>Riya Sindale</t>
        </is>
      </c>
      <c r="I489" s="30" t="n">
        <v>45792</v>
      </c>
      <c r="J489" s="1" t="inlineStr">
        <is>
          <t>90 Birchwood Lane</t>
        </is>
      </c>
      <c r="K489" s="1" t="inlineStr">
        <is>
          <t>Emerald Road</t>
        </is>
      </c>
      <c r="L489" s="1" t="inlineStr">
        <is>
          <t>PIN:146112 BERWICK</t>
        </is>
      </c>
      <c r="M489" s="2" t="inlineStr">
        <is>
          <t>MHA/IND/00488</t>
        </is>
      </c>
      <c r="N489" s="30" t="n">
        <v>45858</v>
      </c>
    </row>
    <row r="490">
      <c r="A490" s="28" t="n">
        <v>489</v>
      </c>
      <c r="B490" s="1" t="inlineStr">
        <is>
          <t>MIRA SHARMA</t>
        </is>
      </c>
      <c r="C490" s="30" t="n">
        <v>45794</v>
      </c>
      <c r="D490" s="1" t="inlineStr">
        <is>
          <t>GOSFORD</t>
        </is>
      </c>
      <c r="E490" s="12" t="inlineStr">
        <is>
          <t>IND/MEL/00489</t>
        </is>
      </c>
      <c r="F490" s="1" t="inlineStr">
        <is>
          <t>F</t>
        </is>
      </c>
      <c r="G490" s="1" t="inlineStr">
        <is>
          <t>Kiran Sharma</t>
        </is>
      </c>
      <c r="H490" s="1" t="inlineStr">
        <is>
          <t>Diya Sharma</t>
        </is>
      </c>
      <c r="I490" s="30" t="n">
        <v>45856</v>
      </c>
      <c r="J490" s="1" t="inlineStr">
        <is>
          <t>187 Birchwood Lane</t>
        </is>
      </c>
      <c r="K490" s="1" t="inlineStr">
        <is>
          <t>Emerald Road</t>
        </is>
      </c>
      <c r="L490" s="1" t="inlineStr">
        <is>
          <t>PIN:116116 GOSFORD</t>
        </is>
      </c>
      <c r="M490" s="2" t="inlineStr">
        <is>
          <t>MHA/IND/00489</t>
        </is>
      </c>
      <c r="N490" s="30" t="n">
        <v>45880</v>
      </c>
    </row>
    <row r="491">
      <c r="A491" s="28" t="n">
        <v>490</v>
      </c>
      <c r="B491" s="1" t="inlineStr">
        <is>
          <t>ANYA KALEON</t>
        </is>
      </c>
      <c r="C491" s="30" t="n">
        <v>45942</v>
      </c>
      <c r="D491" s="1" t="inlineStr">
        <is>
          <t>ARMADALE</t>
        </is>
      </c>
      <c r="E491" s="12" t="inlineStr">
        <is>
          <t>IND/MEL/00490</t>
        </is>
      </c>
      <c r="F491" s="1" t="inlineStr">
        <is>
          <t>F</t>
        </is>
      </c>
      <c r="G491" s="1" t="inlineStr">
        <is>
          <t>Rohit Kaleon</t>
        </is>
      </c>
      <c r="H491" s="1" t="inlineStr">
        <is>
          <t>Tara Kaleon</t>
        </is>
      </c>
      <c r="I491" s="30" t="n">
        <v>45968</v>
      </c>
      <c r="J491" s="1" t="inlineStr">
        <is>
          <t>146 Birchwood Lane</t>
        </is>
      </c>
      <c r="K491" s="1" t="inlineStr">
        <is>
          <t>Emerald Road</t>
        </is>
      </c>
      <c r="L491" s="1" t="inlineStr">
        <is>
          <t>PIN:698609 ARMADALE</t>
        </is>
      </c>
      <c r="M491" s="2" t="inlineStr">
        <is>
          <t>MHA/IND/00490</t>
        </is>
      </c>
      <c r="N491" s="30" t="n">
        <v>45878</v>
      </c>
    </row>
    <row r="492">
      <c r="A492" s="28" t="n">
        <v>491</v>
      </c>
      <c r="B492" s="1" t="inlineStr">
        <is>
          <t>ALYA KALEON</t>
        </is>
      </c>
      <c r="C492" s="30" t="n">
        <v>45910</v>
      </c>
      <c r="D492" s="1" t="inlineStr">
        <is>
          <t>PARKVILLE</t>
        </is>
      </c>
      <c r="E492" s="12" t="inlineStr">
        <is>
          <t>IND/MEL/00491</t>
        </is>
      </c>
      <c r="F492" s="1" t="inlineStr">
        <is>
          <t>F</t>
        </is>
      </c>
      <c r="G492" s="1" t="inlineStr">
        <is>
          <t>Ishan Kaleon</t>
        </is>
      </c>
      <c r="H492" s="1" t="inlineStr">
        <is>
          <t>Nina Kaleon</t>
        </is>
      </c>
      <c r="I492" s="30" t="n">
        <v>45999</v>
      </c>
      <c r="J492" s="1" t="inlineStr">
        <is>
          <t>94 Birchwood Lane</t>
        </is>
      </c>
      <c r="K492" s="1" t="inlineStr">
        <is>
          <t>Emerald Road</t>
        </is>
      </c>
      <c r="L492" s="1" t="inlineStr">
        <is>
          <t>PIN:243403 PARKVILLE</t>
        </is>
      </c>
      <c r="M492" s="2" t="inlineStr">
        <is>
          <t>MHA/IND/00491</t>
        </is>
      </c>
      <c r="N492" s="30" t="n">
        <v>45895</v>
      </c>
    </row>
    <row r="493">
      <c r="A493" s="28" t="n">
        <v>492</v>
      </c>
      <c r="B493" s="1" t="inlineStr">
        <is>
          <t>ANYA MYRTHOS</t>
        </is>
      </c>
      <c r="C493" s="30" t="n">
        <v>45912</v>
      </c>
      <c r="D493" s="1" t="inlineStr">
        <is>
          <t>LIVERPOOL</t>
        </is>
      </c>
      <c r="E493" s="12" t="inlineStr">
        <is>
          <t>IND/MEL/00492</t>
        </is>
      </c>
      <c r="F493" s="1" t="inlineStr">
        <is>
          <t>F</t>
        </is>
      </c>
      <c r="G493" s="1" t="inlineStr">
        <is>
          <t>Rohit Myrthos</t>
        </is>
      </c>
      <c r="H493" s="1" t="inlineStr">
        <is>
          <t>Mira Myrthos</t>
        </is>
      </c>
      <c r="I493" s="30" t="n">
        <v>45979</v>
      </c>
      <c r="J493" s="1" t="inlineStr">
        <is>
          <t>61 Birchwood Lane</t>
        </is>
      </c>
      <c r="K493" s="1" t="inlineStr">
        <is>
          <t>Emerald Road</t>
        </is>
      </c>
      <c r="L493" s="1" t="inlineStr">
        <is>
          <t>PIN:333036 LIVERPOOL</t>
        </is>
      </c>
      <c r="M493" s="2" t="inlineStr">
        <is>
          <t>MHA/IND/00492</t>
        </is>
      </c>
      <c r="N493" s="30" t="n">
        <v>45894</v>
      </c>
    </row>
    <row r="494">
      <c r="A494" s="28" t="n">
        <v>493</v>
      </c>
      <c r="B494" s="1" t="inlineStr">
        <is>
          <t>ROHIT VALZARI</t>
        </is>
      </c>
      <c r="C494" s="30" t="n">
        <v>45743</v>
      </c>
      <c r="D494" s="1" t="inlineStr">
        <is>
          <t>BEDFORD PARK</t>
        </is>
      </c>
      <c r="E494" s="12" t="inlineStr">
        <is>
          <t>IND/MEL/00493</t>
        </is>
      </c>
      <c r="F494" s="1" t="inlineStr">
        <is>
          <t>M</t>
        </is>
      </c>
      <c r="G494" s="1" t="inlineStr">
        <is>
          <t>Aren Valzari</t>
        </is>
      </c>
      <c r="H494" s="1" t="inlineStr">
        <is>
          <t>Riya Valzari</t>
        </is>
      </c>
      <c r="I494" s="30" t="n">
        <v>45808</v>
      </c>
      <c r="J494" s="1" t="inlineStr">
        <is>
          <t>69 Birchwood Lane</t>
        </is>
      </c>
      <c r="K494" s="1" t="inlineStr">
        <is>
          <t>Emerald Road</t>
        </is>
      </c>
      <c r="L494" s="1" t="inlineStr">
        <is>
          <t>PIN:974106 BEDFORD PARK</t>
        </is>
      </c>
      <c r="M494" s="2" t="inlineStr">
        <is>
          <t>MHA/IND/00493</t>
        </is>
      </c>
      <c r="N494" s="30" t="n">
        <v>45846</v>
      </c>
    </row>
    <row r="495">
      <c r="A495" s="28" t="n">
        <v>494</v>
      </c>
      <c r="B495" s="1" t="inlineStr">
        <is>
          <t>KIRAN VALZARI</t>
        </is>
      </c>
      <c r="C495" s="30" t="n">
        <v>45749</v>
      </c>
      <c r="D495" s="1" t="inlineStr">
        <is>
          <t>WODONGA</t>
        </is>
      </c>
      <c r="E495" s="12" t="inlineStr">
        <is>
          <t>IND/MEL/00494</t>
        </is>
      </c>
      <c r="F495" s="1" t="inlineStr">
        <is>
          <t>M</t>
        </is>
      </c>
      <c r="G495" s="1" t="inlineStr">
        <is>
          <t>Rohit Valzari</t>
        </is>
      </c>
      <c r="H495" s="1" t="inlineStr">
        <is>
          <t>Alya Valzari</t>
        </is>
      </c>
      <c r="I495" s="30" t="n">
        <v>45786</v>
      </c>
      <c r="J495" s="1" t="inlineStr">
        <is>
          <t>130 Birchwood Lane</t>
        </is>
      </c>
      <c r="K495" s="1" t="inlineStr">
        <is>
          <t>Emerald Road</t>
        </is>
      </c>
      <c r="L495" s="1" t="inlineStr">
        <is>
          <t>PIN:903256 WODONGA</t>
        </is>
      </c>
      <c r="M495" s="2" t="inlineStr">
        <is>
          <t>MHA/IND/00494</t>
        </is>
      </c>
      <c r="N495" s="30" t="n">
        <v>45862</v>
      </c>
    </row>
    <row r="496">
      <c r="A496" s="28" t="n">
        <v>495</v>
      </c>
      <c r="B496" s="1" t="inlineStr">
        <is>
          <t>DEV SINDALE</t>
        </is>
      </c>
      <c r="C496" s="30" t="n">
        <v>45800</v>
      </c>
      <c r="D496" s="1" t="inlineStr">
        <is>
          <t>FRANKSTON</t>
        </is>
      </c>
      <c r="E496" s="12" t="inlineStr">
        <is>
          <t>IND/MEL/00495</t>
        </is>
      </c>
      <c r="F496" s="1" t="inlineStr">
        <is>
          <t>M</t>
        </is>
      </c>
      <c r="G496" s="1" t="inlineStr">
        <is>
          <t>Aren Sindale</t>
        </is>
      </c>
      <c r="H496" s="1" t="inlineStr">
        <is>
          <t>Riya Sindale</t>
        </is>
      </c>
      <c r="I496" s="30" t="n">
        <v>45873</v>
      </c>
      <c r="J496" s="1" t="inlineStr">
        <is>
          <t>161 Birchwood Lane</t>
        </is>
      </c>
      <c r="K496" s="1" t="inlineStr">
        <is>
          <t>Emerald Road</t>
        </is>
      </c>
      <c r="L496" s="1" t="inlineStr">
        <is>
          <t>PIN:724180 FRANKSTON</t>
        </is>
      </c>
      <c r="M496" s="2" t="inlineStr">
        <is>
          <t>MHA/IND/00495</t>
        </is>
      </c>
      <c r="N496" s="30" t="n">
        <v>45878</v>
      </c>
    </row>
    <row r="497">
      <c r="A497" s="28" t="n">
        <v>496</v>
      </c>
      <c r="B497" s="1" t="inlineStr">
        <is>
          <t>KIRAN SHARMA</t>
        </is>
      </c>
      <c r="C497" s="30" t="n">
        <v>45819</v>
      </c>
      <c r="D497" s="1" t="inlineStr">
        <is>
          <t>TUGGERANONG</t>
        </is>
      </c>
      <c r="E497" s="12" t="inlineStr">
        <is>
          <t>IND/MEL/00496</t>
        </is>
      </c>
      <c r="F497" s="1" t="inlineStr">
        <is>
          <t>M</t>
        </is>
      </c>
      <c r="G497" s="1" t="inlineStr">
        <is>
          <t>Dev Sharma</t>
        </is>
      </c>
      <c r="H497" s="1" t="inlineStr">
        <is>
          <t>Nina Sharma</t>
        </is>
      </c>
      <c r="I497" s="30" t="n">
        <v>45937</v>
      </c>
      <c r="J497" s="1" t="inlineStr">
        <is>
          <t>29 Birchwood Lane</t>
        </is>
      </c>
      <c r="K497" s="1" t="inlineStr">
        <is>
          <t>Emerald Road</t>
        </is>
      </c>
      <c r="L497" s="1" t="inlineStr">
        <is>
          <t>PIN:696956 TUGGERANONG</t>
        </is>
      </c>
      <c r="M497" s="2" t="inlineStr">
        <is>
          <t>MHA/IND/00496</t>
        </is>
      </c>
      <c r="N497" s="30" t="n">
        <v>45895</v>
      </c>
    </row>
    <row r="498">
      <c r="A498" s="28" t="n">
        <v>497</v>
      </c>
      <c r="B498" s="1" t="inlineStr">
        <is>
          <t>MIRA SHARMA</t>
        </is>
      </c>
      <c r="C498" s="30" t="n">
        <v>45778</v>
      </c>
      <c r="D498" s="1" t="inlineStr">
        <is>
          <t>LAUNCESTON</t>
        </is>
      </c>
      <c r="E498" s="12" t="inlineStr">
        <is>
          <t>IND/MEL/00497</t>
        </is>
      </c>
      <c r="F498" s="1" t="inlineStr">
        <is>
          <t>F</t>
        </is>
      </c>
      <c r="G498" s="1" t="inlineStr">
        <is>
          <t>Rohit Sharma</t>
        </is>
      </c>
      <c r="H498" s="1" t="inlineStr">
        <is>
          <t>Mira Sharma</t>
        </is>
      </c>
      <c r="I498" s="30" t="n">
        <v>45790</v>
      </c>
      <c r="J498" s="1" t="inlineStr">
        <is>
          <t>193 Birchwood Lane</t>
        </is>
      </c>
      <c r="K498" s="1" t="inlineStr">
        <is>
          <t>Emerald Road</t>
        </is>
      </c>
      <c r="L498" s="1" t="inlineStr">
        <is>
          <t>PIN:866652 LAUNCESTON</t>
        </is>
      </c>
      <c r="M498" s="2" t="inlineStr">
        <is>
          <t>MHA/IND/00497</t>
        </is>
      </c>
      <c r="N498" s="30" t="n">
        <v>45844</v>
      </c>
    </row>
    <row r="499">
      <c r="A499" s="28" t="n">
        <v>498</v>
      </c>
      <c r="B499" s="1" t="inlineStr">
        <is>
          <t>SARA KALEON</t>
        </is>
      </c>
      <c r="C499" s="30" t="n">
        <v>45735</v>
      </c>
      <c r="D499" s="1" t="inlineStr">
        <is>
          <t>NORTH ADELAIDE</t>
        </is>
      </c>
      <c r="E499" s="12" t="inlineStr">
        <is>
          <t>IND/MEL/00498</t>
        </is>
      </c>
      <c r="F499" s="1" t="inlineStr">
        <is>
          <t>F</t>
        </is>
      </c>
      <c r="G499" s="1" t="inlineStr">
        <is>
          <t>Rohit Kaleon</t>
        </is>
      </c>
      <c r="H499" s="1" t="inlineStr">
        <is>
          <t>Anya Kaleon</t>
        </is>
      </c>
      <c r="I499" s="30" t="n">
        <v>45767</v>
      </c>
      <c r="J499" s="1" t="inlineStr">
        <is>
          <t>141 Birchwood Lane</t>
        </is>
      </c>
      <c r="K499" s="1" t="inlineStr">
        <is>
          <t>Emerald Road</t>
        </is>
      </c>
      <c r="L499" s="1" t="inlineStr">
        <is>
          <t>PIN:277862 NORTH ADELAIDE</t>
        </is>
      </c>
      <c r="M499" s="2" t="inlineStr">
        <is>
          <t>MHA/IND/00498</t>
        </is>
      </c>
      <c r="N499" s="30" t="n">
        <v>45872</v>
      </c>
    </row>
    <row r="500">
      <c r="A500" s="28" t="n">
        <v>499</v>
      </c>
      <c r="B500" s="1" t="inlineStr">
        <is>
          <t>RIYA RISHKAN</t>
        </is>
      </c>
      <c r="C500" s="30" t="n">
        <v>45865</v>
      </c>
      <c r="D500" s="1" t="inlineStr">
        <is>
          <t>TUGGERANONG</t>
        </is>
      </c>
      <c r="E500" s="12" t="inlineStr">
        <is>
          <t>IND/MEL/00499</t>
        </is>
      </c>
      <c r="F500" s="1" t="inlineStr">
        <is>
          <t>F</t>
        </is>
      </c>
      <c r="G500" s="1" t="inlineStr">
        <is>
          <t>Neil Rishkan</t>
        </is>
      </c>
      <c r="H500" s="1" t="inlineStr">
        <is>
          <t>Alya Rishkan</t>
        </is>
      </c>
      <c r="I500" s="30" t="n">
        <v>45873</v>
      </c>
      <c r="J500" s="1" t="inlineStr">
        <is>
          <t>57 Birchwood Lane</t>
        </is>
      </c>
      <c r="K500" s="1" t="inlineStr">
        <is>
          <t>Emerald Road</t>
        </is>
      </c>
      <c r="L500" s="1" t="inlineStr">
        <is>
          <t>PIN:771839 TUGGERANONG</t>
        </is>
      </c>
      <c r="M500" s="2" t="inlineStr">
        <is>
          <t>MHA/IND/00499</t>
        </is>
      </c>
      <c r="N500" s="30" t="n">
        <v>45852</v>
      </c>
    </row>
    <row r="501">
      <c r="A501" s="28" t="n">
        <v>500</v>
      </c>
      <c r="B501" s="1" t="inlineStr">
        <is>
          <t>ANYA SHARMA</t>
        </is>
      </c>
      <c r="C501" s="30" t="n">
        <v>45874</v>
      </c>
      <c r="D501" s="1" t="inlineStr">
        <is>
          <t>LIVERPOOL</t>
        </is>
      </c>
      <c r="E501" s="12" t="inlineStr">
        <is>
          <t>IND/MEL/00500</t>
        </is>
      </c>
      <c r="F501" s="1" t="inlineStr">
        <is>
          <t>F</t>
        </is>
      </c>
      <c r="G501" s="1" t="inlineStr">
        <is>
          <t>Dev Sharma</t>
        </is>
      </c>
      <c r="H501" s="1" t="inlineStr">
        <is>
          <t>Anya Sharma</t>
        </is>
      </c>
      <c r="I501" s="30" t="n">
        <v>45926</v>
      </c>
      <c r="J501" s="1" t="inlineStr">
        <is>
          <t>65 Birchwood Lane</t>
        </is>
      </c>
      <c r="K501" s="1" t="inlineStr">
        <is>
          <t>Emerald Road</t>
        </is>
      </c>
      <c r="L501" s="1" t="inlineStr">
        <is>
          <t>PIN:587081 LIVERPOOL</t>
        </is>
      </c>
      <c r="M501" s="2" t="inlineStr">
        <is>
          <t>MHA/IND/00500</t>
        </is>
      </c>
      <c r="N501" s="30" t="n">
        <v>45873</v>
      </c>
    </row>
    <row r="502">
      <c r="A502" s="28" t="n">
        <v>501</v>
      </c>
      <c r="B502" s="1" t="inlineStr">
        <is>
          <t>ANYA VALZARI</t>
        </is>
      </c>
      <c r="C502" s="30" t="n">
        <v>45670</v>
      </c>
      <c r="D502" s="1" t="inlineStr">
        <is>
          <t>BALLARAT CENTRAL</t>
        </is>
      </c>
      <c r="E502" s="12" t="inlineStr">
        <is>
          <t>IND/MEL/00501</t>
        </is>
      </c>
      <c r="F502" s="1" t="inlineStr">
        <is>
          <t>F</t>
        </is>
      </c>
      <c r="G502" s="1" t="inlineStr">
        <is>
          <t>Aren Valzari</t>
        </is>
      </c>
      <c r="H502" s="1" t="inlineStr">
        <is>
          <t>Anya Valzari</t>
        </is>
      </c>
      <c r="I502" s="30" t="n">
        <v>45679</v>
      </c>
      <c r="J502" s="1" t="inlineStr">
        <is>
          <t>74 Birchwood Lane</t>
        </is>
      </c>
      <c r="K502" s="1" t="inlineStr">
        <is>
          <t>Emerald Road</t>
        </is>
      </c>
      <c r="L502" s="1" t="inlineStr">
        <is>
          <t>PIN:832571 BALLARAT CENTRAL</t>
        </is>
      </c>
      <c r="M502" s="2" t="inlineStr">
        <is>
          <t>MHA/IND/00501</t>
        </is>
      </c>
      <c r="N502" s="30" t="n">
        <v>45844</v>
      </c>
    </row>
    <row r="503">
      <c r="A503" s="28" t="n">
        <v>502</v>
      </c>
      <c r="B503" s="1" t="inlineStr">
        <is>
          <t>ARJUN SINDALE</t>
        </is>
      </c>
      <c r="C503" s="30" t="n">
        <v>45874</v>
      </c>
      <c r="D503" s="1" t="inlineStr">
        <is>
          <t>FREMANTLE</t>
        </is>
      </c>
      <c r="E503" s="12" t="inlineStr">
        <is>
          <t>IND/MEL/00502</t>
        </is>
      </c>
      <c r="F503" s="1" t="inlineStr">
        <is>
          <t>M</t>
        </is>
      </c>
      <c r="G503" s="1" t="inlineStr">
        <is>
          <t>Ishan Sindale</t>
        </is>
      </c>
      <c r="H503" s="1" t="inlineStr">
        <is>
          <t>Nina Sindale</t>
        </is>
      </c>
      <c r="I503" s="30" t="n">
        <v>45982</v>
      </c>
      <c r="J503" s="1" t="inlineStr">
        <is>
          <t>26 Birchwood Lane</t>
        </is>
      </c>
      <c r="K503" s="1" t="inlineStr">
        <is>
          <t>Emerald Road</t>
        </is>
      </c>
      <c r="L503" s="1" t="inlineStr">
        <is>
          <t>PIN:919321 FREMANTLE</t>
        </is>
      </c>
      <c r="M503" s="2" t="inlineStr">
        <is>
          <t>MHA/IND/00502</t>
        </is>
      </c>
      <c r="N503" s="30" t="n">
        <v>45897</v>
      </c>
    </row>
    <row r="504">
      <c r="A504" s="28" t="n">
        <v>503</v>
      </c>
      <c r="B504" s="1" t="inlineStr">
        <is>
          <t>TARA KALEON</t>
        </is>
      </c>
      <c r="C504" s="30" t="n">
        <v>45783</v>
      </c>
      <c r="D504" s="1" t="inlineStr">
        <is>
          <t>IPSWICH</t>
        </is>
      </c>
      <c r="E504" s="12" t="inlineStr">
        <is>
          <t>IND/MEL/00503</t>
        </is>
      </c>
      <c r="F504" s="1" t="inlineStr">
        <is>
          <t>F</t>
        </is>
      </c>
      <c r="G504" s="1" t="inlineStr">
        <is>
          <t>Rohit Kaleon</t>
        </is>
      </c>
      <c r="H504" s="1" t="inlineStr">
        <is>
          <t>Tara Kaleon</t>
        </is>
      </c>
      <c r="I504" s="30" t="n">
        <v>45863</v>
      </c>
      <c r="J504" s="1" t="inlineStr">
        <is>
          <t>109 Birchwood Lane</t>
        </is>
      </c>
      <c r="K504" s="1" t="inlineStr">
        <is>
          <t>Emerald Road</t>
        </is>
      </c>
      <c r="L504" s="1" t="inlineStr">
        <is>
          <t>PIN:713260 IPSWICH</t>
        </is>
      </c>
      <c r="M504" s="2" t="inlineStr">
        <is>
          <t>MHA/IND/00503</t>
        </is>
      </c>
      <c r="N504" s="30" t="n">
        <v>45862</v>
      </c>
    </row>
    <row r="505">
      <c r="A505" s="28" t="n">
        <v>504</v>
      </c>
      <c r="B505" s="1" t="inlineStr">
        <is>
          <t>KIRAN SHARMA</t>
        </is>
      </c>
      <c r="C505" s="30" t="n">
        <v>45945</v>
      </c>
      <c r="D505" s="1" t="inlineStr">
        <is>
          <t>MILDURA</t>
        </is>
      </c>
      <c r="E505" s="12" t="inlineStr">
        <is>
          <t>IND/MEL/00504</t>
        </is>
      </c>
      <c r="F505" s="1" t="inlineStr">
        <is>
          <t>M</t>
        </is>
      </c>
      <c r="G505" s="1" t="inlineStr">
        <is>
          <t>Ishan Sharma</t>
        </is>
      </c>
      <c r="H505" s="1" t="inlineStr">
        <is>
          <t>Riya Sharma</t>
        </is>
      </c>
      <c r="I505" s="30" t="n">
        <v>45955</v>
      </c>
      <c r="J505" s="1" t="inlineStr">
        <is>
          <t>21 Birchwood Lane</t>
        </is>
      </c>
      <c r="K505" s="1" t="inlineStr">
        <is>
          <t>Emerald Road</t>
        </is>
      </c>
      <c r="L505" s="1" t="inlineStr">
        <is>
          <t>PIN:384008 MILDURA</t>
        </is>
      </c>
      <c r="M505" s="2" t="inlineStr">
        <is>
          <t>MHA/IND/00504</t>
        </is>
      </c>
      <c r="N505" s="30" t="n">
        <v>45850</v>
      </c>
    </row>
    <row r="506">
      <c r="A506" s="28" t="n">
        <v>505</v>
      </c>
      <c r="B506" s="1" t="inlineStr">
        <is>
          <t>ANYA RAO</t>
        </is>
      </c>
      <c r="C506" s="30" t="n">
        <v>45679</v>
      </c>
      <c r="D506" s="1" t="inlineStr">
        <is>
          <t>ST ALBANS</t>
        </is>
      </c>
      <c r="E506" s="12" t="inlineStr">
        <is>
          <t>IND/MEL/00505</t>
        </is>
      </c>
      <c r="F506" s="1" t="inlineStr">
        <is>
          <t>F</t>
        </is>
      </c>
      <c r="G506" s="1" t="inlineStr">
        <is>
          <t>Neil Rao</t>
        </is>
      </c>
      <c r="H506" s="1" t="inlineStr">
        <is>
          <t>Tara Rao</t>
        </is>
      </c>
      <c r="I506" s="30" t="n">
        <v>45704</v>
      </c>
      <c r="J506" s="1" t="inlineStr">
        <is>
          <t>198 Birchwood Lane</t>
        </is>
      </c>
      <c r="K506" s="1" t="inlineStr">
        <is>
          <t>Emerald Road</t>
        </is>
      </c>
      <c r="L506" s="1" t="inlineStr">
        <is>
          <t>PIN:435572 ST ALBANS</t>
        </is>
      </c>
      <c r="M506" s="2" t="inlineStr">
        <is>
          <t>MHA/IND/00505</t>
        </is>
      </c>
      <c r="N506" s="30" t="n">
        <v>45888</v>
      </c>
    </row>
    <row r="507">
      <c r="A507" s="28" t="n">
        <v>506</v>
      </c>
      <c r="B507" s="1" t="inlineStr">
        <is>
          <t>DIYA MYRTHOS</t>
        </is>
      </c>
      <c r="C507" s="30" t="n">
        <v>45928</v>
      </c>
      <c r="D507" s="1" t="inlineStr">
        <is>
          <t>BENDIGO</t>
        </is>
      </c>
      <c r="E507" s="12" t="inlineStr">
        <is>
          <t>IND/MEL/00506</t>
        </is>
      </c>
      <c r="F507" s="1" t="inlineStr">
        <is>
          <t>F</t>
        </is>
      </c>
      <c r="G507" s="1" t="inlineStr">
        <is>
          <t>Rohit Myrthos</t>
        </is>
      </c>
      <c r="H507" s="1" t="inlineStr">
        <is>
          <t>Alya Myrthos</t>
        </is>
      </c>
      <c r="I507" s="30" t="n">
        <v>45960</v>
      </c>
      <c r="J507" s="1" t="inlineStr">
        <is>
          <t>157 Birchwood Lane</t>
        </is>
      </c>
      <c r="K507" s="1" t="inlineStr">
        <is>
          <t>Emerald Road</t>
        </is>
      </c>
      <c r="L507" s="1" t="inlineStr">
        <is>
          <t>PIN:557614 BENDIGO</t>
        </is>
      </c>
      <c r="M507" s="2" t="inlineStr">
        <is>
          <t>MHA/IND/00506</t>
        </is>
      </c>
      <c r="N507" s="30" t="n">
        <v>45881</v>
      </c>
    </row>
    <row r="508">
      <c r="A508" s="28" t="n">
        <v>507</v>
      </c>
      <c r="B508" s="1" t="inlineStr">
        <is>
          <t>DIYA RISHKAN</t>
        </is>
      </c>
      <c r="C508" s="30" t="n">
        <v>45947</v>
      </c>
      <c r="D508" s="1" t="inlineStr">
        <is>
          <t>WOLLONGONG</t>
        </is>
      </c>
      <c r="E508" s="12" t="inlineStr">
        <is>
          <t>IND/MEL/00507</t>
        </is>
      </c>
      <c r="F508" s="1" t="inlineStr">
        <is>
          <t>F</t>
        </is>
      </c>
      <c r="G508" s="1" t="inlineStr">
        <is>
          <t>Kabir Rishkan</t>
        </is>
      </c>
      <c r="H508" s="1" t="inlineStr">
        <is>
          <t>Nina Rishkan</t>
        </is>
      </c>
      <c r="I508" s="30" t="n">
        <v>46053</v>
      </c>
      <c r="J508" s="1" t="inlineStr">
        <is>
          <t>77 Birchwood Lane</t>
        </is>
      </c>
      <c r="K508" s="1" t="inlineStr">
        <is>
          <t>Emerald Road</t>
        </is>
      </c>
      <c r="L508" s="1" t="inlineStr">
        <is>
          <t>PIN:990720 WOLLONGONG</t>
        </is>
      </c>
      <c r="M508" s="2" t="inlineStr">
        <is>
          <t>MHA/IND/00507</t>
        </is>
      </c>
      <c r="N508" s="30" t="n">
        <v>45870</v>
      </c>
    </row>
    <row r="509">
      <c r="A509" s="28" t="n">
        <v>508</v>
      </c>
      <c r="B509" s="1" t="inlineStr">
        <is>
          <t>ANYA VALZARI</t>
        </is>
      </c>
      <c r="C509" s="30" t="n">
        <v>45765</v>
      </c>
      <c r="D509" s="1" t="inlineStr">
        <is>
          <t>WERRIBEE</t>
        </is>
      </c>
      <c r="E509" s="12" t="inlineStr">
        <is>
          <t>IND/MEL/00508</t>
        </is>
      </c>
      <c r="F509" s="1" t="inlineStr">
        <is>
          <t>F</t>
        </is>
      </c>
      <c r="G509" s="1" t="inlineStr">
        <is>
          <t>Neil Valzari</t>
        </is>
      </c>
      <c r="H509" s="1" t="inlineStr">
        <is>
          <t>Diya Valzari</t>
        </is>
      </c>
      <c r="I509" s="30" t="n">
        <v>45824</v>
      </c>
      <c r="J509" s="1" t="inlineStr">
        <is>
          <t>59 Birchwood Lane</t>
        </is>
      </c>
      <c r="K509" s="1" t="inlineStr">
        <is>
          <t>Emerald Road</t>
        </is>
      </c>
      <c r="L509" s="1" t="inlineStr">
        <is>
          <t>PIN:686666 WERRIBEE</t>
        </is>
      </c>
      <c r="M509" s="2" t="inlineStr">
        <is>
          <t>MHA/IND/00508</t>
        </is>
      </c>
      <c r="N509" s="30" t="n">
        <v>45879</v>
      </c>
    </row>
    <row r="510">
      <c r="A510" s="28" t="n">
        <v>509</v>
      </c>
      <c r="B510" s="1" t="inlineStr">
        <is>
          <t>DEV MYRTHOS</t>
        </is>
      </c>
      <c r="C510" s="30" t="n">
        <v>45887</v>
      </c>
      <c r="D510" s="1" t="inlineStr">
        <is>
          <t>MIDLAND</t>
        </is>
      </c>
      <c r="E510" s="12" t="inlineStr">
        <is>
          <t>IND/MEL/00509</t>
        </is>
      </c>
      <c r="F510" s="1" t="inlineStr">
        <is>
          <t>M</t>
        </is>
      </c>
      <c r="G510" s="1" t="inlineStr">
        <is>
          <t>Kabir Myrthos</t>
        </is>
      </c>
      <c r="H510" s="1" t="inlineStr">
        <is>
          <t>Mira Myrthos</t>
        </is>
      </c>
      <c r="I510" s="30" t="n">
        <v>45936</v>
      </c>
      <c r="J510" s="1" t="inlineStr">
        <is>
          <t>68 Birchwood Lane</t>
        </is>
      </c>
      <c r="K510" s="1" t="inlineStr">
        <is>
          <t>Emerald Road</t>
        </is>
      </c>
      <c r="L510" s="1" t="inlineStr">
        <is>
          <t>PIN:921614 MIDLAND</t>
        </is>
      </c>
      <c r="M510" s="2" t="inlineStr">
        <is>
          <t>MHA/IND/00509</t>
        </is>
      </c>
      <c r="N510" s="30" t="n">
        <v>45844</v>
      </c>
    </row>
    <row r="511">
      <c r="A511" s="28" t="n">
        <v>510</v>
      </c>
      <c r="B511" s="1" t="inlineStr">
        <is>
          <t>NINA MYRTHOS</t>
        </is>
      </c>
      <c r="C511" s="30" t="n">
        <v>45686</v>
      </c>
      <c r="D511" s="1" t="inlineStr">
        <is>
          <t>BUNDOORA</t>
        </is>
      </c>
      <c r="E511" s="12" t="inlineStr">
        <is>
          <t>IND/MEL/00510</t>
        </is>
      </c>
      <c r="F511" s="1" t="inlineStr">
        <is>
          <t>F</t>
        </is>
      </c>
      <c r="G511" s="1" t="inlineStr">
        <is>
          <t>Ishan Myrthos</t>
        </is>
      </c>
      <c r="H511" s="1" t="inlineStr">
        <is>
          <t>Alya Myrthos</t>
        </is>
      </c>
      <c r="I511" s="30" t="n">
        <v>45704</v>
      </c>
      <c r="J511" s="1" t="inlineStr">
        <is>
          <t>191 Birchwood Lane</t>
        </is>
      </c>
      <c r="K511" s="1" t="inlineStr">
        <is>
          <t>Emerald Road</t>
        </is>
      </c>
      <c r="L511" s="1" t="inlineStr">
        <is>
          <t>PIN:383372 BUNDOORA</t>
        </is>
      </c>
      <c r="M511" s="2" t="inlineStr">
        <is>
          <t>MHA/IND/00510</t>
        </is>
      </c>
      <c r="N511" s="30" t="n">
        <v>45898</v>
      </c>
    </row>
    <row r="512">
      <c r="A512" s="28" t="n">
        <v>511</v>
      </c>
      <c r="B512" s="1" t="inlineStr">
        <is>
          <t>ARJUN SINDALE</t>
        </is>
      </c>
      <c r="C512" s="30" t="n">
        <v>45768</v>
      </c>
      <c r="D512" s="1" t="inlineStr">
        <is>
          <t>ADELAIDE</t>
        </is>
      </c>
      <c r="E512" s="12" t="inlineStr">
        <is>
          <t>IND/MEL/00511</t>
        </is>
      </c>
      <c r="F512" s="1" t="inlineStr">
        <is>
          <t>M</t>
        </is>
      </c>
      <c r="G512" s="1" t="inlineStr">
        <is>
          <t>Aren Sindale</t>
        </is>
      </c>
      <c r="H512" s="1" t="inlineStr">
        <is>
          <t>Alya Sindale</t>
        </is>
      </c>
      <c r="I512" s="30" t="n">
        <v>45805</v>
      </c>
      <c r="J512" s="1" t="inlineStr">
        <is>
          <t>28 Birchwood Lane</t>
        </is>
      </c>
      <c r="K512" s="1" t="inlineStr">
        <is>
          <t>Emerald Road</t>
        </is>
      </c>
      <c r="L512" s="1" t="inlineStr">
        <is>
          <t>PIN:703922 ADELAIDE</t>
        </is>
      </c>
      <c r="M512" s="2" t="inlineStr">
        <is>
          <t>MHA/IND/00511</t>
        </is>
      </c>
      <c r="N512" s="30" t="n">
        <v>45853</v>
      </c>
    </row>
    <row r="513">
      <c r="A513" s="28" t="n">
        <v>512</v>
      </c>
      <c r="B513" s="1" t="inlineStr">
        <is>
          <t>DIYA SHARMA</t>
        </is>
      </c>
      <c r="C513" s="30" t="n">
        <v>45701</v>
      </c>
      <c r="D513" s="1" t="inlineStr">
        <is>
          <t>TOOWOOMBA</t>
        </is>
      </c>
      <c r="E513" s="12" t="inlineStr">
        <is>
          <t>IND/MEL/00512</t>
        </is>
      </c>
      <c r="F513" s="1" t="inlineStr">
        <is>
          <t>F</t>
        </is>
      </c>
      <c r="G513" s="1" t="inlineStr">
        <is>
          <t>Arjun Sharma</t>
        </is>
      </c>
      <c r="H513" s="1" t="inlineStr">
        <is>
          <t>Alya Sharma</t>
        </is>
      </c>
      <c r="I513" s="30" t="n">
        <v>45738</v>
      </c>
      <c r="J513" s="1" t="inlineStr">
        <is>
          <t>185 Birchwood Lane</t>
        </is>
      </c>
      <c r="K513" s="1" t="inlineStr">
        <is>
          <t>Emerald Road</t>
        </is>
      </c>
      <c r="L513" s="1" t="inlineStr">
        <is>
          <t>PIN:926264 TOOWOOMBA</t>
        </is>
      </c>
      <c r="M513" s="2" t="inlineStr">
        <is>
          <t>MHA/IND/00512</t>
        </is>
      </c>
      <c r="N513" s="30" t="n">
        <v>45841</v>
      </c>
    </row>
    <row r="514">
      <c r="A514" s="28" t="n">
        <v>513</v>
      </c>
      <c r="B514" s="1" t="inlineStr">
        <is>
          <t>ISHAN SINDALE</t>
        </is>
      </c>
      <c r="C514" s="30" t="n">
        <v>45709</v>
      </c>
      <c r="D514" s="1" t="inlineStr">
        <is>
          <t>PERTH</t>
        </is>
      </c>
      <c r="E514" s="12" t="inlineStr">
        <is>
          <t>IND/MEL/00513</t>
        </is>
      </c>
      <c r="F514" s="1" t="inlineStr">
        <is>
          <t>M</t>
        </is>
      </c>
      <c r="G514" s="1" t="inlineStr">
        <is>
          <t>Arjun Sindale</t>
        </is>
      </c>
      <c r="H514" s="1" t="inlineStr">
        <is>
          <t>Sara Sindale</t>
        </is>
      </c>
      <c r="I514" s="30" t="n">
        <v>45797</v>
      </c>
      <c r="J514" s="1" t="inlineStr">
        <is>
          <t>166 Birchwood Lane</t>
        </is>
      </c>
      <c r="K514" s="1" t="inlineStr">
        <is>
          <t>Emerald Road</t>
        </is>
      </c>
      <c r="L514" s="1" t="inlineStr">
        <is>
          <t>PIN:836568 PERTH</t>
        </is>
      </c>
      <c r="M514" s="2" t="inlineStr">
        <is>
          <t>MHA/IND/00513</t>
        </is>
      </c>
      <c r="N514" s="30" t="n">
        <v>45851</v>
      </c>
    </row>
    <row r="515">
      <c r="A515" s="28" t="n">
        <v>514</v>
      </c>
      <c r="B515" s="1" t="inlineStr">
        <is>
          <t>ALYA RAO</t>
        </is>
      </c>
      <c r="C515" s="30" t="n">
        <v>45811</v>
      </c>
      <c r="D515" s="1" t="inlineStr">
        <is>
          <t>NEWCASTLE</t>
        </is>
      </c>
      <c r="E515" s="12" t="inlineStr">
        <is>
          <t>IND/MEL/00514</t>
        </is>
      </c>
      <c r="F515" s="1" t="inlineStr">
        <is>
          <t>F</t>
        </is>
      </c>
      <c r="G515" s="1" t="inlineStr">
        <is>
          <t>Ishan Rao</t>
        </is>
      </c>
      <c r="H515" s="1" t="inlineStr">
        <is>
          <t>Diya Rao</t>
        </is>
      </c>
      <c r="I515" s="30" t="n">
        <v>45898</v>
      </c>
      <c r="J515" s="1" t="inlineStr">
        <is>
          <t>190 Birchwood Lane</t>
        </is>
      </c>
      <c r="K515" s="1" t="inlineStr">
        <is>
          <t>Emerald Road</t>
        </is>
      </c>
      <c r="L515" s="1" t="inlineStr">
        <is>
          <t>PIN:596001 NEWCASTLE</t>
        </is>
      </c>
      <c r="M515" s="2" t="inlineStr">
        <is>
          <t>MHA/IND/00514</t>
        </is>
      </c>
      <c r="N515" s="30" t="n">
        <v>45849</v>
      </c>
    </row>
    <row r="516">
      <c r="A516" s="28" t="n">
        <v>515</v>
      </c>
      <c r="B516" s="1" t="inlineStr">
        <is>
          <t>ISHAN SINDALE</t>
        </is>
      </c>
      <c r="C516" s="30" t="n">
        <v>45699</v>
      </c>
      <c r="D516" s="1" t="inlineStr">
        <is>
          <t>SHEPPARTON</t>
        </is>
      </c>
      <c r="E516" s="12" t="inlineStr">
        <is>
          <t>IND/MEL/00515</t>
        </is>
      </c>
      <c r="F516" s="1" t="inlineStr">
        <is>
          <t>M</t>
        </is>
      </c>
      <c r="G516" s="1" t="inlineStr">
        <is>
          <t>Kabir Sindale</t>
        </is>
      </c>
      <c r="H516" s="1" t="inlineStr">
        <is>
          <t>Tara Sindale</t>
        </is>
      </c>
      <c r="I516" s="30" t="n">
        <v>45721</v>
      </c>
      <c r="J516" s="1" t="inlineStr">
        <is>
          <t>189 Birchwood Lane</t>
        </is>
      </c>
      <c r="K516" s="1" t="inlineStr">
        <is>
          <t>Emerald Road</t>
        </is>
      </c>
      <c r="L516" s="1" t="inlineStr">
        <is>
          <t>PIN:454480 SHEPPARTON</t>
        </is>
      </c>
      <c r="M516" s="2" t="inlineStr">
        <is>
          <t>MHA/IND/00515</t>
        </is>
      </c>
      <c r="N516" s="30" t="n">
        <v>45883</v>
      </c>
    </row>
    <row r="517">
      <c r="A517" s="28" t="n">
        <v>516</v>
      </c>
      <c r="B517" s="1" t="inlineStr">
        <is>
          <t>ISHAN KALEON</t>
        </is>
      </c>
      <c r="C517" s="30" t="n">
        <v>45945</v>
      </c>
      <c r="D517" s="1" t="inlineStr">
        <is>
          <t>MOUNT WAVERLEY</t>
        </is>
      </c>
      <c r="E517" s="12" t="inlineStr">
        <is>
          <t>IND/MEL/00516</t>
        </is>
      </c>
      <c r="F517" s="1" t="inlineStr">
        <is>
          <t>M</t>
        </is>
      </c>
      <c r="G517" s="1" t="inlineStr">
        <is>
          <t>Aren Kaleon</t>
        </is>
      </c>
      <c r="H517" s="1" t="inlineStr">
        <is>
          <t>Nina Kaleon</t>
        </is>
      </c>
      <c r="I517" s="30" t="n">
        <v>46061</v>
      </c>
      <c r="J517" s="1" t="inlineStr">
        <is>
          <t>137 Birchwood Lane</t>
        </is>
      </c>
      <c r="K517" s="1" t="inlineStr">
        <is>
          <t>Emerald Road</t>
        </is>
      </c>
      <c r="L517" s="1" t="inlineStr">
        <is>
          <t>PIN:600100 MOUNT WAVERLEY</t>
        </is>
      </c>
      <c r="M517" s="2" t="inlineStr">
        <is>
          <t>MHA/IND/00516</t>
        </is>
      </c>
      <c r="N517" s="30" t="n">
        <v>45843</v>
      </c>
    </row>
    <row r="518">
      <c r="A518" s="28" t="n">
        <v>517</v>
      </c>
      <c r="B518" s="1" t="inlineStr">
        <is>
          <t>KIRAN MYRTHOS</t>
        </is>
      </c>
      <c r="C518" s="30" t="n">
        <v>45736</v>
      </c>
      <c r="D518" s="1" t="inlineStr">
        <is>
          <t>DEVONPORT</t>
        </is>
      </c>
      <c r="E518" s="12" t="inlineStr">
        <is>
          <t>IND/MEL/00517</t>
        </is>
      </c>
      <c r="F518" s="1" t="inlineStr">
        <is>
          <t>M</t>
        </is>
      </c>
      <c r="G518" s="1" t="inlineStr">
        <is>
          <t>Arjun Myrthos</t>
        </is>
      </c>
      <c r="H518" s="1" t="inlineStr">
        <is>
          <t>Mira Myrthos</t>
        </is>
      </c>
      <c r="I518" s="30" t="n">
        <v>45837</v>
      </c>
      <c r="J518" s="1" t="inlineStr">
        <is>
          <t>125 Birchwood Lane</t>
        </is>
      </c>
      <c r="K518" s="1" t="inlineStr">
        <is>
          <t>Emerald Road</t>
        </is>
      </c>
      <c r="L518" s="1" t="inlineStr">
        <is>
          <t>PIN:206474 DEVONPORT</t>
        </is>
      </c>
      <c r="M518" s="2" t="inlineStr">
        <is>
          <t>MHA/IND/00517</t>
        </is>
      </c>
      <c r="N518" s="30" t="n">
        <v>45862</v>
      </c>
    </row>
    <row r="519">
      <c r="A519" s="28" t="n">
        <v>518</v>
      </c>
      <c r="B519" s="1" t="inlineStr">
        <is>
          <t>ISHAN MYRTHOS</t>
        </is>
      </c>
      <c r="C519" s="30" t="n">
        <v>45828</v>
      </c>
      <c r="D519" s="1" t="inlineStr">
        <is>
          <t>BENDIGO</t>
        </is>
      </c>
      <c r="E519" s="12" t="inlineStr">
        <is>
          <t>IND/MEL/00518</t>
        </is>
      </c>
      <c r="F519" s="1" t="inlineStr">
        <is>
          <t>M</t>
        </is>
      </c>
      <c r="G519" s="1" t="inlineStr">
        <is>
          <t>Aren Myrthos</t>
        </is>
      </c>
      <c r="H519" s="1" t="inlineStr">
        <is>
          <t>Anya Myrthos</t>
        </is>
      </c>
      <c r="I519" s="30" t="n">
        <v>45844</v>
      </c>
      <c r="J519" s="1" t="inlineStr">
        <is>
          <t>153 Birchwood Lane</t>
        </is>
      </c>
      <c r="K519" s="1" t="inlineStr">
        <is>
          <t>Emerald Road</t>
        </is>
      </c>
      <c r="L519" s="1" t="inlineStr">
        <is>
          <t>PIN:734089 BENDIGO</t>
        </is>
      </c>
      <c r="M519" s="2" t="inlineStr">
        <is>
          <t>MHA/IND/00518</t>
        </is>
      </c>
      <c r="N519" s="30" t="n">
        <v>45844</v>
      </c>
    </row>
    <row r="520">
      <c r="A520" s="28" t="n">
        <v>519</v>
      </c>
      <c r="B520" s="1" t="inlineStr">
        <is>
          <t>AREN SINDALE</t>
        </is>
      </c>
      <c r="C520" s="30" t="n">
        <v>45838</v>
      </c>
      <c r="D520" s="1" t="inlineStr">
        <is>
          <t>SHEPPARTON</t>
        </is>
      </c>
      <c r="E520" s="12" t="inlineStr">
        <is>
          <t>IND/MEL/00519</t>
        </is>
      </c>
      <c r="F520" s="1" t="inlineStr">
        <is>
          <t>M</t>
        </is>
      </c>
      <c r="G520" s="1" t="inlineStr">
        <is>
          <t>Kiran Sindale</t>
        </is>
      </c>
      <c r="H520" s="1" t="inlineStr">
        <is>
          <t>Tara Sindale</t>
        </is>
      </c>
      <c r="I520" s="30" t="n">
        <v>45918</v>
      </c>
      <c r="J520" s="1" t="inlineStr">
        <is>
          <t>62 Birchwood Lane</t>
        </is>
      </c>
      <c r="K520" s="1" t="inlineStr">
        <is>
          <t>Emerald Road</t>
        </is>
      </c>
      <c r="L520" s="1" t="inlineStr">
        <is>
          <t>PIN:334715 SHEPPARTON</t>
        </is>
      </c>
      <c r="M520" s="2" t="inlineStr">
        <is>
          <t>MHA/IND/00519</t>
        </is>
      </c>
      <c r="N520" s="30" t="n">
        <v>45890</v>
      </c>
    </row>
    <row r="521">
      <c r="A521" s="28" t="n">
        <v>520</v>
      </c>
      <c r="B521" s="1" t="inlineStr">
        <is>
          <t>ARJUN SHARMA</t>
        </is>
      </c>
      <c r="C521" s="30" t="n">
        <v>45900</v>
      </c>
      <c r="D521" s="1" t="inlineStr">
        <is>
          <t>WODONGA</t>
        </is>
      </c>
      <c r="E521" s="12" t="inlineStr">
        <is>
          <t>IND/MEL/00520</t>
        </is>
      </c>
      <c r="F521" s="1" t="inlineStr">
        <is>
          <t>M</t>
        </is>
      </c>
      <c r="G521" s="1" t="inlineStr">
        <is>
          <t>Dev Sharma</t>
        </is>
      </c>
      <c r="H521" s="1" t="inlineStr">
        <is>
          <t>Riya Sharma</t>
        </is>
      </c>
      <c r="I521" s="30" t="n">
        <v>45984</v>
      </c>
      <c r="J521" s="1" t="inlineStr">
        <is>
          <t>93 Birchwood Lane</t>
        </is>
      </c>
      <c r="K521" s="1" t="inlineStr">
        <is>
          <t>Emerald Road</t>
        </is>
      </c>
      <c r="L521" s="1" t="inlineStr">
        <is>
          <t>PIN:490957 WODONGA</t>
        </is>
      </c>
      <c r="M521" s="2" t="inlineStr">
        <is>
          <t>MHA/IND/00520</t>
        </is>
      </c>
      <c r="N521" s="30" t="n">
        <v>45846</v>
      </c>
    </row>
    <row r="522">
      <c r="A522" s="28" t="n">
        <v>521</v>
      </c>
      <c r="B522" s="1" t="inlineStr">
        <is>
          <t>ALYA RAO</t>
        </is>
      </c>
      <c r="C522" s="30" t="n">
        <v>45953</v>
      </c>
      <c r="D522" s="1" t="inlineStr">
        <is>
          <t>PENRITH</t>
        </is>
      </c>
      <c r="E522" s="12" t="inlineStr">
        <is>
          <t>IND/MEL/00521</t>
        </is>
      </c>
      <c r="F522" s="1" t="inlineStr">
        <is>
          <t>F</t>
        </is>
      </c>
      <c r="G522" s="1" t="inlineStr">
        <is>
          <t>Neil Rao</t>
        </is>
      </c>
      <c r="H522" s="1" t="inlineStr">
        <is>
          <t>Mira Rao</t>
        </is>
      </c>
      <c r="I522" s="30" t="n">
        <v>45959</v>
      </c>
      <c r="J522" s="1" t="inlineStr">
        <is>
          <t>159 Birchwood Lane</t>
        </is>
      </c>
      <c r="K522" s="1" t="inlineStr">
        <is>
          <t>Emerald Road</t>
        </is>
      </c>
      <c r="L522" s="1" t="inlineStr">
        <is>
          <t>PIN:895389 PENRITH</t>
        </is>
      </c>
      <c r="M522" s="2" t="inlineStr">
        <is>
          <t>MHA/IND/00521</t>
        </is>
      </c>
      <c r="N522" s="30" t="n">
        <v>45845</v>
      </c>
    </row>
    <row r="523">
      <c r="A523" s="28" t="n">
        <v>522</v>
      </c>
      <c r="B523" s="1" t="inlineStr">
        <is>
          <t>DIYA KALEON</t>
        </is>
      </c>
      <c r="C523" s="30" t="n">
        <v>45774</v>
      </c>
      <c r="D523" s="1" t="inlineStr">
        <is>
          <t>WODONGA</t>
        </is>
      </c>
      <c r="E523" s="12" t="inlineStr">
        <is>
          <t>IND/MEL/00522</t>
        </is>
      </c>
      <c r="F523" s="1" t="inlineStr">
        <is>
          <t>F</t>
        </is>
      </c>
      <c r="G523" s="1" t="inlineStr">
        <is>
          <t>Ishan Kaleon</t>
        </is>
      </c>
      <c r="H523" s="1" t="inlineStr">
        <is>
          <t>Alya Kaleon</t>
        </is>
      </c>
      <c r="I523" s="30" t="n">
        <v>45805</v>
      </c>
      <c r="J523" s="1" t="inlineStr">
        <is>
          <t>21 Birchwood Lane</t>
        </is>
      </c>
      <c r="K523" s="1" t="inlineStr">
        <is>
          <t>Emerald Road</t>
        </is>
      </c>
      <c r="L523" s="1" t="inlineStr">
        <is>
          <t>PIN:899035 WODONGA</t>
        </is>
      </c>
      <c r="M523" s="2" t="inlineStr">
        <is>
          <t>MHA/IND/00522</t>
        </is>
      </c>
      <c r="N523" s="30" t="n">
        <v>45898</v>
      </c>
    </row>
    <row r="524">
      <c r="A524" s="28" t="n">
        <v>523</v>
      </c>
      <c r="B524" s="1" t="inlineStr">
        <is>
          <t>ANYA RAO</t>
        </is>
      </c>
      <c r="C524" s="30" t="n">
        <v>45936</v>
      </c>
      <c r="D524" s="1" t="inlineStr">
        <is>
          <t>IPSWICH</t>
        </is>
      </c>
      <c r="E524" s="12" t="inlineStr">
        <is>
          <t>IND/MEL/00523</t>
        </is>
      </c>
      <c r="F524" s="1" t="inlineStr">
        <is>
          <t>F</t>
        </is>
      </c>
      <c r="G524" s="1" t="inlineStr">
        <is>
          <t>Neil Rao</t>
        </is>
      </c>
      <c r="H524" s="1" t="inlineStr">
        <is>
          <t>Diya Rao</t>
        </is>
      </c>
      <c r="I524" s="30" t="n">
        <v>45992</v>
      </c>
      <c r="J524" s="1" t="inlineStr">
        <is>
          <t>125 Birchwood Lane</t>
        </is>
      </c>
      <c r="K524" s="1" t="inlineStr">
        <is>
          <t>Emerald Road</t>
        </is>
      </c>
      <c r="L524" s="1" t="inlineStr">
        <is>
          <t>PIN:344922 IPSWICH</t>
        </is>
      </c>
      <c r="M524" s="2" t="inlineStr">
        <is>
          <t>MHA/IND/00523</t>
        </is>
      </c>
      <c r="N524" s="30" t="n">
        <v>45877</v>
      </c>
    </row>
    <row r="525">
      <c r="A525" s="28" t="n">
        <v>524</v>
      </c>
      <c r="B525" s="1" t="inlineStr">
        <is>
          <t>NINA KALEON</t>
        </is>
      </c>
      <c r="C525" s="30" t="n">
        <v>45743</v>
      </c>
      <c r="D525" s="1" t="inlineStr">
        <is>
          <t>BERWICK</t>
        </is>
      </c>
      <c r="E525" s="12" t="inlineStr">
        <is>
          <t>IND/MEL/00524</t>
        </is>
      </c>
      <c r="F525" s="1" t="inlineStr">
        <is>
          <t>F</t>
        </is>
      </c>
      <c r="G525" s="1" t="inlineStr">
        <is>
          <t>Arjun Kaleon</t>
        </is>
      </c>
      <c r="H525" s="1" t="inlineStr">
        <is>
          <t>Anya Kaleon</t>
        </is>
      </c>
      <c r="I525" s="30" t="n">
        <v>45754</v>
      </c>
      <c r="J525" s="1" t="inlineStr">
        <is>
          <t>68 Birchwood Lane</t>
        </is>
      </c>
      <c r="K525" s="1" t="inlineStr">
        <is>
          <t>Emerald Road</t>
        </is>
      </c>
      <c r="L525" s="1" t="inlineStr">
        <is>
          <t>PIN:360661 BERWICK</t>
        </is>
      </c>
      <c r="M525" s="2" t="inlineStr">
        <is>
          <t>MHA/IND/00524</t>
        </is>
      </c>
      <c r="N525" s="30" t="n">
        <v>45872</v>
      </c>
    </row>
    <row r="526">
      <c r="A526" s="28" t="n">
        <v>525</v>
      </c>
      <c r="B526" s="1" t="inlineStr">
        <is>
          <t>ANYA MYRTHOS</t>
        </is>
      </c>
      <c r="C526" s="30" t="n">
        <v>45950</v>
      </c>
      <c r="D526" s="1" t="inlineStr">
        <is>
          <t>CANBERRA</t>
        </is>
      </c>
      <c r="E526" s="12" t="inlineStr">
        <is>
          <t>IND/MEL/00525</t>
        </is>
      </c>
      <c r="F526" s="1" t="inlineStr">
        <is>
          <t>F</t>
        </is>
      </c>
      <c r="G526" s="1" t="inlineStr">
        <is>
          <t>Arjun Myrthos</t>
        </is>
      </c>
      <c r="H526" s="1" t="inlineStr">
        <is>
          <t>Nina Myrthos</t>
        </is>
      </c>
      <c r="I526" s="30" t="n">
        <v>45969</v>
      </c>
      <c r="J526" s="1" t="inlineStr">
        <is>
          <t>196 Birchwood Lane</t>
        </is>
      </c>
      <c r="K526" s="1" t="inlineStr">
        <is>
          <t>Emerald Road</t>
        </is>
      </c>
      <c r="L526" s="1" t="inlineStr">
        <is>
          <t>PIN:308984 CANBERRA</t>
        </is>
      </c>
      <c r="M526" s="2" t="inlineStr">
        <is>
          <t>MHA/IND/00525</t>
        </is>
      </c>
      <c r="N526" s="30" t="n">
        <v>45840</v>
      </c>
    </row>
    <row r="527">
      <c r="A527" s="28" t="n">
        <v>526</v>
      </c>
      <c r="B527" s="1" t="inlineStr">
        <is>
          <t>ANYA KALEON</t>
        </is>
      </c>
      <c r="C527" s="30" t="n">
        <v>45659</v>
      </c>
      <c r="D527" s="1" t="inlineStr">
        <is>
          <t>CLAYTON</t>
        </is>
      </c>
      <c r="E527" s="12" t="inlineStr">
        <is>
          <t>IND/MEL/00526</t>
        </is>
      </c>
      <c r="F527" s="1" t="inlineStr">
        <is>
          <t>F</t>
        </is>
      </c>
      <c r="G527" s="1" t="inlineStr">
        <is>
          <t>Aren Kaleon</t>
        </is>
      </c>
      <c r="H527" s="1" t="inlineStr">
        <is>
          <t>Alya Kaleon</t>
        </is>
      </c>
      <c r="I527" s="30" t="n">
        <v>45686</v>
      </c>
      <c r="J527" s="1" t="inlineStr">
        <is>
          <t>37 Birchwood Lane</t>
        </is>
      </c>
      <c r="K527" s="1" t="inlineStr">
        <is>
          <t>Emerald Road</t>
        </is>
      </c>
      <c r="L527" s="1" t="inlineStr">
        <is>
          <t>PIN:907143 CLAYTON</t>
        </is>
      </c>
      <c r="M527" s="2" t="inlineStr">
        <is>
          <t>MHA/IND/00526</t>
        </is>
      </c>
      <c r="N527" s="30" t="n">
        <v>45858</v>
      </c>
    </row>
    <row r="528">
      <c r="A528" s="28" t="n">
        <v>527</v>
      </c>
      <c r="B528" s="1" t="inlineStr">
        <is>
          <t>RIYA MYRTHOS</t>
        </is>
      </c>
      <c r="C528" s="30" t="n">
        <v>45841</v>
      </c>
      <c r="D528" s="1" t="inlineStr">
        <is>
          <t>BRISBANE</t>
        </is>
      </c>
      <c r="E528" s="12" t="inlineStr">
        <is>
          <t>IND/MEL/00527</t>
        </is>
      </c>
      <c r="F528" s="1" t="inlineStr">
        <is>
          <t>F</t>
        </is>
      </c>
      <c r="G528" s="1" t="inlineStr">
        <is>
          <t>Aren Myrthos</t>
        </is>
      </c>
      <c r="H528" s="1" t="inlineStr">
        <is>
          <t>Sara Myrthos</t>
        </is>
      </c>
      <c r="I528" s="30" t="n">
        <v>45924</v>
      </c>
      <c r="J528" s="1" t="inlineStr">
        <is>
          <t>78 Birchwood Lane</t>
        </is>
      </c>
      <c r="K528" s="1" t="inlineStr">
        <is>
          <t>Emerald Road</t>
        </is>
      </c>
      <c r="L528" s="1" t="inlineStr">
        <is>
          <t>PIN:350260 BRISBANE</t>
        </is>
      </c>
      <c r="M528" s="2" t="inlineStr">
        <is>
          <t>MHA/IND/00527</t>
        </is>
      </c>
      <c r="N528" s="30" t="n">
        <v>45859</v>
      </c>
    </row>
    <row r="529">
      <c r="A529" s="28" t="n">
        <v>528</v>
      </c>
      <c r="B529" s="1" t="inlineStr">
        <is>
          <t>NEIL KALEON</t>
        </is>
      </c>
      <c r="C529" s="30" t="n">
        <v>45835</v>
      </c>
      <c r="D529" s="1" t="inlineStr">
        <is>
          <t>KINGSWOOD</t>
        </is>
      </c>
      <c r="E529" s="12" t="inlineStr">
        <is>
          <t>IND/MEL/00528</t>
        </is>
      </c>
      <c r="F529" s="1" t="inlineStr">
        <is>
          <t>M</t>
        </is>
      </c>
      <c r="G529" s="1" t="inlineStr">
        <is>
          <t>Kiran Kaleon</t>
        </is>
      </c>
      <c r="H529" s="1" t="inlineStr">
        <is>
          <t>Diya Kaleon</t>
        </is>
      </c>
      <c r="I529" s="30" t="n">
        <v>45893</v>
      </c>
      <c r="J529" s="1" t="inlineStr">
        <is>
          <t>112 Birchwood Lane</t>
        </is>
      </c>
      <c r="K529" s="1" t="inlineStr">
        <is>
          <t>Emerald Road</t>
        </is>
      </c>
      <c r="L529" s="1" t="inlineStr">
        <is>
          <t>PIN:337234 KINGSWOOD</t>
        </is>
      </c>
      <c r="M529" s="2" t="inlineStr">
        <is>
          <t>MHA/IND/00528</t>
        </is>
      </c>
      <c r="N529" s="30" t="n">
        <v>45846</v>
      </c>
    </row>
    <row r="530">
      <c r="A530" s="28" t="n">
        <v>529</v>
      </c>
      <c r="B530" s="1" t="inlineStr">
        <is>
          <t>KABIR SHARMA</t>
        </is>
      </c>
      <c r="C530" s="30" t="n">
        <v>45926</v>
      </c>
      <c r="D530" s="1" t="inlineStr">
        <is>
          <t>CAMPBELLTOWN</t>
        </is>
      </c>
      <c r="E530" s="12" t="inlineStr">
        <is>
          <t>IND/MEL/00529</t>
        </is>
      </c>
      <c r="F530" s="1" t="inlineStr">
        <is>
          <t>M</t>
        </is>
      </c>
      <c r="G530" s="1" t="inlineStr">
        <is>
          <t>Arjun Sharma</t>
        </is>
      </c>
      <c r="H530" s="1" t="inlineStr">
        <is>
          <t>Mira Sharma</t>
        </is>
      </c>
      <c r="I530" s="30" t="n">
        <v>45969</v>
      </c>
      <c r="J530" s="1" t="inlineStr">
        <is>
          <t>84 Birchwood Lane</t>
        </is>
      </c>
      <c r="K530" s="1" t="inlineStr">
        <is>
          <t>Emerald Road</t>
        </is>
      </c>
      <c r="L530" s="1" t="inlineStr">
        <is>
          <t>PIN:403707 CAMPBELLTOWN</t>
        </is>
      </c>
      <c r="M530" s="2" t="inlineStr">
        <is>
          <t>MHA/IND/00529</t>
        </is>
      </c>
      <c r="N530" s="30" t="n">
        <v>45896</v>
      </c>
    </row>
    <row r="531">
      <c r="A531" s="28" t="n">
        <v>530</v>
      </c>
      <c r="B531" s="1" t="inlineStr">
        <is>
          <t>ANYA RISHKAN</t>
        </is>
      </c>
      <c r="C531" s="30" t="n">
        <v>45663</v>
      </c>
      <c r="D531" s="1" t="inlineStr">
        <is>
          <t>BERWICK</t>
        </is>
      </c>
      <c r="E531" s="12" t="inlineStr">
        <is>
          <t>IND/MEL/00530</t>
        </is>
      </c>
      <c r="F531" s="1" t="inlineStr">
        <is>
          <t>F</t>
        </is>
      </c>
      <c r="G531" s="1" t="inlineStr">
        <is>
          <t>Arjun Rishkan</t>
        </is>
      </c>
      <c r="H531" s="1" t="inlineStr">
        <is>
          <t>Mira Rishkan</t>
        </is>
      </c>
      <c r="I531" s="30" t="n">
        <v>45730</v>
      </c>
      <c r="J531" s="1" t="inlineStr">
        <is>
          <t>61 Birchwood Lane</t>
        </is>
      </c>
      <c r="K531" s="1" t="inlineStr">
        <is>
          <t>Emerald Road</t>
        </is>
      </c>
      <c r="L531" s="1" t="inlineStr">
        <is>
          <t>PIN:379882 BERWICK</t>
        </is>
      </c>
      <c r="M531" s="2" t="inlineStr">
        <is>
          <t>MHA/IND/00530</t>
        </is>
      </c>
      <c r="N531" s="30" t="n">
        <v>45848</v>
      </c>
    </row>
    <row r="532">
      <c r="A532" s="28" t="n">
        <v>531</v>
      </c>
      <c r="B532" s="1" t="inlineStr">
        <is>
          <t>ISHAN RAO</t>
        </is>
      </c>
      <c r="C532" s="30" t="n">
        <v>45706</v>
      </c>
      <c r="D532" s="1" t="inlineStr">
        <is>
          <t>PERTH</t>
        </is>
      </c>
      <c r="E532" s="12" t="inlineStr">
        <is>
          <t>IND/MEL/00531</t>
        </is>
      </c>
      <c r="F532" s="1" t="inlineStr">
        <is>
          <t>M</t>
        </is>
      </c>
      <c r="G532" s="1" t="inlineStr">
        <is>
          <t>Arjun Rao</t>
        </is>
      </c>
      <c r="H532" s="1" t="inlineStr">
        <is>
          <t>Mira Rao</t>
        </is>
      </c>
      <c r="I532" s="30" t="n">
        <v>45815</v>
      </c>
      <c r="J532" s="1" t="inlineStr">
        <is>
          <t>15 Birchwood Lane</t>
        </is>
      </c>
      <c r="K532" s="1" t="inlineStr">
        <is>
          <t>Emerald Road</t>
        </is>
      </c>
      <c r="L532" s="1" t="inlineStr">
        <is>
          <t>PIN:909065 PERTH</t>
        </is>
      </c>
      <c r="M532" s="2" t="inlineStr">
        <is>
          <t>MHA/IND/00531</t>
        </is>
      </c>
      <c r="N532" s="30" t="n">
        <v>45884</v>
      </c>
    </row>
    <row r="533">
      <c r="A533" s="28" t="n">
        <v>532</v>
      </c>
      <c r="B533" s="1" t="inlineStr">
        <is>
          <t>DIYA SHARMA</t>
        </is>
      </c>
      <c r="C533" s="30" t="n">
        <v>45854</v>
      </c>
      <c r="D533" s="1" t="inlineStr">
        <is>
          <t>TRARALGON</t>
        </is>
      </c>
      <c r="E533" s="12" t="inlineStr">
        <is>
          <t>IND/MEL/00532</t>
        </is>
      </c>
      <c r="F533" s="1" t="inlineStr">
        <is>
          <t>F</t>
        </is>
      </c>
      <c r="G533" s="1" t="inlineStr">
        <is>
          <t>Rohit Sharma</t>
        </is>
      </c>
      <c r="H533" s="1" t="inlineStr">
        <is>
          <t>Anya Sharma</t>
        </is>
      </c>
      <c r="I533" s="30" t="n">
        <v>45971</v>
      </c>
      <c r="J533" s="1" t="inlineStr">
        <is>
          <t>105 Birchwood Lane</t>
        </is>
      </c>
      <c r="K533" s="1" t="inlineStr">
        <is>
          <t>Emerald Road</t>
        </is>
      </c>
      <c r="L533" s="1" t="inlineStr">
        <is>
          <t>PIN:749689 TRARALGON</t>
        </is>
      </c>
      <c r="M533" s="2" t="inlineStr">
        <is>
          <t>MHA/IND/00532</t>
        </is>
      </c>
      <c r="N533" s="30" t="n">
        <v>45872</v>
      </c>
    </row>
    <row r="534">
      <c r="A534" s="28" t="n">
        <v>533</v>
      </c>
      <c r="B534" s="1" t="inlineStr">
        <is>
          <t>SARA KALEON</t>
        </is>
      </c>
      <c r="C534" s="30" t="n">
        <v>45946</v>
      </c>
      <c r="D534" s="1" t="inlineStr">
        <is>
          <t>BRISBANE</t>
        </is>
      </c>
      <c r="E534" s="12" t="inlineStr">
        <is>
          <t>IND/MEL/00533</t>
        </is>
      </c>
      <c r="F534" s="1" t="inlineStr">
        <is>
          <t>F</t>
        </is>
      </c>
      <c r="G534" s="1" t="inlineStr">
        <is>
          <t>Ishan Kaleon</t>
        </is>
      </c>
      <c r="H534" s="1" t="inlineStr">
        <is>
          <t>Nina Kaleon</t>
        </is>
      </c>
      <c r="I534" s="30" t="n">
        <v>46009</v>
      </c>
      <c r="J534" s="1" t="inlineStr">
        <is>
          <t>151 Birchwood Lane</t>
        </is>
      </c>
      <c r="K534" s="1" t="inlineStr">
        <is>
          <t>Emerald Road</t>
        </is>
      </c>
      <c r="L534" s="1" t="inlineStr">
        <is>
          <t>PIN:690803 BRISBANE</t>
        </is>
      </c>
      <c r="M534" s="2" t="inlineStr">
        <is>
          <t>MHA/IND/00533</t>
        </is>
      </c>
      <c r="N534" s="30" t="n">
        <v>45841</v>
      </c>
    </row>
    <row r="535">
      <c r="A535" s="28" t="n">
        <v>534</v>
      </c>
      <c r="B535" s="1" t="inlineStr">
        <is>
          <t>KABIR RAO</t>
        </is>
      </c>
      <c r="C535" s="30" t="n">
        <v>45940</v>
      </c>
      <c r="D535" s="1" t="inlineStr">
        <is>
          <t>GEELONG</t>
        </is>
      </c>
      <c r="E535" s="12" t="inlineStr">
        <is>
          <t>IND/MEL/00534</t>
        </is>
      </c>
      <c r="F535" s="1" t="inlineStr">
        <is>
          <t>M</t>
        </is>
      </c>
      <c r="G535" s="1" t="inlineStr">
        <is>
          <t>Neil Rao</t>
        </is>
      </c>
      <c r="H535" s="1" t="inlineStr">
        <is>
          <t>Riya Rao</t>
        </is>
      </c>
      <c r="I535" s="30" t="n">
        <v>46053</v>
      </c>
      <c r="J535" s="1" t="inlineStr">
        <is>
          <t>28 Birchwood Lane</t>
        </is>
      </c>
      <c r="K535" s="1" t="inlineStr">
        <is>
          <t>Emerald Road</t>
        </is>
      </c>
      <c r="L535" s="1" t="inlineStr">
        <is>
          <t>PIN:862049 GEELONG</t>
        </is>
      </c>
      <c r="M535" s="2" t="inlineStr">
        <is>
          <t>MHA/IND/00534</t>
        </is>
      </c>
      <c r="N535" s="30" t="n">
        <v>45845</v>
      </c>
    </row>
    <row r="536">
      <c r="A536" s="28" t="n">
        <v>535</v>
      </c>
      <c r="B536" s="1" t="inlineStr">
        <is>
          <t>NEIL SHARMA</t>
        </is>
      </c>
      <c r="C536" s="30" t="n">
        <v>45698</v>
      </c>
      <c r="D536" s="1" t="inlineStr">
        <is>
          <t>WONTHAGGI</t>
        </is>
      </c>
      <c r="E536" s="12" t="inlineStr">
        <is>
          <t>IND/MEL/00535</t>
        </is>
      </c>
      <c r="F536" s="1" t="inlineStr">
        <is>
          <t>M</t>
        </is>
      </c>
      <c r="G536" s="1" t="inlineStr">
        <is>
          <t>Aren Sharma</t>
        </is>
      </c>
      <c r="H536" s="1" t="inlineStr">
        <is>
          <t>Tara Sharma</t>
        </is>
      </c>
      <c r="I536" s="30" t="n">
        <v>45746</v>
      </c>
      <c r="J536" s="1" t="inlineStr">
        <is>
          <t>49 Birchwood Lane</t>
        </is>
      </c>
      <c r="K536" s="1" t="inlineStr">
        <is>
          <t>Emerald Road</t>
        </is>
      </c>
      <c r="L536" s="1" t="inlineStr">
        <is>
          <t>PIN:481640 WONTHAGGI</t>
        </is>
      </c>
      <c r="M536" s="2" t="inlineStr">
        <is>
          <t>MHA/IND/00535</t>
        </is>
      </c>
      <c r="N536" s="30" t="n">
        <v>45876</v>
      </c>
    </row>
    <row r="537">
      <c r="A537" s="28" t="n">
        <v>536</v>
      </c>
      <c r="B537" s="1" t="inlineStr">
        <is>
          <t>NINA RAO</t>
        </is>
      </c>
      <c r="C537" s="30" t="n">
        <v>45786</v>
      </c>
      <c r="D537" s="1" t="inlineStr">
        <is>
          <t>BELCONNEN</t>
        </is>
      </c>
      <c r="E537" s="12" t="inlineStr">
        <is>
          <t>IND/MEL/00536</t>
        </is>
      </c>
      <c r="F537" s="1" t="inlineStr">
        <is>
          <t>F</t>
        </is>
      </c>
      <c r="G537" s="1" t="inlineStr">
        <is>
          <t>Neil Rao</t>
        </is>
      </c>
      <c r="H537" s="1" t="inlineStr">
        <is>
          <t>Anya Rao</t>
        </is>
      </c>
      <c r="I537" s="30" t="n">
        <v>45815</v>
      </c>
      <c r="J537" s="1" t="inlineStr">
        <is>
          <t>139 Birchwood Lane</t>
        </is>
      </c>
      <c r="K537" s="1" t="inlineStr">
        <is>
          <t>Emerald Road</t>
        </is>
      </c>
      <c r="L537" s="1" t="inlineStr">
        <is>
          <t>PIN:562907 BELCONNEN</t>
        </is>
      </c>
      <c r="M537" s="2" t="inlineStr">
        <is>
          <t>MHA/IND/00536</t>
        </is>
      </c>
      <c r="N537" s="30" t="n">
        <v>45890</v>
      </c>
    </row>
    <row r="538">
      <c r="A538" s="28" t="n">
        <v>537</v>
      </c>
      <c r="B538" s="1" t="inlineStr">
        <is>
          <t>ANYA VALZARI</t>
        </is>
      </c>
      <c r="C538" s="30" t="n">
        <v>45828</v>
      </c>
      <c r="D538" s="1" t="inlineStr">
        <is>
          <t>ST ALBANS</t>
        </is>
      </c>
      <c r="E538" s="12" t="inlineStr">
        <is>
          <t>IND/MEL/00537</t>
        </is>
      </c>
      <c r="F538" s="1" t="inlineStr">
        <is>
          <t>F</t>
        </is>
      </c>
      <c r="G538" s="1" t="inlineStr">
        <is>
          <t>Dev Valzari</t>
        </is>
      </c>
      <c r="H538" s="1" t="inlineStr">
        <is>
          <t>Tara Valzari</t>
        </is>
      </c>
      <c r="I538" s="30" t="n">
        <v>45852</v>
      </c>
      <c r="J538" s="1" t="inlineStr">
        <is>
          <t>121 Birchwood Lane</t>
        </is>
      </c>
      <c r="K538" s="1" t="inlineStr">
        <is>
          <t>Emerald Road</t>
        </is>
      </c>
      <c r="L538" s="1" t="inlineStr">
        <is>
          <t>PIN:447933 ST ALBANS</t>
        </is>
      </c>
      <c r="M538" s="2" t="inlineStr">
        <is>
          <t>MHA/IND/00537</t>
        </is>
      </c>
      <c r="N538" s="30" t="n">
        <v>45898</v>
      </c>
    </row>
    <row r="539">
      <c r="A539" s="28" t="n">
        <v>538</v>
      </c>
      <c r="B539" s="1" t="inlineStr">
        <is>
          <t>NINA RISHKAN</t>
        </is>
      </c>
      <c r="C539" s="30" t="n">
        <v>45699</v>
      </c>
      <c r="D539" s="1" t="inlineStr">
        <is>
          <t>TOWNSVILLE</t>
        </is>
      </c>
      <c r="E539" s="12" t="inlineStr">
        <is>
          <t>IND/MEL/00538</t>
        </is>
      </c>
      <c r="F539" s="1" t="inlineStr">
        <is>
          <t>F</t>
        </is>
      </c>
      <c r="G539" s="1" t="inlineStr">
        <is>
          <t>Rohit Rishkan</t>
        </is>
      </c>
      <c r="H539" s="1" t="inlineStr">
        <is>
          <t>Diya Rishkan</t>
        </is>
      </c>
      <c r="I539" s="30" t="n">
        <v>45809</v>
      </c>
      <c r="J539" s="1" t="inlineStr">
        <is>
          <t>13 Birchwood Lane</t>
        </is>
      </c>
      <c r="K539" s="1" t="inlineStr">
        <is>
          <t>Emerald Road</t>
        </is>
      </c>
      <c r="L539" s="1" t="inlineStr">
        <is>
          <t>PIN:803740 TOWNSVILLE</t>
        </is>
      </c>
      <c r="M539" s="2" t="inlineStr">
        <is>
          <t>MHA/IND/00538</t>
        </is>
      </c>
      <c r="N539" s="30" t="n">
        <v>45866</v>
      </c>
    </row>
    <row r="540">
      <c r="A540" s="28" t="n">
        <v>539</v>
      </c>
      <c r="B540" s="1" t="inlineStr">
        <is>
          <t>MIRA KALEON</t>
        </is>
      </c>
      <c r="C540" s="30" t="n">
        <v>45703</v>
      </c>
      <c r="D540" s="1" t="inlineStr">
        <is>
          <t>WOLLONGONG</t>
        </is>
      </c>
      <c r="E540" s="12" t="inlineStr">
        <is>
          <t>IND/MEL/00539</t>
        </is>
      </c>
      <c r="F540" s="1" t="inlineStr">
        <is>
          <t>F</t>
        </is>
      </c>
      <c r="G540" s="1" t="inlineStr">
        <is>
          <t>Kabir Kaleon</t>
        </is>
      </c>
      <c r="H540" s="1" t="inlineStr">
        <is>
          <t>Riya Kaleon</t>
        </is>
      </c>
      <c r="I540" s="30" t="n">
        <v>45820</v>
      </c>
      <c r="J540" s="1" t="inlineStr">
        <is>
          <t>31 Birchwood Lane</t>
        </is>
      </c>
      <c r="K540" s="1" t="inlineStr">
        <is>
          <t>Emerald Road</t>
        </is>
      </c>
      <c r="L540" s="1" t="inlineStr">
        <is>
          <t>PIN:595547 WOLLONGONG</t>
        </is>
      </c>
      <c r="M540" s="2" t="inlineStr">
        <is>
          <t>MHA/IND/00539</t>
        </is>
      </c>
      <c r="N540" s="30" t="n">
        <v>45897</v>
      </c>
    </row>
    <row r="541">
      <c r="A541" s="28" t="n">
        <v>540</v>
      </c>
      <c r="B541" s="1" t="inlineStr">
        <is>
          <t>ROHIT MYRTHOS</t>
        </is>
      </c>
      <c r="C541" s="30" t="n">
        <v>45737</v>
      </c>
      <c r="D541" s="1" t="inlineStr">
        <is>
          <t>CAMPBELLTOWN</t>
        </is>
      </c>
      <c r="E541" s="12" t="inlineStr">
        <is>
          <t>IND/MEL/00540</t>
        </is>
      </c>
      <c r="F541" s="1" t="inlineStr">
        <is>
          <t>M</t>
        </is>
      </c>
      <c r="G541" s="1" t="inlineStr">
        <is>
          <t>Rohit Myrthos</t>
        </is>
      </c>
      <c r="H541" s="1" t="inlineStr">
        <is>
          <t>Alya Myrthos</t>
        </is>
      </c>
      <c r="I541" s="30" t="n">
        <v>45800</v>
      </c>
      <c r="J541" s="1" t="inlineStr">
        <is>
          <t>59 Birchwood Lane</t>
        </is>
      </c>
      <c r="K541" s="1" t="inlineStr">
        <is>
          <t>Emerald Road</t>
        </is>
      </c>
      <c r="L541" s="1" t="inlineStr">
        <is>
          <t>PIN:475285 CAMPBELLTOWN</t>
        </is>
      </c>
      <c r="M541" s="2" t="inlineStr">
        <is>
          <t>MHA/IND/00540</t>
        </is>
      </c>
      <c r="N541" s="30" t="n">
        <v>45885</v>
      </c>
    </row>
    <row r="542">
      <c r="A542" s="28" t="n">
        <v>541</v>
      </c>
      <c r="B542" s="1" t="inlineStr">
        <is>
          <t>ISHAN SHARMA</t>
        </is>
      </c>
      <c r="C542" s="30" t="n">
        <v>45955</v>
      </c>
      <c r="D542" s="1" t="inlineStr">
        <is>
          <t>LENAH VALLEY</t>
        </is>
      </c>
      <c r="E542" s="12" t="inlineStr">
        <is>
          <t>IND/MEL/00541</t>
        </is>
      </c>
      <c r="F542" s="1" t="inlineStr">
        <is>
          <t>M</t>
        </is>
      </c>
      <c r="G542" s="1" t="inlineStr">
        <is>
          <t>Dev Sharma</t>
        </is>
      </c>
      <c r="H542" s="1" t="inlineStr">
        <is>
          <t>Riya Sharma</t>
        </is>
      </c>
      <c r="I542" s="30" t="n">
        <v>45983</v>
      </c>
      <c r="J542" s="1" t="inlineStr">
        <is>
          <t>55 Birchwood Lane</t>
        </is>
      </c>
      <c r="K542" s="1" t="inlineStr">
        <is>
          <t>Emerald Road</t>
        </is>
      </c>
      <c r="L542" s="1" t="inlineStr">
        <is>
          <t>PIN:883192 LENAH VALLEY</t>
        </is>
      </c>
      <c r="M542" s="2" t="inlineStr">
        <is>
          <t>MHA/IND/00541</t>
        </is>
      </c>
      <c r="N542" s="30" t="n">
        <v>45868</v>
      </c>
    </row>
    <row r="543">
      <c r="A543" s="28" t="n">
        <v>542</v>
      </c>
      <c r="B543" s="1" t="inlineStr">
        <is>
          <t>DEV VALZARI</t>
        </is>
      </c>
      <c r="C543" s="30" t="n">
        <v>45826</v>
      </c>
      <c r="D543" s="1" t="inlineStr">
        <is>
          <t>PARRAMATTA</t>
        </is>
      </c>
      <c r="E543" s="12" t="inlineStr">
        <is>
          <t>IND/MEL/00542</t>
        </is>
      </c>
      <c r="F543" s="1" t="inlineStr">
        <is>
          <t>M</t>
        </is>
      </c>
      <c r="G543" s="1" t="inlineStr">
        <is>
          <t>Kabir Valzari</t>
        </is>
      </c>
      <c r="H543" s="1" t="inlineStr">
        <is>
          <t>Anya Valzari</t>
        </is>
      </c>
      <c r="I543" s="30" t="n">
        <v>45840</v>
      </c>
      <c r="J543" s="1" t="inlineStr">
        <is>
          <t>18 Birchwood Lane</t>
        </is>
      </c>
      <c r="K543" s="1" t="inlineStr">
        <is>
          <t>Emerald Road</t>
        </is>
      </c>
      <c r="L543" s="1" t="inlineStr">
        <is>
          <t>PIN:623840 PARRAMATTA</t>
        </is>
      </c>
      <c r="M543" s="2" t="inlineStr">
        <is>
          <t>MHA/IND/00542</t>
        </is>
      </c>
      <c r="N543" s="30" t="n">
        <v>45858</v>
      </c>
    </row>
    <row r="544">
      <c r="A544" s="28" t="n">
        <v>543</v>
      </c>
      <c r="B544" s="1" t="inlineStr">
        <is>
          <t>ANYA RAO</t>
        </is>
      </c>
      <c r="C544" s="30" t="n">
        <v>45782</v>
      </c>
      <c r="D544" s="1" t="inlineStr">
        <is>
          <t>GEELONG</t>
        </is>
      </c>
      <c r="E544" s="12" t="inlineStr">
        <is>
          <t>IND/MEL/00543</t>
        </is>
      </c>
      <c r="F544" s="1" t="inlineStr">
        <is>
          <t>F</t>
        </is>
      </c>
      <c r="G544" s="1" t="inlineStr">
        <is>
          <t>Rohit Rao</t>
        </is>
      </c>
      <c r="H544" s="1" t="inlineStr">
        <is>
          <t>Alya Rao</t>
        </is>
      </c>
      <c r="I544" s="30" t="n">
        <v>45787</v>
      </c>
      <c r="J544" s="1" t="inlineStr">
        <is>
          <t>112 Birchwood Lane</t>
        </is>
      </c>
      <c r="K544" s="1" t="inlineStr">
        <is>
          <t>Emerald Road</t>
        </is>
      </c>
      <c r="L544" s="1" t="inlineStr">
        <is>
          <t>PIN:153426 GEELONG</t>
        </is>
      </c>
      <c r="M544" s="2" t="inlineStr">
        <is>
          <t>MHA/IND/00543</t>
        </is>
      </c>
      <c r="N544" s="30" t="n">
        <v>45852</v>
      </c>
    </row>
    <row r="545">
      <c r="A545" s="28" t="n">
        <v>544</v>
      </c>
      <c r="B545" s="1" t="inlineStr">
        <is>
          <t>ROHIT VALZARI</t>
        </is>
      </c>
      <c r="C545" s="30" t="n">
        <v>45754</v>
      </c>
      <c r="D545" s="1" t="inlineStr">
        <is>
          <t>PALMERSTON</t>
        </is>
      </c>
      <c r="E545" s="12" t="inlineStr">
        <is>
          <t>IND/MEL/00544</t>
        </is>
      </c>
      <c r="F545" s="1" t="inlineStr">
        <is>
          <t>M</t>
        </is>
      </c>
      <c r="G545" s="1" t="inlineStr">
        <is>
          <t>Aren Valzari</t>
        </is>
      </c>
      <c r="H545" s="1" t="inlineStr">
        <is>
          <t>Anya Valzari</t>
        </is>
      </c>
      <c r="I545" s="30" t="n">
        <v>45765</v>
      </c>
      <c r="J545" s="1" t="inlineStr">
        <is>
          <t>20 Birchwood Lane</t>
        </is>
      </c>
      <c r="K545" s="1" t="inlineStr">
        <is>
          <t>Emerald Road</t>
        </is>
      </c>
      <c r="L545" s="1" t="inlineStr">
        <is>
          <t>PIN:548726 PALMERSTON</t>
        </is>
      </c>
      <c r="M545" s="2" t="inlineStr">
        <is>
          <t>MHA/IND/00544</t>
        </is>
      </c>
      <c r="N545" s="30" t="n">
        <v>45855</v>
      </c>
    </row>
    <row r="546">
      <c r="A546" s="28" t="n">
        <v>545</v>
      </c>
      <c r="B546" s="1" t="inlineStr">
        <is>
          <t>ARJUN KALEON</t>
        </is>
      </c>
      <c r="C546" s="30" t="n">
        <v>45951</v>
      </c>
      <c r="D546" s="1" t="inlineStr">
        <is>
          <t>LENAH VALLEY</t>
        </is>
      </c>
      <c r="E546" s="12" t="inlineStr">
        <is>
          <t>IND/MEL/00545</t>
        </is>
      </c>
      <c r="F546" s="1" t="inlineStr">
        <is>
          <t>M</t>
        </is>
      </c>
      <c r="G546" s="1" t="inlineStr">
        <is>
          <t>Kabir Kaleon</t>
        </is>
      </c>
      <c r="H546" s="1" t="inlineStr">
        <is>
          <t>Riya Kaleon</t>
        </is>
      </c>
      <c r="I546" s="30" t="n">
        <v>46031</v>
      </c>
      <c r="J546" s="1" t="inlineStr">
        <is>
          <t>163 Birchwood Lane</t>
        </is>
      </c>
      <c r="K546" s="1" t="inlineStr">
        <is>
          <t>Emerald Road</t>
        </is>
      </c>
      <c r="L546" s="1" t="inlineStr">
        <is>
          <t>PIN:398774 LENAH VALLEY</t>
        </is>
      </c>
      <c r="M546" s="2" t="inlineStr">
        <is>
          <t>MHA/IND/00545</t>
        </is>
      </c>
      <c r="N546" s="30" t="n">
        <v>45880</v>
      </c>
    </row>
    <row r="547">
      <c r="A547" s="28" t="n">
        <v>546</v>
      </c>
      <c r="B547" s="1" t="inlineStr">
        <is>
          <t>AREN MYRTHOS</t>
        </is>
      </c>
      <c r="C547" s="30" t="n">
        <v>45804</v>
      </c>
      <c r="D547" s="1" t="inlineStr">
        <is>
          <t>MIDLAND</t>
        </is>
      </c>
      <c r="E547" s="12" t="inlineStr">
        <is>
          <t>IND/MEL/00546</t>
        </is>
      </c>
      <c r="F547" s="1" t="inlineStr">
        <is>
          <t>M</t>
        </is>
      </c>
      <c r="G547" s="1" t="inlineStr">
        <is>
          <t>Kabir Myrthos</t>
        </is>
      </c>
      <c r="H547" s="1" t="inlineStr">
        <is>
          <t>Nina Myrthos</t>
        </is>
      </c>
      <c r="I547" s="30" t="n">
        <v>45918</v>
      </c>
      <c r="J547" s="1" t="inlineStr">
        <is>
          <t>179 Birchwood Lane</t>
        </is>
      </c>
      <c r="K547" s="1" t="inlineStr">
        <is>
          <t>Emerald Road</t>
        </is>
      </c>
      <c r="L547" s="1" t="inlineStr">
        <is>
          <t>PIN:688803 MIDLAND</t>
        </is>
      </c>
      <c r="M547" s="2" t="inlineStr">
        <is>
          <t>MHA/IND/00546</t>
        </is>
      </c>
      <c r="N547" s="30" t="n">
        <v>45859</v>
      </c>
    </row>
    <row r="548">
      <c r="A548" s="28" t="n">
        <v>547</v>
      </c>
      <c r="B548" s="1" t="inlineStr">
        <is>
          <t>MIRA SINDALE</t>
        </is>
      </c>
      <c r="C548" s="30" t="n">
        <v>45908</v>
      </c>
      <c r="D548" s="1" t="inlineStr">
        <is>
          <t>ROCKHAMPTON</t>
        </is>
      </c>
      <c r="E548" s="12" t="inlineStr">
        <is>
          <t>IND/MEL/00547</t>
        </is>
      </c>
      <c r="F548" s="1" t="inlineStr">
        <is>
          <t>F</t>
        </is>
      </c>
      <c r="G548" s="1" t="inlineStr">
        <is>
          <t>Ishan Sindale</t>
        </is>
      </c>
      <c r="H548" s="1" t="inlineStr">
        <is>
          <t>Anya Sindale</t>
        </is>
      </c>
      <c r="I548" s="30" t="n">
        <v>45915</v>
      </c>
      <c r="J548" s="1" t="inlineStr">
        <is>
          <t>11 Birchwood Lane</t>
        </is>
      </c>
      <c r="K548" s="1" t="inlineStr">
        <is>
          <t>Emerald Road</t>
        </is>
      </c>
      <c r="L548" s="1" t="inlineStr">
        <is>
          <t>PIN:572879 ROCKHAMPTON</t>
        </is>
      </c>
      <c r="M548" s="2" t="inlineStr">
        <is>
          <t>MHA/IND/00547</t>
        </is>
      </c>
      <c r="N548" s="30" t="n">
        <v>45842</v>
      </c>
    </row>
    <row r="549">
      <c r="A549" s="28" t="n">
        <v>548</v>
      </c>
      <c r="B549" s="1" t="inlineStr">
        <is>
          <t>ALYA VALZARI</t>
        </is>
      </c>
      <c r="C549" s="30" t="n">
        <v>45692</v>
      </c>
      <c r="D549" s="1" t="inlineStr">
        <is>
          <t>MANDURAH</t>
        </is>
      </c>
      <c r="E549" s="12" t="inlineStr">
        <is>
          <t>IND/MEL/00548</t>
        </is>
      </c>
      <c r="F549" s="1" t="inlineStr">
        <is>
          <t>F</t>
        </is>
      </c>
      <c r="G549" s="1" t="inlineStr">
        <is>
          <t>Dev Valzari</t>
        </is>
      </c>
      <c r="H549" s="1" t="inlineStr">
        <is>
          <t>Alya Valzari</t>
        </is>
      </c>
      <c r="I549" s="30" t="n">
        <v>45717</v>
      </c>
      <c r="J549" s="1" t="inlineStr">
        <is>
          <t>69 Birchwood Lane</t>
        </is>
      </c>
      <c r="K549" s="1" t="inlineStr">
        <is>
          <t>Emerald Road</t>
        </is>
      </c>
      <c r="L549" s="1" t="inlineStr">
        <is>
          <t>PIN:775685 MANDURAH</t>
        </is>
      </c>
      <c r="M549" s="2" t="inlineStr">
        <is>
          <t>MHA/IND/00548</t>
        </is>
      </c>
      <c r="N549" s="30" t="n">
        <v>45886</v>
      </c>
    </row>
    <row r="550">
      <c r="A550" s="28" t="n">
        <v>549</v>
      </c>
      <c r="B550" s="1" t="inlineStr">
        <is>
          <t>ARJUN RISHKAN</t>
        </is>
      </c>
      <c r="C550" s="30" t="n">
        <v>45695</v>
      </c>
      <c r="D550" s="1" t="inlineStr">
        <is>
          <t>DALBY</t>
        </is>
      </c>
      <c r="E550" s="12" t="inlineStr">
        <is>
          <t>IND/MEL/00549</t>
        </is>
      </c>
      <c r="F550" s="1" t="inlineStr">
        <is>
          <t>M</t>
        </is>
      </c>
      <c r="G550" s="1" t="inlineStr">
        <is>
          <t>Arjun Rishkan</t>
        </is>
      </c>
      <c r="H550" s="1" t="inlineStr">
        <is>
          <t>Riya Rishkan</t>
        </is>
      </c>
      <c r="I550" s="30" t="n">
        <v>45747</v>
      </c>
      <c r="J550" s="1" t="inlineStr">
        <is>
          <t>16 Birchwood Lane</t>
        </is>
      </c>
      <c r="K550" s="1" t="inlineStr">
        <is>
          <t>Emerald Road</t>
        </is>
      </c>
      <c r="L550" s="1" t="inlineStr">
        <is>
          <t>PIN:294333 DALBY</t>
        </is>
      </c>
      <c r="M550" s="2" t="inlineStr">
        <is>
          <t>MHA/IND/00549</t>
        </is>
      </c>
      <c r="N550" s="30" t="n">
        <v>45892</v>
      </c>
    </row>
    <row r="551">
      <c r="A551" s="28" t="n">
        <v>550</v>
      </c>
      <c r="B551" s="1" t="inlineStr">
        <is>
          <t>ANYA RAO</t>
        </is>
      </c>
      <c r="C551" s="30" t="n">
        <v>45833</v>
      </c>
      <c r="D551" s="1" t="inlineStr">
        <is>
          <t>PARKVILLE</t>
        </is>
      </c>
      <c r="E551" s="12" t="inlineStr">
        <is>
          <t>IND/MEL/00550</t>
        </is>
      </c>
      <c r="F551" s="1" t="inlineStr">
        <is>
          <t>F</t>
        </is>
      </c>
      <c r="G551" s="1" t="inlineStr">
        <is>
          <t>Ishan Rao</t>
        </is>
      </c>
      <c r="H551" s="1" t="inlineStr">
        <is>
          <t>Riya Rao</t>
        </is>
      </c>
      <c r="I551" s="30" t="n">
        <v>45856</v>
      </c>
      <c r="J551" s="1" t="inlineStr">
        <is>
          <t>89 Birchwood Lane</t>
        </is>
      </c>
      <c r="K551" s="1" t="inlineStr">
        <is>
          <t>Emerald Road</t>
        </is>
      </c>
      <c r="L551" s="1" t="inlineStr">
        <is>
          <t>PIN:778480 PARKVILLE</t>
        </is>
      </c>
      <c r="M551" s="2" t="inlineStr">
        <is>
          <t>MHA/IND/00550</t>
        </is>
      </c>
      <c r="N551" s="30" t="n">
        <v>45893</v>
      </c>
    </row>
    <row r="552">
      <c r="A552" s="28" t="n">
        <v>551</v>
      </c>
      <c r="B552" s="1" t="inlineStr">
        <is>
          <t>TARA RISHKAN</t>
        </is>
      </c>
      <c r="C552" s="30" t="n">
        <v>45812</v>
      </c>
      <c r="D552" s="1" t="inlineStr">
        <is>
          <t>ADELAIDE</t>
        </is>
      </c>
      <c r="E552" s="12" t="inlineStr">
        <is>
          <t>IND/MEL/00551</t>
        </is>
      </c>
      <c r="F552" s="1" t="inlineStr">
        <is>
          <t>F</t>
        </is>
      </c>
      <c r="G552" s="1" t="inlineStr">
        <is>
          <t>Kabir Rishkan</t>
        </is>
      </c>
      <c r="H552" s="1" t="inlineStr">
        <is>
          <t>Sara Rishkan</t>
        </is>
      </c>
      <c r="I552" s="30" t="n">
        <v>45931</v>
      </c>
      <c r="J552" s="1" t="inlineStr">
        <is>
          <t>77 Birchwood Lane</t>
        </is>
      </c>
      <c r="K552" s="1" t="inlineStr">
        <is>
          <t>Emerald Road</t>
        </is>
      </c>
      <c r="L552" s="1" t="inlineStr">
        <is>
          <t>PIN:952963 ADELAIDE</t>
        </is>
      </c>
      <c r="M552" s="2" t="inlineStr">
        <is>
          <t>MHA/IND/00551</t>
        </is>
      </c>
      <c r="N552" s="30" t="n">
        <v>45877</v>
      </c>
    </row>
    <row r="553">
      <c r="A553" s="28" t="n">
        <v>552</v>
      </c>
      <c r="B553" s="1" t="inlineStr">
        <is>
          <t>ISHAN RAO</t>
        </is>
      </c>
      <c r="C553" s="30" t="n">
        <v>45833</v>
      </c>
      <c r="D553" s="1" t="inlineStr">
        <is>
          <t>LOGAN</t>
        </is>
      </c>
      <c r="E553" s="12" t="inlineStr">
        <is>
          <t>IND/MEL/00552</t>
        </is>
      </c>
      <c r="F553" s="1" t="inlineStr">
        <is>
          <t>M</t>
        </is>
      </c>
      <c r="G553" s="1" t="inlineStr">
        <is>
          <t>Arjun Rao</t>
        </is>
      </c>
      <c r="H553" s="1" t="inlineStr">
        <is>
          <t>Nina Rao</t>
        </is>
      </c>
      <c r="I553" s="30" t="n">
        <v>45935</v>
      </c>
      <c r="J553" s="1" t="inlineStr">
        <is>
          <t>190 Birchwood Lane</t>
        </is>
      </c>
      <c r="K553" s="1" t="inlineStr">
        <is>
          <t>Emerald Road</t>
        </is>
      </c>
      <c r="L553" s="1" t="inlineStr">
        <is>
          <t>PIN:921501 LOGAN</t>
        </is>
      </c>
      <c r="M553" s="2" t="inlineStr">
        <is>
          <t>MHA/IND/00552</t>
        </is>
      </c>
      <c r="N553" s="30" t="n">
        <v>45848</v>
      </c>
    </row>
    <row r="554">
      <c r="A554" s="28" t="n">
        <v>553</v>
      </c>
      <c r="B554" s="1" t="inlineStr">
        <is>
          <t>NEIL RISHKAN</t>
        </is>
      </c>
      <c r="C554" s="30" t="n">
        <v>45834</v>
      </c>
      <c r="D554" s="1" t="inlineStr">
        <is>
          <t>FRANKSTON</t>
        </is>
      </c>
      <c r="E554" s="12" t="inlineStr">
        <is>
          <t>IND/MEL/00553</t>
        </is>
      </c>
      <c r="F554" s="1" t="inlineStr">
        <is>
          <t>M</t>
        </is>
      </c>
      <c r="G554" s="1" t="inlineStr">
        <is>
          <t>Neil Rishkan</t>
        </is>
      </c>
      <c r="H554" s="1" t="inlineStr">
        <is>
          <t>Tara Rishkan</t>
        </is>
      </c>
      <c r="I554" s="30" t="n">
        <v>45866</v>
      </c>
      <c r="J554" s="1" t="inlineStr">
        <is>
          <t>135 Birchwood Lane</t>
        </is>
      </c>
      <c r="K554" s="1" t="inlineStr">
        <is>
          <t>Emerald Road</t>
        </is>
      </c>
      <c r="L554" s="1" t="inlineStr">
        <is>
          <t>PIN:461997 FRANKSTON</t>
        </is>
      </c>
      <c r="M554" s="2" t="inlineStr">
        <is>
          <t>MHA/IND/00553</t>
        </is>
      </c>
      <c r="N554" s="30" t="n">
        <v>45881</v>
      </c>
    </row>
    <row r="555">
      <c r="A555" s="28" t="n">
        <v>554</v>
      </c>
      <c r="B555" s="1" t="inlineStr">
        <is>
          <t>KIRAN MYRTHOS</t>
        </is>
      </c>
      <c r="C555" s="30" t="n">
        <v>45787</v>
      </c>
      <c r="D555" s="1" t="inlineStr">
        <is>
          <t>ST ALBANS</t>
        </is>
      </c>
      <c r="E555" s="12" t="inlineStr">
        <is>
          <t>IND/MEL/00554</t>
        </is>
      </c>
      <c r="F555" s="1" t="inlineStr">
        <is>
          <t>M</t>
        </is>
      </c>
      <c r="G555" s="1" t="inlineStr">
        <is>
          <t>Arjun Myrthos</t>
        </is>
      </c>
      <c r="H555" s="1" t="inlineStr">
        <is>
          <t>Sara Myrthos</t>
        </is>
      </c>
      <c r="I555" s="30" t="n">
        <v>45833</v>
      </c>
      <c r="J555" s="1" t="inlineStr">
        <is>
          <t>118 Birchwood Lane</t>
        </is>
      </c>
      <c r="K555" s="1" t="inlineStr">
        <is>
          <t>Emerald Road</t>
        </is>
      </c>
      <c r="L555" s="1" t="inlineStr">
        <is>
          <t>PIN:541304 ST ALBANS</t>
        </is>
      </c>
      <c r="M555" s="2" t="inlineStr">
        <is>
          <t>MHA/IND/00554</t>
        </is>
      </c>
      <c r="N555" s="30" t="n">
        <v>45878</v>
      </c>
    </row>
    <row r="556">
      <c r="A556" s="28" t="n">
        <v>555</v>
      </c>
      <c r="B556" s="1" t="inlineStr">
        <is>
          <t>DEV RISHKAN</t>
        </is>
      </c>
      <c r="C556" s="30" t="n">
        <v>45667</v>
      </c>
      <c r="D556" s="1" t="inlineStr">
        <is>
          <t>MANDURAH</t>
        </is>
      </c>
      <c r="E556" s="12" t="inlineStr">
        <is>
          <t>IND/MEL/00555</t>
        </is>
      </c>
      <c r="F556" s="1" t="inlineStr">
        <is>
          <t>M</t>
        </is>
      </c>
      <c r="G556" s="1" t="inlineStr">
        <is>
          <t>Arjun Rishkan</t>
        </is>
      </c>
      <c r="H556" s="1" t="inlineStr">
        <is>
          <t>Sara Rishkan</t>
        </is>
      </c>
      <c r="I556" s="30" t="n">
        <v>45721</v>
      </c>
      <c r="J556" s="1" t="inlineStr">
        <is>
          <t>10 Birchwood Lane</t>
        </is>
      </c>
      <c r="K556" s="1" t="inlineStr">
        <is>
          <t>Emerald Road</t>
        </is>
      </c>
      <c r="L556" s="1" t="inlineStr">
        <is>
          <t>PIN:613365 MANDURAH</t>
        </is>
      </c>
      <c r="M556" s="2" t="inlineStr">
        <is>
          <t>MHA/IND/00555</t>
        </is>
      </c>
      <c r="N556" s="30" t="n">
        <v>45877</v>
      </c>
    </row>
    <row r="557">
      <c r="A557" s="28" t="n">
        <v>556</v>
      </c>
      <c r="B557" s="1" t="inlineStr">
        <is>
          <t>SARA VALZARI</t>
        </is>
      </c>
      <c r="C557" s="30" t="n">
        <v>45956</v>
      </c>
      <c r="D557" s="1" t="inlineStr">
        <is>
          <t>BEDFORD PARK</t>
        </is>
      </c>
      <c r="E557" s="12" t="inlineStr">
        <is>
          <t>IND/MEL/00556</t>
        </is>
      </c>
      <c r="F557" s="1" t="inlineStr">
        <is>
          <t>F</t>
        </is>
      </c>
      <c r="G557" s="1" t="inlineStr">
        <is>
          <t>Arjun Valzari</t>
        </is>
      </c>
      <c r="H557" s="1" t="inlineStr">
        <is>
          <t>Diya Valzari</t>
        </is>
      </c>
      <c r="I557" s="30" t="n">
        <v>45962</v>
      </c>
      <c r="J557" s="1" t="inlineStr">
        <is>
          <t>184 Birchwood Lane</t>
        </is>
      </c>
      <c r="K557" s="1" t="inlineStr">
        <is>
          <t>Emerald Road</t>
        </is>
      </c>
      <c r="L557" s="1" t="inlineStr">
        <is>
          <t>PIN:462170 BEDFORD PARK</t>
        </is>
      </c>
      <c r="M557" s="2" t="inlineStr">
        <is>
          <t>MHA/IND/00556</t>
        </is>
      </c>
      <c r="N557" s="30" t="n">
        <v>45864</v>
      </c>
    </row>
    <row r="558">
      <c r="A558" s="28" t="n">
        <v>557</v>
      </c>
      <c r="B558" s="1" t="inlineStr">
        <is>
          <t>ROHIT MYRTHOS</t>
        </is>
      </c>
      <c r="C558" s="30" t="n">
        <v>45901</v>
      </c>
      <c r="D558" s="1" t="inlineStr">
        <is>
          <t>WERRIBEE</t>
        </is>
      </c>
      <c r="E558" s="12" t="inlineStr">
        <is>
          <t>IND/MEL/00557</t>
        </is>
      </c>
      <c r="F558" s="1" t="inlineStr">
        <is>
          <t>M</t>
        </is>
      </c>
      <c r="G558" s="1" t="inlineStr">
        <is>
          <t>Arjun Myrthos</t>
        </is>
      </c>
      <c r="H558" s="1" t="inlineStr">
        <is>
          <t>Nina Myrthos</t>
        </is>
      </c>
      <c r="I558" s="30" t="n">
        <v>45941</v>
      </c>
      <c r="J558" s="1" t="inlineStr">
        <is>
          <t>35 Birchwood Lane</t>
        </is>
      </c>
      <c r="K558" s="1" t="inlineStr">
        <is>
          <t>Emerald Road</t>
        </is>
      </c>
      <c r="L558" s="1" t="inlineStr">
        <is>
          <t>PIN:345085 WERRIBEE</t>
        </is>
      </c>
      <c r="M558" s="2" t="inlineStr">
        <is>
          <t>MHA/IND/00557</t>
        </is>
      </c>
      <c r="N558" s="30" t="n">
        <v>45857</v>
      </c>
    </row>
    <row r="559">
      <c r="A559" s="28" t="n">
        <v>558</v>
      </c>
      <c r="B559" s="1" t="inlineStr">
        <is>
          <t>KABIR RAO</t>
        </is>
      </c>
      <c r="C559" s="30" t="n">
        <v>45860</v>
      </c>
      <c r="D559" s="1" t="inlineStr">
        <is>
          <t>BUNDABERG</t>
        </is>
      </c>
      <c r="E559" s="12" t="inlineStr">
        <is>
          <t>IND/MEL/00558</t>
        </is>
      </c>
      <c r="F559" s="1" t="inlineStr">
        <is>
          <t>M</t>
        </is>
      </c>
      <c r="G559" s="1" t="inlineStr">
        <is>
          <t>Neil Rao</t>
        </is>
      </c>
      <c r="H559" s="1" t="inlineStr">
        <is>
          <t>Sara Rao</t>
        </is>
      </c>
      <c r="I559" s="30" t="n">
        <v>45905</v>
      </c>
      <c r="J559" s="1" t="inlineStr">
        <is>
          <t>131 Birchwood Lane</t>
        </is>
      </c>
      <c r="K559" s="1" t="inlineStr">
        <is>
          <t>Emerald Road</t>
        </is>
      </c>
      <c r="L559" s="1" t="inlineStr">
        <is>
          <t>PIN:834366 BUNDABERG</t>
        </is>
      </c>
      <c r="M559" s="2" t="inlineStr">
        <is>
          <t>MHA/IND/00558</t>
        </is>
      </c>
      <c r="N559" s="30" t="n">
        <v>45844</v>
      </c>
    </row>
    <row r="560">
      <c r="A560" s="28" t="n">
        <v>559</v>
      </c>
      <c r="B560" s="1" t="inlineStr">
        <is>
          <t>DIYA RAO</t>
        </is>
      </c>
      <c r="C560" s="30" t="n">
        <v>45828</v>
      </c>
      <c r="D560" s="1" t="inlineStr">
        <is>
          <t>PERTH</t>
        </is>
      </c>
      <c r="E560" s="12" t="inlineStr">
        <is>
          <t>IND/MEL/00559</t>
        </is>
      </c>
      <c r="F560" s="1" t="inlineStr">
        <is>
          <t>F</t>
        </is>
      </c>
      <c r="G560" s="1" t="inlineStr">
        <is>
          <t>Neil Rao</t>
        </is>
      </c>
      <c r="H560" s="1" t="inlineStr">
        <is>
          <t>Riya Rao</t>
        </is>
      </c>
      <c r="I560" s="30" t="n">
        <v>45872</v>
      </c>
      <c r="J560" s="1" t="inlineStr">
        <is>
          <t>32 Birchwood Lane</t>
        </is>
      </c>
      <c r="K560" s="1" t="inlineStr">
        <is>
          <t>Emerald Road</t>
        </is>
      </c>
      <c r="L560" s="1" t="inlineStr">
        <is>
          <t>PIN:127602 PERTH</t>
        </is>
      </c>
      <c r="M560" s="2" t="inlineStr">
        <is>
          <t>MHA/IND/00559</t>
        </is>
      </c>
      <c r="N560" s="30" t="n">
        <v>45864</v>
      </c>
    </row>
    <row r="561">
      <c r="A561" s="28" t="n">
        <v>560</v>
      </c>
      <c r="B561" s="1" t="inlineStr">
        <is>
          <t>KIRAN MYRTHOS</t>
        </is>
      </c>
      <c r="C561" s="30" t="n">
        <v>45775</v>
      </c>
      <c r="D561" s="1" t="inlineStr">
        <is>
          <t>NEWCASTLE</t>
        </is>
      </c>
      <c r="E561" s="12" t="inlineStr">
        <is>
          <t>IND/MEL/00560</t>
        </is>
      </c>
      <c r="F561" s="1" t="inlineStr">
        <is>
          <t>M</t>
        </is>
      </c>
      <c r="G561" s="1" t="inlineStr">
        <is>
          <t>Ishan Myrthos</t>
        </is>
      </c>
      <c r="H561" s="1" t="inlineStr">
        <is>
          <t>Anya Myrthos</t>
        </is>
      </c>
      <c r="I561" s="30" t="n">
        <v>45873</v>
      </c>
      <c r="J561" s="1" t="inlineStr">
        <is>
          <t>139 Birchwood Lane</t>
        </is>
      </c>
      <c r="K561" s="1" t="inlineStr">
        <is>
          <t>Emerald Road</t>
        </is>
      </c>
      <c r="L561" s="1" t="inlineStr">
        <is>
          <t>PIN:884260 NEWCASTLE</t>
        </is>
      </c>
      <c r="M561" s="2" t="inlineStr">
        <is>
          <t>MHA/IND/00560</t>
        </is>
      </c>
      <c r="N561" s="30" t="n">
        <v>45840</v>
      </c>
    </row>
    <row r="562">
      <c r="A562" s="28" t="n">
        <v>561</v>
      </c>
      <c r="B562" s="1" t="inlineStr">
        <is>
          <t>NEIL SINDALE</t>
        </is>
      </c>
      <c r="C562" s="30" t="n">
        <v>45733</v>
      </c>
      <c r="D562" s="1" t="inlineStr">
        <is>
          <t>PARKVILLE</t>
        </is>
      </c>
      <c r="E562" s="12" t="inlineStr">
        <is>
          <t>IND/MEL/00561</t>
        </is>
      </c>
      <c r="F562" s="1" t="inlineStr">
        <is>
          <t>M</t>
        </is>
      </c>
      <c r="G562" s="1" t="inlineStr">
        <is>
          <t>Kabir Sindale</t>
        </is>
      </c>
      <c r="H562" s="1" t="inlineStr">
        <is>
          <t>Sara Sindale</t>
        </is>
      </c>
      <c r="I562" s="30" t="n">
        <v>45786</v>
      </c>
      <c r="J562" s="1" t="inlineStr">
        <is>
          <t>164 Birchwood Lane</t>
        </is>
      </c>
      <c r="K562" s="1" t="inlineStr">
        <is>
          <t>Emerald Road</t>
        </is>
      </c>
      <c r="L562" s="1" t="inlineStr">
        <is>
          <t>PIN:603548 PARKVILLE</t>
        </is>
      </c>
      <c r="M562" s="2" t="inlineStr">
        <is>
          <t>MHA/IND/00561</t>
        </is>
      </c>
      <c r="N562" s="30" t="n">
        <v>45868</v>
      </c>
    </row>
    <row r="563">
      <c r="A563" s="28" t="n">
        <v>562</v>
      </c>
      <c r="B563" s="1" t="inlineStr">
        <is>
          <t>ANYA RISHKAN</t>
        </is>
      </c>
      <c r="C563" s="30" t="n">
        <v>45813</v>
      </c>
      <c r="D563" s="1" t="inlineStr">
        <is>
          <t>CLAYTON</t>
        </is>
      </c>
      <c r="E563" s="12" t="inlineStr">
        <is>
          <t>IND/MEL/00562</t>
        </is>
      </c>
      <c r="F563" s="1" t="inlineStr">
        <is>
          <t>F</t>
        </is>
      </c>
      <c r="G563" s="1" t="inlineStr">
        <is>
          <t>Arjun Rishkan</t>
        </is>
      </c>
      <c r="H563" s="1" t="inlineStr">
        <is>
          <t>Riya Rishkan</t>
        </is>
      </c>
      <c r="I563" s="30" t="n">
        <v>45881</v>
      </c>
      <c r="J563" s="1" t="inlineStr">
        <is>
          <t>115 Birchwood Lane</t>
        </is>
      </c>
      <c r="K563" s="1" t="inlineStr">
        <is>
          <t>Emerald Road</t>
        </is>
      </c>
      <c r="L563" s="1" t="inlineStr">
        <is>
          <t>PIN:420167 CLAYTON</t>
        </is>
      </c>
      <c r="M563" s="2" t="inlineStr">
        <is>
          <t>MHA/IND/00562</t>
        </is>
      </c>
      <c r="N563" s="30" t="n">
        <v>45849</v>
      </c>
    </row>
    <row r="564">
      <c r="A564" s="28" t="n">
        <v>563</v>
      </c>
      <c r="B564" s="1" t="inlineStr">
        <is>
          <t>ISHAN MYRTHOS</t>
        </is>
      </c>
      <c r="C564" s="30" t="n">
        <v>45884</v>
      </c>
      <c r="D564" s="1" t="inlineStr">
        <is>
          <t>SYDNEY</t>
        </is>
      </c>
      <c r="E564" s="12" t="inlineStr">
        <is>
          <t>IND/MEL/00563</t>
        </is>
      </c>
      <c r="F564" s="1" t="inlineStr">
        <is>
          <t>M</t>
        </is>
      </c>
      <c r="G564" s="1" t="inlineStr">
        <is>
          <t>Rohit Myrthos</t>
        </is>
      </c>
      <c r="H564" s="1" t="inlineStr">
        <is>
          <t>Sara Myrthos</t>
        </is>
      </c>
      <c r="I564" s="30" t="n">
        <v>45929</v>
      </c>
      <c r="J564" s="1" t="inlineStr">
        <is>
          <t>87 Birchwood Lane</t>
        </is>
      </c>
      <c r="K564" s="1" t="inlineStr">
        <is>
          <t>Emerald Road</t>
        </is>
      </c>
      <c r="L564" s="1" t="inlineStr">
        <is>
          <t>PIN:467770 SYDNEY</t>
        </is>
      </c>
      <c r="M564" s="2" t="inlineStr">
        <is>
          <t>MHA/IND/00563</t>
        </is>
      </c>
      <c r="N564" s="30" t="n">
        <v>45855</v>
      </c>
    </row>
    <row r="565">
      <c r="A565" s="28" t="n">
        <v>564</v>
      </c>
      <c r="B565" s="1" t="inlineStr">
        <is>
          <t>ROHIT KALEON</t>
        </is>
      </c>
      <c r="C565" s="30" t="n">
        <v>45922</v>
      </c>
      <c r="D565" s="1" t="inlineStr">
        <is>
          <t>SHEPPARTON</t>
        </is>
      </c>
      <c r="E565" s="12" t="inlineStr">
        <is>
          <t>IND/MEL/00564</t>
        </is>
      </c>
      <c r="F565" s="1" t="inlineStr">
        <is>
          <t>M</t>
        </is>
      </c>
      <c r="G565" s="1" t="inlineStr">
        <is>
          <t>Arjun Kaleon</t>
        </is>
      </c>
      <c r="H565" s="1" t="inlineStr">
        <is>
          <t>Nina Kaleon</t>
        </is>
      </c>
      <c r="I565" s="30" t="n">
        <v>46024</v>
      </c>
      <c r="J565" s="1" t="inlineStr">
        <is>
          <t>77 Birchwood Lane</t>
        </is>
      </c>
      <c r="K565" s="1" t="inlineStr">
        <is>
          <t>Emerald Road</t>
        </is>
      </c>
      <c r="L565" s="1" t="inlineStr">
        <is>
          <t>PIN:757926 SHEPPARTON</t>
        </is>
      </c>
      <c r="M565" s="2" t="inlineStr">
        <is>
          <t>MHA/IND/00564</t>
        </is>
      </c>
      <c r="N565" s="30" t="n">
        <v>45879</v>
      </c>
    </row>
    <row r="566">
      <c r="A566" s="28" t="n">
        <v>565</v>
      </c>
      <c r="B566" s="1" t="inlineStr">
        <is>
          <t>NEIL KALEON</t>
        </is>
      </c>
      <c r="C566" s="30" t="n">
        <v>45768</v>
      </c>
      <c r="D566" s="1" t="inlineStr">
        <is>
          <t>WERRIBEE</t>
        </is>
      </c>
      <c r="E566" s="12" t="inlineStr">
        <is>
          <t>IND/MEL/00565</t>
        </is>
      </c>
      <c r="F566" s="1" t="inlineStr">
        <is>
          <t>M</t>
        </is>
      </c>
      <c r="G566" s="1" t="inlineStr">
        <is>
          <t>Rohit Kaleon</t>
        </is>
      </c>
      <c r="H566" s="1" t="inlineStr">
        <is>
          <t>Diya Kaleon</t>
        </is>
      </c>
      <c r="I566" s="30" t="n">
        <v>45776</v>
      </c>
      <c r="J566" s="1" t="inlineStr">
        <is>
          <t>59 Birchwood Lane</t>
        </is>
      </c>
      <c r="K566" s="1" t="inlineStr">
        <is>
          <t>Emerald Road</t>
        </is>
      </c>
      <c r="L566" s="1" t="inlineStr">
        <is>
          <t>PIN:445229 WERRIBEE</t>
        </is>
      </c>
      <c r="M566" s="2" t="inlineStr">
        <is>
          <t>MHA/IND/00565</t>
        </is>
      </c>
      <c r="N566" s="30" t="n">
        <v>45897</v>
      </c>
    </row>
    <row r="567">
      <c r="A567" s="28" t="n">
        <v>566</v>
      </c>
      <c r="B567" s="1" t="inlineStr">
        <is>
          <t>MIRA KALEON</t>
        </is>
      </c>
      <c r="C567" s="30" t="n">
        <v>45957</v>
      </c>
      <c r="D567" s="1" t="inlineStr">
        <is>
          <t>MOUNT WAVERLEY</t>
        </is>
      </c>
      <c r="E567" s="12" t="inlineStr">
        <is>
          <t>IND/MEL/00566</t>
        </is>
      </c>
      <c r="F567" s="1" t="inlineStr">
        <is>
          <t>F</t>
        </is>
      </c>
      <c r="G567" s="1" t="inlineStr">
        <is>
          <t>Arjun Kaleon</t>
        </is>
      </c>
      <c r="H567" s="1" t="inlineStr">
        <is>
          <t>Diya Kaleon</t>
        </is>
      </c>
      <c r="I567" s="30" t="n">
        <v>45976</v>
      </c>
      <c r="J567" s="1" t="inlineStr">
        <is>
          <t>97 Birchwood Lane</t>
        </is>
      </c>
      <c r="K567" s="1" t="inlineStr">
        <is>
          <t>Emerald Road</t>
        </is>
      </c>
      <c r="L567" s="1" t="inlineStr">
        <is>
          <t>PIN:563405 MOUNT WAVERLEY</t>
        </is>
      </c>
      <c r="M567" s="2" t="inlineStr">
        <is>
          <t>MHA/IND/00566</t>
        </is>
      </c>
      <c r="N567" s="30" t="n">
        <v>45839</v>
      </c>
    </row>
    <row r="568">
      <c r="A568" s="28" t="n">
        <v>567</v>
      </c>
      <c r="B568" s="1" t="inlineStr">
        <is>
          <t>DIYA KALEON</t>
        </is>
      </c>
      <c r="C568" s="30" t="n">
        <v>45849</v>
      </c>
      <c r="D568" s="1" t="inlineStr">
        <is>
          <t>BRISBANE</t>
        </is>
      </c>
      <c r="E568" s="12" t="inlineStr">
        <is>
          <t>IND/MEL/00567</t>
        </is>
      </c>
      <c r="F568" s="1" t="inlineStr">
        <is>
          <t>F</t>
        </is>
      </c>
      <c r="G568" s="1" t="inlineStr">
        <is>
          <t>Dev Kaleon</t>
        </is>
      </c>
      <c r="H568" s="1" t="inlineStr">
        <is>
          <t>Anya Kaleon</t>
        </is>
      </c>
      <c r="I568" s="30" t="n">
        <v>45956</v>
      </c>
      <c r="J568" s="1" t="inlineStr">
        <is>
          <t>27 Birchwood Lane</t>
        </is>
      </c>
      <c r="K568" s="1" t="inlineStr">
        <is>
          <t>Emerald Road</t>
        </is>
      </c>
      <c r="L568" s="1" t="inlineStr">
        <is>
          <t>PIN:220650 BRISBANE</t>
        </is>
      </c>
      <c r="M568" s="2" t="inlineStr">
        <is>
          <t>MHA/IND/00567</t>
        </is>
      </c>
      <c r="N568" s="30" t="n">
        <v>45893</v>
      </c>
    </row>
    <row r="569">
      <c r="A569" s="28" t="n">
        <v>568</v>
      </c>
      <c r="B569" s="1" t="inlineStr">
        <is>
          <t>KABIR MYRTHOS</t>
        </is>
      </c>
      <c r="C569" s="30" t="n">
        <v>45704</v>
      </c>
      <c r="D569" s="1" t="inlineStr">
        <is>
          <t>MILDURA</t>
        </is>
      </c>
      <c r="E569" s="12" t="inlineStr">
        <is>
          <t>IND/MEL/00568</t>
        </is>
      </c>
      <c r="F569" s="1" t="inlineStr">
        <is>
          <t>M</t>
        </is>
      </c>
      <c r="G569" s="1" t="inlineStr">
        <is>
          <t>Kiran Myrthos</t>
        </is>
      </c>
      <c r="H569" s="1" t="inlineStr">
        <is>
          <t>Sara Myrthos</t>
        </is>
      </c>
      <c r="I569" s="30" t="n">
        <v>45773</v>
      </c>
      <c r="J569" s="1" t="inlineStr">
        <is>
          <t>198 Birchwood Lane</t>
        </is>
      </c>
      <c r="K569" s="1" t="inlineStr">
        <is>
          <t>Emerald Road</t>
        </is>
      </c>
      <c r="L569" s="1" t="inlineStr">
        <is>
          <t>PIN:462004 MILDURA</t>
        </is>
      </c>
      <c r="M569" s="2" t="inlineStr">
        <is>
          <t>MHA/IND/00568</t>
        </is>
      </c>
      <c r="N569" s="30" t="n">
        <v>45881</v>
      </c>
    </row>
    <row r="570">
      <c r="A570" s="28" t="n">
        <v>569</v>
      </c>
      <c r="B570" s="1" t="inlineStr">
        <is>
          <t>ROHIT RISHKAN</t>
        </is>
      </c>
      <c r="C570" s="30" t="n">
        <v>45702</v>
      </c>
      <c r="D570" s="1" t="inlineStr">
        <is>
          <t>KINGSWOOD</t>
        </is>
      </c>
      <c r="E570" s="12" t="inlineStr">
        <is>
          <t>IND/MEL/00569</t>
        </is>
      </c>
      <c r="F570" s="1" t="inlineStr">
        <is>
          <t>M</t>
        </is>
      </c>
      <c r="G570" s="1" t="inlineStr">
        <is>
          <t>Arjun Rishkan</t>
        </is>
      </c>
      <c r="H570" s="1" t="inlineStr">
        <is>
          <t>Anya Rishkan</t>
        </is>
      </c>
      <c r="I570" s="30" t="n">
        <v>45741</v>
      </c>
      <c r="J570" s="1" t="inlineStr">
        <is>
          <t>83 Birchwood Lane</t>
        </is>
      </c>
      <c r="K570" s="1" t="inlineStr">
        <is>
          <t>Emerald Road</t>
        </is>
      </c>
      <c r="L570" s="1" t="inlineStr">
        <is>
          <t>PIN:270087 KINGSWOOD</t>
        </is>
      </c>
      <c r="M570" s="2" t="inlineStr">
        <is>
          <t>MHA/IND/00569</t>
        </is>
      </c>
      <c r="N570" s="30" t="n">
        <v>45862</v>
      </c>
    </row>
    <row r="571">
      <c r="A571" s="28" t="n">
        <v>570</v>
      </c>
      <c r="B571" s="1" t="inlineStr">
        <is>
          <t>ROHIT MYRTHOS</t>
        </is>
      </c>
      <c r="C571" s="30" t="n">
        <v>45917</v>
      </c>
      <c r="D571" s="1" t="inlineStr">
        <is>
          <t>TUGGERANONG</t>
        </is>
      </c>
      <c r="E571" s="12" t="inlineStr">
        <is>
          <t>IND/MEL/00570</t>
        </is>
      </c>
      <c r="F571" s="1" t="inlineStr">
        <is>
          <t>M</t>
        </is>
      </c>
      <c r="G571" s="1" t="inlineStr">
        <is>
          <t>Neil Myrthos</t>
        </is>
      </c>
      <c r="H571" s="1" t="inlineStr">
        <is>
          <t>Riya Myrthos</t>
        </is>
      </c>
      <c r="I571" s="30" t="n">
        <v>45969</v>
      </c>
      <c r="J571" s="1" t="inlineStr">
        <is>
          <t>97 Birchwood Lane</t>
        </is>
      </c>
      <c r="K571" s="1" t="inlineStr">
        <is>
          <t>Emerald Road</t>
        </is>
      </c>
      <c r="L571" s="1" t="inlineStr">
        <is>
          <t>PIN:639992 TUGGERANONG</t>
        </is>
      </c>
      <c r="M571" s="2" t="inlineStr">
        <is>
          <t>MHA/IND/00570</t>
        </is>
      </c>
      <c r="N571" s="30" t="n">
        <v>45886</v>
      </c>
    </row>
    <row r="572">
      <c r="A572" s="28" t="n">
        <v>571</v>
      </c>
      <c r="B572" s="1" t="inlineStr">
        <is>
          <t>ALYA RAO</t>
        </is>
      </c>
      <c r="C572" s="30" t="n">
        <v>45671</v>
      </c>
      <c r="D572" s="1" t="inlineStr">
        <is>
          <t>HEIDELBERG</t>
        </is>
      </c>
      <c r="E572" s="12" t="inlineStr">
        <is>
          <t>IND/MEL/00571</t>
        </is>
      </c>
      <c r="F572" s="1" t="inlineStr">
        <is>
          <t>F</t>
        </is>
      </c>
      <c r="G572" s="1" t="inlineStr">
        <is>
          <t>Rohit Rao</t>
        </is>
      </c>
      <c r="H572" s="1" t="inlineStr">
        <is>
          <t>Alya Rao</t>
        </is>
      </c>
      <c r="I572" s="30" t="n">
        <v>45780</v>
      </c>
      <c r="J572" s="1" t="inlineStr">
        <is>
          <t>140 Birchwood Lane</t>
        </is>
      </c>
      <c r="K572" s="1" t="inlineStr">
        <is>
          <t>Emerald Road</t>
        </is>
      </c>
      <c r="L572" s="1" t="inlineStr">
        <is>
          <t>PIN:499471 HEIDELBERG</t>
        </is>
      </c>
      <c r="M572" s="2" t="inlineStr">
        <is>
          <t>MHA/IND/00571</t>
        </is>
      </c>
      <c r="N572" s="30" t="n">
        <v>45866</v>
      </c>
    </row>
    <row r="573">
      <c r="A573" s="28" t="n">
        <v>572</v>
      </c>
      <c r="B573" s="1" t="inlineStr">
        <is>
          <t>NEIL RISHKAN</t>
        </is>
      </c>
      <c r="C573" s="30" t="n">
        <v>45800</v>
      </c>
      <c r="D573" s="1" t="inlineStr">
        <is>
          <t>BALLARAT CENTRAL</t>
        </is>
      </c>
      <c r="E573" s="12" t="inlineStr">
        <is>
          <t>IND/MEL/00572</t>
        </is>
      </c>
      <c r="F573" s="1" t="inlineStr">
        <is>
          <t>M</t>
        </is>
      </c>
      <c r="G573" s="1" t="inlineStr">
        <is>
          <t>Neil Rishkan</t>
        </is>
      </c>
      <c r="H573" s="1" t="inlineStr">
        <is>
          <t>Nina Rishkan</t>
        </is>
      </c>
      <c r="I573" s="30" t="n">
        <v>45822</v>
      </c>
      <c r="J573" s="1" t="inlineStr">
        <is>
          <t>80 Birchwood Lane</t>
        </is>
      </c>
      <c r="K573" s="1" t="inlineStr">
        <is>
          <t>Emerald Road</t>
        </is>
      </c>
      <c r="L573" s="1" t="inlineStr">
        <is>
          <t>PIN:295625 BALLARAT CENTRAL</t>
        </is>
      </c>
      <c r="M573" s="2" t="inlineStr">
        <is>
          <t>MHA/IND/00572</t>
        </is>
      </c>
      <c r="N573" s="30" t="n">
        <v>45851</v>
      </c>
    </row>
    <row r="574">
      <c r="A574" s="28" t="n">
        <v>573</v>
      </c>
      <c r="B574" s="1" t="inlineStr">
        <is>
          <t>RIYA SHARMA</t>
        </is>
      </c>
      <c r="C574" s="30" t="n">
        <v>45932</v>
      </c>
      <c r="D574" s="1" t="inlineStr">
        <is>
          <t>BUNDABERG</t>
        </is>
      </c>
      <c r="E574" s="12" t="inlineStr">
        <is>
          <t>IND/MEL/00573</t>
        </is>
      </c>
      <c r="F574" s="1" t="inlineStr">
        <is>
          <t>F</t>
        </is>
      </c>
      <c r="G574" s="1" t="inlineStr">
        <is>
          <t>Kabir Sharma</t>
        </is>
      </c>
      <c r="H574" s="1" t="inlineStr">
        <is>
          <t>Alya Sharma</t>
        </is>
      </c>
      <c r="I574" s="30" t="n">
        <v>45950</v>
      </c>
      <c r="J574" s="1" t="inlineStr">
        <is>
          <t>164 Birchwood Lane</t>
        </is>
      </c>
      <c r="K574" s="1" t="inlineStr">
        <is>
          <t>Emerald Road</t>
        </is>
      </c>
      <c r="L574" s="1" t="inlineStr">
        <is>
          <t>PIN:842372 BUNDABERG</t>
        </is>
      </c>
      <c r="M574" s="2" t="inlineStr">
        <is>
          <t>MHA/IND/00573</t>
        </is>
      </c>
      <c r="N574" s="30" t="n">
        <v>45885</v>
      </c>
    </row>
    <row r="575">
      <c r="A575" s="28" t="n">
        <v>574</v>
      </c>
      <c r="B575" s="1" t="inlineStr">
        <is>
          <t>ALYA SHARMA</t>
        </is>
      </c>
      <c r="C575" s="30" t="n">
        <v>45775</v>
      </c>
      <c r="D575" s="1" t="inlineStr">
        <is>
          <t>LAUNCESTON</t>
        </is>
      </c>
      <c r="E575" s="12" t="inlineStr">
        <is>
          <t>IND/MEL/00574</t>
        </is>
      </c>
      <c r="F575" s="1" t="inlineStr">
        <is>
          <t>F</t>
        </is>
      </c>
      <c r="G575" s="1" t="inlineStr">
        <is>
          <t>Kabir Sharma</t>
        </is>
      </c>
      <c r="H575" s="1" t="inlineStr">
        <is>
          <t>Alya Sharma</t>
        </is>
      </c>
      <c r="I575" s="30" t="n">
        <v>45864</v>
      </c>
      <c r="J575" s="1" t="inlineStr">
        <is>
          <t>15 Birchwood Lane</t>
        </is>
      </c>
      <c r="K575" s="1" t="inlineStr">
        <is>
          <t>Emerald Road</t>
        </is>
      </c>
      <c r="L575" s="1" t="inlineStr">
        <is>
          <t>PIN:931268 LAUNCESTON</t>
        </is>
      </c>
      <c r="M575" s="2" t="inlineStr">
        <is>
          <t>MHA/IND/00574</t>
        </is>
      </c>
      <c r="N575" s="30" t="n">
        <v>45897</v>
      </c>
    </row>
    <row r="576">
      <c r="A576" s="28" t="n">
        <v>575</v>
      </c>
      <c r="B576" s="1" t="inlineStr">
        <is>
          <t>SARA KALEON</t>
        </is>
      </c>
      <c r="C576" s="30" t="n">
        <v>45942</v>
      </c>
      <c r="D576" s="1" t="inlineStr">
        <is>
          <t>BUNDOORA</t>
        </is>
      </c>
      <c r="E576" s="12" t="inlineStr">
        <is>
          <t>IND/MEL/00575</t>
        </is>
      </c>
      <c r="F576" s="1" t="inlineStr">
        <is>
          <t>F</t>
        </is>
      </c>
      <c r="G576" s="1" t="inlineStr">
        <is>
          <t>Kabir Kaleon</t>
        </is>
      </c>
      <c r="H576" s="1" t="inlineStr">
        <is>
          <t>Mira Kaleon</t>
        </is>
      </c>
      <c r="I576" s="30" t="n">
        <v>45975</v>
      </c>
      <c r="J576" s="1" t="inlineStr">
        <is>
          <t>100 Birchwood Lane</t>
        </is>
      </c>
      <c r="K576" s="1" t="inlineStr">
        <is>
          <t>Emerald Road</t>
        </is>
      </c>
      <c r="L576" s="1" t="inlineStr">
        <is>
          <t>PIN:115514 BUNDOORA</t>
        </is>
      </c>
      <c r="M576" s="2" t="inlineStr">
        <is>
          <t>MHA/IND/00575</t>
        </is>
      </c>
      <c r="N576" s="30" t="n">
        <v>45858</v>
      </c>
    </row>
    <row r="577">
      <c r="A577" s="28" t="n">
        <v>576</v>
      </c>
      <c r="B577" s="1" t="inlineStr">
        <is>
          <t>ARJUN VALZARI</t>
        </is>
      </c>
      <c r="C577" s="30" t="n">
        <v>45664</v>
      </c>
      <c r="D577" s="1" t="inlineStr">
        <is>
          <t>ST ALBANS</t>
        </is>
      </c>
      <c r="E577" s="12" t="inlineStr">
        <is>
          <t>IND/MEL/00576</t>
        </is>
      </c>
      <c r="F577" s="1" t="inlineStr">
        <is>
          <t>M</t>
        </is>
      </c>
      <c r="G577" s="1" t="inlineStr">
        <is>
          <t>Arjun Valzari</t>
        </is>
      </c>
      <c r="H577" s="1" t="inlineStr">
        <is>
          <t>Alya Valzari</t>
        </is>
      </c>
      <c r="I577" s="30" t="n">
        <v>45725</v>
      </c>
      <c r="J577" s="1" t="inlineStr">
        <is>
          <t>140 Birchwood Lane</t>
        </is>
      </c>
      <c r="K577" s="1" t="inlineStr">
        <is>
          <t>Emerald Road</t>
        </is>
      </c>
      <c r="L577" s="1" t="inlineStr">
        <is>
          <t>PIN:979619 ST ALBANS</t>
        </is>
      </c>
      <c r="M577" s="2" t="inlineStr">
        <is>
          <t>MHA/IND/00576</t>
        </is>
      </c>
      <c r="N577" s="30" t="n">
        <v>45859</v>
      </c>
    </row>
    <row r="578">
      <c r="A578" s="28" t="n">
        <v>577</v>
      </c>
      <c r="B578" s="1" t="inlineStr">
        <is>
          <t>NEIL VALZARI</t>
        </is>
      </c>
      <c r="C578" s="30" t="n">
        <v>45894</v>
      </c>
      <c r="D578" s="1" t="inlineStr">
        <is>
          <t>BLACKTOWN</t>
        </is>
      </c>
      <c r="E578" s="12" t="inlineStr">
        <is>
          <t>IND/MEL/00577</t>
        </is>
      </c>
      <c r="F578" s="1" t="inlineStr">
        <is>
          <t>M</t>
        </is>
      </c>
      <c r="G578" s="1" t="inlineStr">
        <is>
          <t>Ishan Valzari</t>
        </is>
      </c>
      <c r="H578" s="1" t="inlineStr">
        <is>
          <t>Sara Valzari</t>
        </is>
      </c>
      <c r="I578" s="30" t="n">
        <v>45951</v>
      </c>
      <c r="J578" s="1" t="inlineStr">
        <is>
          <t>59 Birchwood Lane</t>
        </is>
      </c>
      <c r="K578" s="1" t="inlineStr">
        <is>
          <t>Emerald Road</t>
        </is>
      </c>
      <c r="L578" s="1" t="inlineStr">
        <is>
          <t>PIN:338900 BLACKTOWN</t>
        </is>
      </c>
      <c r="M578" s="2" t="inlineStr">
        <is>
          <t>MHA/IND/00577</t>
        </is>
      </c>
      <c r="N578" s="30" t="n">
        <v>45895</v>
      </c>
    </row>
    <row r="579">
      <c r="A579" s="28" t="n">
        <v>578</v>
      </c>
      <c r="B579" s="1" t="inlineStr">
        <is>
          <t>ANYA RISHKAN</t>
        </is>
      </c>
      <c r="C579" s="30" t="n">
        <v>45891</v>
      </c>
      <c r="D579" s="1" t="inlineStr">
        <is>
          <t>DARWIN</t>
        </is>
      </c>
      <c r="E579" s="12" t="inlineStr">
        <is>
          <t>IND/MEL/00578</t>
        </is>
      </c>
      <c r="F579" s="1" t="inlineStr">
        <is>
          <t>F</t>
        </is>
      </c>
      <c r="G579" s="1" t="inlineStr">
        <is>
          <t>Rohit Rishkan</t>
        </is>
      </c>
      <c r="H579" s="1" t="inlineStr">
        <is>
          <t>Mira Rishkan</t>
        </is>
      </c>
      <c r="I579" s="30" t="n">
        <v>45934</v>
      </c>
      <c r="J579" s="1" t="inlineStr">
        <is>
          <t>125 Birchwood Lane</t>
        </is>
      </c>
      <c r="K579" s="1" t="inlineStr">
        <is>
          <t>Emerald Road</t>
        </is>
      </c>
      <c r="L579" s="1" t="inlineStr">
        <is>
          <t>PIN:311709 DARWIN</t>
        </is>
      </c>
      <c r="M579" s="2" t="inlineStr">
        <is>
          <t>MHA/IND/00578</t>
        </is>
      </c>
      <c r="N579" s="30" t="n">
        <v>45884</v>
      </c>
    </row>
    <row r="580">
      <c r="A580" s="28" t="n">
        <v>579</v>
      </c>
      <c r="B580" s="1" t="inlineStr">
        <is>
          <t>RIYA VALZARI</t>
        </is>
      </c>
      <c r="C580" s="30" t="n">
        <v>45681</v>
      </c>
      <c r="D580" s="1" t="inlineStr">
        <is>
          <t>TOWNSVILLE</t>
        </is>
      </c>
      <c r="E580" s="12" t="inlineStr">
        <is>
          <t>IND/MEL/00579</t>
        </is>
      </c>
      <c r="F580" s="1" t="inlineStr">
        <is>
          <t>F</t>
        </is>
      </c>
      <c r="G580" s="1" t="inlineStr">
        <is>
          <t>Kiran Valzari</t>
        </is>
      </c>
      <c r="H580" s="1" t="inlineStr">
        <is>
          <t>Riya Valzari</t>
        </is>
      </c>
      <c r="I580" s="30" t="n">
        <v>45731</v>
      </c>
      <c r="J580" s="1" t="inlineStr">
        <is>
          <t>66 Birchwood Lane</t>
        </is>
      </c>
      <c r="K580" s="1" t="inlineStr">
        <is>
          <t>Emerald Road</t>
        </is>
      </c>
      <c r="L580" s="1" t="inlineStr">
        <is>
          <t>PIN:614427 TOWNSVILLE</t>
        </is>
      </c>
      <c r="M580" s="2" t="inlineStr">
        <is>
          <t>MHA/IND/00579</t>
        </is>
      </c>
      <c r="N580" s="30" t="n">
        <v>45857</v>
      </c>
    </row>
    <row r="581">
      <c r="A581" s="28" t="n">
        <v>580</v>
      </c>
      <c r="B581" s="1" t="inlineStr">
        <is>
          <t>NINA MYRTHOS</t>
        </is>
      </c>
      <c r="C581" s="30" t="n">
        <v>45792</v>
      </c>
      <c r="D581" s="1" t="inlineStr">
        <is>
          <t>MANDURAH</t>
        </is>
      </c>
      <c r="E581" s="12" t="inlineStr">
        <is>
          <t>IND/MEL/00580</t>
        </is>
      </c>
      <c r="F581" s="1" t="inlineStr">
        <is>
          <t>F</t>
        </is>
      </c>
      <c r="G581" s="1" t="inlineStr">
        <is>
          <t>Neil Myrthos</t>
        </is>
      </c>
      <c r="H581" s="1" t="inlineStr">
        <is>
          <t>Mira Myrthos</t>
        </is>
      </c>
      <c r="I581" s="30" t="n">
        <v>45804</v>
      </c>
      <c r="J581" s="1" t="inlineStr">
        <is>
          <t>141 Birchwood Lane</t>
        </is>
      </c>
      <c r="K581" s="1" t="inlineStr">
        <is>
          <t>Emerald Road</t>
        </is>
      </c>
      <c r="L581" s="1" t="inlineStr">
        <is>
          <t>PIN:221704 MANDURAH</t>
        </is>
      </c>
      <c r="M581" s="2" t="inlineStr">
        <is>
          <t>MHA/IND/00580</t>
        </is>
      </c>
      <c r="N581" s="30" t="n">
        <v>45856</v>
      </c>
    </row>
    <row r="582">
      <c r="A582" s="28" t="n">
        <v>581</v>
      </c>
      <c r="B582" s="1" t="inlineStr">
        <is>
          <t>KABIR KALEON</t>
        </is>
      </c>
      <c r="C582" s="30" t="n">
        <v>45720</v>
      </c>
      <c r="D582" s="1" t="inlineStr">
        <is>
          <t>CLAYTON</t>
        </is>
      </c>
      <c r="E582" s="12" t="inlineStr">
        <is>
          <t>IND/MEL/00581</t>
        </is>
      </c>
      <c r="F582" s="1" t="inlineStr">
        <is>
          <t>M</t>
        </is>
      </c>
      <c r="G582" s="1" t="inlineStr">
        <is>
          <t>Kabir Kaleon</t>
        </is>
      </c>
      <c r="H582" s="1" t="inlineStr">
        <is>
          <t>Tara Kaleon</t>
        </is>
      </c>
      <c r="I582" s="30" t="n">
        <v>45828</v>
      </c>
      <c r="J582" s="1" t="inlineStr">
        <is>
          <t>185 Birchwood Lane</t>
        </is>
      </c>
      <c r="K582" s="1" t="inlineStr">
        <is>
          <t>Emerald Road</t>
        </is>
      </c>
      <c r="L582" s="1" t="inlineStr">
        <is>
          <t>PIN:746995 CLAYTON</t>
        </is>
      </c>
      <c r="M582" s="2" t="inlineStr">
        <is>
          <t>MHA/IND/00581</t>
        </is>
      </c>
      <c r="N582" s="30" t="n">
        <v>45870</v>
      </c>
    </row>
    <row r="583">
      <c r="A583" s="28" t="n">
        <v>582</v>
      </c>
      <c r="B583" s="1" t="inlineStr">
        <is>
          <t>MIRA MYRTHOS</t>
        </is>
      </c>
      <c r="C583" s="30" t="n">
        <v>45902</v>
      </c>
      <c r="D583" s="1" t="inlineStr">
        <is>
          <t>WAGGA WAGGA</t>
        </is>
      </c>
      <c r="E583" s="12" t="inlineStr">
        <is>
          <t>IND/MEL/00582</t>
        </is>
      </c>
      <c r="F583" s="1" t="inlineStr">
        <is>
          <t>F</t>
        </is>
      </c>
      <c r="G583" s="1" t="inlineStr">
        <is>
          <t>Kiran Myrthos</t>
        </is>
      </c>
      <c r="H583" s="1" t="inlineStr">
        <is>
          <t>Sara Myrthos</t>
        </is>
      </c>
      <c r="I583" s="30" t="n">
        <v>45948</v>
      </c>
      <c r="J583" s="1" t="inlineStr">
        <is>
          <t>91 Birchwood Lane</t>
        </is>
      </c>
      <c r="K583" s="1" t="inlineStr">
        <is>
          <t>Emerald Road</t>
        </is>
      </c>
      <c r="L583" s="1" t="inlineStr">
        <is>
          <t>PIN:224333 WAGGA WAGGA</t>
        </is>
      </c>
      <c r="M583" s="2" t="inlineStr">
        <is>
          <t>MHA/IND/00582</t>
        </is>
      </c>
      <c r="N583" s="30" t="n">
        <v>45885</v>
      </c>
    </row>
    <row r="584">
      <c r="A584" s="28" t="n">
        <v>583</v>
      </c>
      <c r="B584" s="1" t="inlineStr">
        <is>
          <t>KIRAN SHARMA</t>
        </is>
      </c>
      <c r="C584" s="30" t="n">
        <v>45772</v>
      </c>
      <c r="D584" s="1" t="inlineStr">
        <is>
          <t>BOX HILL</t>
        </is>
      </c>
      <c r="E584" s="12" t="inlineStr">
        <is>
          <t>IND/MEL/00583</t>
        </is>
      </c>
      <c r="F584" s="1" t="inlineStr">
        <is>
          <t>M</t>
        </is>
      </c>
      <c r="G584" s="1" t="inlineStr">
        <is>
          <t>Rohit Sharma</t>
        </is>
      </c>
      <c r="H584" s="1" t="inlineStr">
        <is>
          <t>Anya Sharma</t>
        </is>
      </c>
      <c r="I584" s="30" t="n">
        <v>45866</v>
      </c>
      <c r="J584" s="1" t="inlineStr">
        <is>
          <t>177 Birchwood Lane</t>
        </is>
      </c>
      <c r="K584" s="1" t="inlineStr">
        <is>
          <t>Emerald Road</t>
        </is>
      </c>
      <c r="L584" s="1" t="inlineStr">
        <is>
          <t>PIN:240679 BOX HILL</t>
        </is>
      </c>
      <c r="M584" s="2" t="inlineStr">
        <is>
          <t>MHA/IND/00583</t>
        </is>
      </c>
      <c r="N584" s="30" t="n">
        <v>45871</v>
      </c>
    </row>
    <row r="585">
      <c r="A585" s="28" t="n">
        <v>584</v>
      </c>
      <c r="B585" s="1" t="inlineStr">
        <is>
          <t>KIRAN KALEON</t>
        </is>
      </c>
      <c r="C585" s="30" t="n">
        <v>45877</v>
      </c>
      <c r="D585" s="1" t="inlineStr">
        <is>
          <t>ARMADALE</t>
        </is>
      </c>
      <c r="E585" s="12" t="inlineStr">
        <is>
          <t>IND/MEL/00584</t>
        </is>
      </c>
      <c r="F585" s="1" t="inlineStr">
        <is>
          <t>M</t>
        </is>
      </c>
      <c r="G585" s="1" t="inlineStr">
        <is>
          <t>Neil Kaleon</t>
        </is>
      </c>
      <c r="H585" s="1" t="inlineStr">
        <is>
          <t>Alya Kaleon</t>
        </is>
      </c>
      <c r="I585" s="30" t="n">
        <v>45911</v>
      </c>
      <c r="J585" s="1" t="inlineStr">
        <is>
          <t>129 Birchwood Lane</t>
        </is>
      </c>
      <c r="K585" s="1" t="inlineStr">
        <is>
          <t>Emerald Road</t>
        </is>
      </c>
      <c r="L585" s="1" t="inlineStr">
        <is>
          <t>PIN:586924 ARMADALE</t>
        </is>
      </c>
      <c r="M585" s="2" t="inlineStr">
        <is>
          <t>MHA/IND/00584</t>
        </is>
      </c>
      <c r="N585" s="30" t="n">
        <v>45861</v>
      </c>
    </row>
    <row r="586">
      <c r="A586" s="28" t="n">
        <v>585</v>
      </c>
      <c r="B586" s="1" t="inlineStr">
        <is>
          <t>TARA SINDALE</t>
        </is>
      </c>
      <c r="C586" s="30" t="n">
        <v>45719</v>
      </c>
      <c r="D586" s="1" t="inlineStr">
        <is>
          <t>BUNDABERG</t>
        </is>
      </c>
      <c r="E586" s="12" t="inlineStr">
        <is>
          <t>IND/MEL/00585</t>
        </is>
      </c>
      <c r="F586" s="1" t="inlineStr">
        <is>
          <t>F</t>
        </is>
      </c>
      <c r="G586" s="1" t="inlineStr">
        <is>
          <t>Kiran Sindale</t>
        </is>
      </c>
      <c r="H586" s="1" t="inlineStr">
        <is>
          <t>Riya Sindale</t>
        </is>
      </c>
      <c r="I586" s="30" t="n">
        <v>45770</v>
      </c>
      <c r="J586" s="1" t="inlineStr">
        <is>
          <t>16 Birchwood Lane</t>
        </is>
      </c>
      <c r="K586" s="1" t="inlineStr">
        <is>
          <t>Emerald Road</t>
        </is>
      </c>
      <c r="L586" s="1" t="inlineStr">
        <is>
          <t>PIN:282096 BUNDABERG</t>
        </is>
      </c>
      <c r="M586" s="2" t="inlineStr">
        <is>
          <t>MHA/IND/00585</t>
        </is>
      </c>
      <c r="N586" s="30" t="n">
        <v>45873</v>
      </c>
    </row>
    <row r="587">
      <c r="A587" s="28" t="n">
        <v>586</v>
      </c>
      <c r="B587" s="1" t="inlineStr">
        <is>
          <t>DEV RAO</t>
        </is>
      </c>
      <c r="C587" s="30" t="n">
        <v>45744</v>
      </c>
      <c r="D587" s="1" t="inlineStr">
        <is>
          <t>CANBERRA</t>
        </is>
      </c>
      <c r="E587" s="12" t="inlineStr">
        <is>
          <t>IND/MEL/00586</t>
        </is>
      </c>
      <c r="F587" s="1" t="inlineStr">
        <is>
          <t>M</t>
        </is>
      </c>
      <c r="G587" s="1" t="inlineStr">
        <is>
          <t>Arjun Rao</t>
        </is>
      </c>
      <c r="H587" s="1" t="inlineStr">
        <is>
          <t>Sara Rao</t>
        </is>
      </c>
      <c r="I587" s="30" t="n">
        <v>45788</v>
      </c>
      <c r="J587" s="1" t="inlineStr">
        <is>
          <t>41 Birchwood Lane</t>
        </is>
      </c>
      <c r="K587" s="1" t="inlineStr">
        <is>
          <t>Emerald Road</t>
        </is>
      </c>
      <c r="L587" s="1" t="inlineStr">
        <is>
          <t>PIN:342753 CANBERRA</t>
        </is>
      </c>
      <c r="M587" s="2" t="inlineStr">
        <is>
          <t>MHA/IND/00586</t>
        </is>
      </c>
      <c r="N587" s="30" t="n">
        <v>45853</v>
      </c>
    </row>
    <row r="588">
      <c r="A588" s="28" t="n">
        <v>587</v>
      </c>
      <c r="B588" s="1" t="inlineStr">
        <is>
          <t>ISHAN RISHKAN</t>
        </is>
      </c>
      <c r="C588" s="30" t="n">
        <v>45825</v>
      </c>
      <c r="D588" s="1" t="inlineStr">
        <is>
          <t>DALBY</t>
        </is>
      </c>
      <c r="E588" s="12" t="inlineStr">
        <is>
          <t>IND/MEL/00587</t>
        </is>
      </c>
      <c r="F588" s="1" t="inlineStr">
        <is>
          <t>M</t>
        </is>
      </c>
      <c r="G588" s="1" t="inlineStr">
        <is>
          <t>Arjun Rishkan</t>
        </is>
      </c>
      <c r="H588" s="1" t="inlineStr">
        <is>
          <t>Sara Rishkan</t>
        </is>
      </c>
      <c r="I588" s="30" t="n">
        <v>45852</v>
      </c>
      <c r="J588" s="1" t="inlineStr">
        <is>
          <t>153 Birchwood Lane</t>
        </is>
      </c>
      <c r="K588" s="1" t="inlineStr">
        <is>
          <t>Emerald Road</t>
        </is>
      </c>
      <c r="L588" s="1" t="inlineStr">
        <is>
          <t>PIN:321233 DALBY</t>
        </is>
      </c>
      <c r="M588" s="2" t="inlineStr">
        <is>
          <t>MHA/IND/00587</t>
        </is>
      </c>
      <c r="N588" s="30" t="n">
        <v>45865</v>
      </c>
    </row>
    <row r="589">
      <c r="A589" s="28" t="n">
        <v>588</v>
      </c>
      <c r="B589" s="1" t="inlineStr">
        <is>
          <t>KABIR SINDALE</t>
        </is>
      </c>
      <c r="C589" s="30" t="n">
        <v>45917</v>
      </c>
      <c r="D589" s="1" t="inlineStr">
        <is>
          <t>FREMANTLE</t>
        </is>
      </c>
      <c r="E589" s="12" t="inlineStr">
        <is>
          <t>IND/MEL/00588</t>
        </is>
      </c>
      <c r="F589" s="1" t="inlineStr">
        <is>
          <t>M</t>
        </is>
      </c>
      <c r="G589" s="1" t="inlineStr">
        <is>
          <t>Dev Sindale</t>
        </is>
      </c>
      <c r="H589" s="1" t="inlineStr">
        <is>
          <t>Mira Sindale</t>
        </is>
      </c>
      <c r="I589" s="30" t="n">
        <v>46021</v>
      </c>
      <c r="J589" s="1" t="inlineStr">
        <is>
          <t>85 Birchwood Lane</t>
        </is>
      </c>
      <c r="K589" s="1" t="inlineStr">
        <is>
          <t>Emerald Road</t>
        </is>
      </c>
      <c r="L589" s="1" t="inlineStr">
        <is>
          <t>PIN:895271 FREMANTLE</t>
        </is>
      </c>
      <c r="M589" s="2" t="inlineStr">
        <is>
          <t>MHA/IND/00588</t>
        </is>
      </c>
      <c r="N589" s="30" t="n">
        <v>45840</v>
      </c>
    </row>
    <row r="590">
      <c r="A590" s="28" t="n">
        <v>589</v>
      </c>
      <c r="B590" s="1" t="inlineStr">
        <is>
          <t>KABIR SINDALE</t>
        </is>
      </c>
      <c r="C590" s="30" t="n">
        <v>45872</v>
      </c>
      <c r="D590" s="1" t="inlineStr">
        <is>
          <t>MILDURA</t>
        </is>
      </c>
      <c r="E590" s="12" t="inlineStr">
        <is>
          <t>IND/MEL/00589</t>
        </is>
      </c>
      <c r="F590" s="1" t="inlineStr">
        <is>
          <t>M</t>
        </is>
      </c>
      <c r="G590" s="1" t="inlineStr">
        <is>
          <t>Rohit Sindale</t>
        </is>
      </c>
      <c r="H590" s="1" t="inlineStr">
        <is>
          <t>Riya Sindale</t>
        </is>
      </c>
      <c r="I590" s="30" t="n">
        <v>45939</v>
      </c>
      <c r="J590" s="1" t="inlineStr">
        <is>
          <t>79 Birchwood Lane</t>
        </is>
      </c>
      <c r="K590" s="1" t="inlineStr">
        <is>
          <t>Emerald Road</t>
        </is>
      </c>
      <c r="L590" s="1" t="inlineStr">
        <is>
          <t>PIN:922144 MILDURA</t>
        </is>
      </c>
      <c r="M590" s="2" t="inlineStr">
        <is>
          <t>MHA/IND/00589</t>
        </is>
      </c>
      <c r="N590" s="30" t="n">
        <v>45878</v>
      </c>
    </row>
    <row r="591">
      <c r="A591" s="28" t="n">
        <v>590</v>
      </c>
      <c r="B591" s="1" t="inlineStr">
        <is>
          <t>AREN RAO</t>
        </is>
      </c>
      <c r="C591" s="30" t="n">
        <v>45678</v>
      </c>
      <c r="D591" s="1" t="inlineStr">
        <is>
          <t>BENDIGO</t>
        </is>
      </c>
      <c r="E591" s="12" t="inlineStr">
        <is>
          <t>IND/MEL/00590</t>
        </is>
      </c>
      <c r="F591" s="1" t="inlineStr">
        <is>
          <t>M</t>
        </is>
      </c>
      <c r="G591" s="1" t="inlineStr">
        <is>
          <t>Rohit Rao</t>
        </is>
      </c>
      <c r="H591" s="1" t="inlineStr">
        <is>
          <t>Alya Rao</t>
        </is>
      </c>
      <c r="I591" s="30" t="n">
        <v>45741</v>
      </c>
      <c r="J591" s="1" t="inlineStr">
        <is>
          <t>196 Birchwood Lane</t>
        </is>
      </c>
      <c r="K591" s="1" t="inlineStr">
        <is>
          <t>Emerald Road</t>
        </is>
      </c>
      <c r="L591" s="1" t="inlineStr">
        <is>
          <t>PIN:670585 BENDIGO</t>
        </is>
      </c>
      <c r="M591" s="2" t="inlineStr">
        <is>
          <t>MHA/IND/00590</t>
        </is>
      </c>
      <c r="N591" s="30" t="n">
        <v>45845</v>
      </c>
    </row>
    <row r="592">
      <c r="A592" s="28" t="n">
        <v>591</v>
      </c>
      <c r="B592" s="1" t="inlineStr">
        <is>
          <t>ANYA KALEON</t>
        </is>
      </c>
      <c r="C592" s="30" t="n">
        <v>45871</v>
      </c>
      <c r="D592" s="1" t="inlineStr">
        <is>
          <t>ELIZABETH VALE</t>
        </is>
      </c>
      <c r="E592" s="12" t="inlineStr">
        <is>
          <t>IND/MEL/00591</t>
        </is>
      </c>
      <c r="F592" s="1" t="inlineStr">
        <is>
          <t>F</t>
        </is>
      </c>
      <c r="G592" s="1" t="inlineStr">
        <is>
          <t>Arjun Kaleon</t>
        </is>
      </c>
      <c r="H592" s="1" t="inlineStr">
        <is>
          <t>Diya Kaleon</t>
        </is>
      </c>
      <c r="I592" s="30" t="n">
        <v>45877</v>
      </c>
      <c r="J592" s="1" t="inlineStr">
        <is>
          <t>21 Birchwood Lane</t>
        </is>
      </c>
      <c r="K592" s="1" t="inlineStr">
        <is>
          <t>Emerald Road</t>
        </is>
      </c>
      <c r="L592" s="1" t="inlineStr">
        <is>
          <t>PIN:270043 ELIZABETH VALE</t>
        </is>
      </c>
      <c r="M592" s="2" t="inlineStr">
        <is>
          <t>MHA/IND/00591</t>
        </is>
      </c>
      <c r="N592" s="30" t="n">
        <v>45858</v>
      </c>
    </row>
    <row r="593">
      <c r="A593" s="28" t="n">
        <v>592</v>
      </c>
      <c r="B593" s="1" t="inlineStr">
        <is>
          <t>TARA SHARMA</t>
        </is>
      </c>
      <c r="C593" s="30" t="n">
        <v>45678</v>
      </c>
      <c r="D593" s="1" t="inlineStr">
        <is>
          <t>ROCKHAMPTON</t>
        </is>
      </c>
      <c r="E593" s="12" t="inlineStr">
        <is>
          <t>IND/MEL/00592</t>
        </is>
      </c>
      <c r="F593" s="1" t="inlineStr">
        <is>
          <t>F</t>
        </is>
      </c>
      <c r="G593" s="1" t="inlineStr">
        <is>
          <t>Ishan Sharma</t>
        </is>
      </c>
      <c r="H593" s="1" t="inlineStr">
        <is>
          <t>Alya Sharma</t>
        </is>
      </c>
      <c r="I593" s="30" t="n">
        <v>45723</v>
      </c>
      <c r="J593" s="1" t="inlineStr">
        <is>
          <t>18 Birchwood Lane</t>
        </is>
      </c>
      <c r="K593" s="1" t="inlineStr">
        <is>
          <t>Emerald Road</t>
        </is>
      </c>
      <c r="L593" s="1" t="inlineStr">
        <is>
          <t>PIN:303591 ROCKHAMPTON</t>
        </is>
      </c>
      <c r="M593" s="2" t="inlineStr">
        <is>
          <t>MHA/IND/00592</t>
        </is>
      </c>
      <c r="N593" s="30" t="n">
        <v>45865</v>
      </c>
    </row>
    <row r="594">
      <c r="A594" s="28" t="n">
        <v>593</v>
      </c>
      <c r="B594" s="1" t="inlineStr">
        <is>
          <t>NINA RISHKAN</t>
        </is>
      </c>
      <c r="C594" s="30" t="n">
        <v>45759</v>
      </c>
      <c r="D594" s="1" t="inlineStr">
        <is>
          <t>PENRITH</t>
        </is>
      </c>
      <c r="E594" s="12" t="inlineStr">
        <is>
          <t>IND/MEL/00593</t>
        </is>
      </c>
      <c r="F594" s="1" t="inlineStr">
        <is>
          <t>F</t>
        </is>
      </c>
      <c r="G594" s="1" t="inlineStr">
        <is>
          <t>Rohit Rishkan</t>
        </is>
      </c>
      <c r="H594" s="1" t="inlineStr">
        <is>
          <t>Diya Rishkan</t>
        </is>
      </c>
      <c r="I594" s="30" t="n">
        <v>45784</v>
      </c>
      <c r="J594" s="1" t="inlineStr">
        <is>
          <t>15 Birchwood Lane</t>
        </is>
      </c>
      <c r="K594" s="1" t="inlineStr">
        <is>
          <t>Emerald Road</t>
        </is>
      </c>
      <c r="L594" s="1" t="inlineStr">
        <is>
          <t>PIN:224030 PENRITH</t>
        </is>
      </c>
      <c r="M594" s="2" t="inlineStr">
        <is>
          <t>MHA/IND/00593</t>
        </is>
      </c>
      <c r="N594" s="30" t="n">
        <v>45885</v>
      </c>
    </row>
    <row r="595">
      <c r="A595" s="28" t="n">
        <v>594</v>
      </c>
      <c r="B595" s="1" t="inlineStr">
        <is>
          <t>ISHAN SHARMA</t>
        </is>
      </c>
      <c r="C595" s="30" t="n">
        <v>45922</v>
      </c>
      <c r="D595" s="1" t="inlineStr">
        <is>
          <t>SHEPPARTON</t>
        </is>
      </c>
      <c r="E595" s="12" t="inlineStr">
        <is>
          <t>IND/MEL/00594</t>
        </is>
      </c>
      <c r="F595" s="1" t="inlineStr">
        <is>
          <t>M</t>
        </is>
      </c>
      <c r="G595" s="1" t="inlineStr">
        <is>
          <t>Kiran Sharma</t>
        </is>
      </c>
      <c r="H595" s="1" t="inlineStr">
        <is>
          <t>Anya Sharma</t>
        </is>
      </c>
      <c r="I595" s="30" t="n">
        <v>46001</v>
      </c>
      <c r="J595" s="1" t="inlineStr">
        <is>
          <t>80 Birchwood Lane</t>
        </is>
      </c>
      <c r="K595" s="1" t="inlineStr">
        <is>
          <t>Emerald Road</t>
        </is>
      </c>
      <c r="L595" s="1" t="inlineStr">
        <is>
          <t>PIN:482859 SHEPPARTON</t>
        </is>
      </c>
      <c r="M595" s="2" t="inlineStr">
        <is>
          <t>MHA/IND/00594</t>
        </is>
      </c>
      <c r="N595" s="30" t="n">
        <v>45867</v>
      </c>
    </row>
    <row r="596">
      <c r="A596" s="28" t="n">
        <v>595</v>
      </c>
      <c r="B596" s="1" t="inlineStr">
        <is>
          <t>DIYA KALEON</t>
        </is>
      </c>
      <c r="C596" s="30" t="n">
        <v>45951</v>
      </c>
      <c r="D596" s="1" t="inlineStr">
        <is>
          <t>CANBERRA</t>
        </is>
      </c>
      <c r="E596" s="12" t="inlineStr">
        <is>
          <t>IND/MEL/00595</t>
        </is>
      </c>
      <c r="F596" s="1" t="inlineStr">
        <is>
          <t>F</t>
        </is>
      </c>
      <c r="G596" s="1" t="inlineStr">
        <is>
          <t>Rohit Kaleon</t>
        </is>
      </c>
      <c r="H596" s="1" t="inlineStr">
        <is>
          <t>Tara Kaleon</t>
        </is>
      </c>
      <c r="I596" s="30" t="n">
        <v>45996</v>
      </c>
      <c r="J596" s="1" t="inlineStr">
        <is>
          <t>125 Birchwood Lane</t>
        </is>
      </c>
      <c r="K596" s="1" t="inlineStr">
        <is>
          <t>Emerald Road</t>
        </is>
      </c>
      <c r="L596" s="1" t="inlineStr">
        <is>
          <t>PIN:924013 CANBERRA</t>
        </is>
      </c>
      <c r="M596" s="2" t="inlineStr">
        <is>
          <t>MHA/IND/00595</t>
        </is>
      </c>
      <c r="N596" s="30" t="n">
        <v>45895</v>
      </c>
    </row>
    <row r="597">
      <c r="A597" s="28" t="n">
        <v>596</v>
      </c>
      <c r="B597" s="1" t="inlineStr">
        <is>
          <t>SARA SINDALE</t>
        </is>
      </c>
      <c r="C597" s="30" t="n">
        <v>45810</v>
      </c>
      <c r="D597" s="1" t="inlineStr">
        <is>
          <t>KINGSWOOD</t>
        </is>
      </c>
      <c r="E597" s="12" t="inlineStr">
        <is>
          <t>IND/MEL/00596</t>
        </is>
      </c>
      <c r="F597" s="1" t="inlineStr">
        <is>
          <t>F</t>
        </is>
      </c>
      <c r="G597" s="1" t="inlineStr">
        <is>
          <t>Dev Sindale</t>
        </is>
      </c>
      <c r="H597" s="1" t="inlineStr">
        <is>
          <t>Sara Sindale</t>
        </is>
      </c>
      <c r="I597" s="30" t="n">
        <v>45883</v>
      </c>
      <c r="J597" s="1" t="inlineStr">
        <is>
          <t>41 Birchwood Lane</t>
        </is>
      </c>
      <c r="K597" s="1" t="inlineStr">
        <is>
          <t>Emerald Road</t>
        </is>
      </c>
      <c r="L597" s="1" t="inlineStr">
        <is>
          <t>PIN:781777 KINGSWOOD</t>
        </is>
      </c>
      <c r="M597" s="2" t="inlineStr">
        <is>
          <t>MHA/IND/00596</t>
        </is>
      </c>
      <c r="N597" s="30" t="n">
        <v>45847</v>
      </c>
    </row>
    <row r="598">
      <c r="A598" s="28" t="n">
        <v>597</v>
      </c>
      <c r="B598" s="1" t="inlineStr">
        <is>
          <t>ANYA RISHKAN</t>
        </is>
      </c>
      <c r="C598" s="30" t="n">
        <v>45803</v>
      </c>
      <c r="D598" s="1" t="inlineStr">
        <is>
          <t>LOGAN</t>
        </is>
      </c>
      <c r="E598" s="12" t="inlineStr">
        <is>
          <t>IND/MEL/00597</t>
        </is>
      </c>
      <c r="F598" s="1" t="inlineStr">
        <is>
          <t>F</t>
        </is>
      </c>
      <c r="G598" s="1" t="inlineStr">
        <is>
          <t>Ishan Rishkan</t>
        </is>
      </c>
      <c r="H598" s="1" t="inlineStr">
        <is>
          <t>Nina Rishkan</t>
        </is>
      </c>
      <c r="I598" s="30" t="n">
        <v>45810</v>
      </c>
      <c r="J598" s="1" t="inlineStr">
        <is>
          <t>185 Birchwood Lane</t>
        </is>
      </c>
      <c r="K598" s="1" t="inlineStr">
        <is>
          <t>Emerald Road</t>
        </is>
      </c>
      <c r="L598" s="1" t="inlineStr">
        <is>
          <t>PIN:787279 LOGAN</t>
        </is>
      </c>
      <c r="M598" s="2" t="inlineStr">
        <is>
          <t>MHA/IND/00597</t>
        </is>
      </c>
      <c r="N598" s="30" t="n">
        <v>45896</v>
      </c>
    </row>
    <row r="599">
      <c r="A599" s="28" t="n">
        <v>598</v>
      </c>
      <c r="B599" s="1" t="inlineStr">
        <is>
          <t>ISHAN VALZARI</t>
        </is>
      </c>
      <c r="C599" s="30" t="n">
        <v>45745</v>
      </c>
      <c r="D599" s="1" t="inlineStr">
        <is>
          <t>WOLLONGONG</t>
        </is>
      </c>
      <c r="E599" s="12" t="inlineStr">
        <is>
          <t>IND/MEL/00598</t>
        </is>
      </c>
      <c r="F599" s="1" t="inlineStr">
        <is>
          <t>M</t>
        </is>
      </c>
      <c r="G599" s="1" t="inlineStr">
        <is>
          <t>Rohit Valzari</t>
        </is>
      </c>
      <c r="H599" s="1" t="inlineStr">
        <is>
          <t>Anya Valzari</t>
        </is>
      </c>
      <c r="I599" s="30" t="n">
        <v>45765</v>
      </c>
      <c r="J599" s="1" t="inlineStr">
        <is>
          <t>164 Birchwood Lane</t>
        </is>
      </c>
      <c r="K599" s="1" t="inlineStr">
        <is>
          <t>Emerald Road</t>
        </is>
      </c>
      <c r="L599" s="1" t="inlineStr">
        <is>
          <t>PIN:587534 WOLLONGONG</t>
        </is>
      </c>
      <c r="M599" s="2" t="inlineStr">
        <is>
          <t>MHA/IND/00598</t>
        </is>
      </c>
      <c r="N599" s="30" t="n">
        <v>45858</v>
      </c>
    </row>
    <row r="600">
      <c r="A600" s="28" t="n">
        <v>599</v>
      </c>
      <c r="B600" s="1" t="inlineStr">
        <is>
          <t>ANYA SHARMA</t>
        </is>
      </c>
      <c r="C600" s="30" t="n">
        <v>45710</v>
      </c>
      <c r="D600" s="1" t="inlineStr">
        <is>
          <t>LENAH VALLEY</t>
        </is>
      </c>
      <c r="E600" s="12" t="inlineStr">
        <is>
          <t>IND/MEL/00599</t>
        </is>
      </c>
      <c r="F600" s="1" t="inlineStr">
        <is>
          <t>F</t>
        </is>
      </c>
      <c r="G600" s="1" t="inlineStr">
        <is>
          <t>Ishan Sharma</t>
        </is>
      </c>
      <c r="H600" s="1" t="inlineStr">
        <is>
          <t>Mira Sharma</t>
        </is>
      </c>
      <c r="I600" s="30" t="n">
        <v>45826</v>
      </c>
      <c r="J600" s="1" t="inlineStr">
        <is>
          <t>173 Birchwood Lane</t>
        </is>
      </c>
      <c r="K600" s="1" t="inlineStr">
        <is>
          <t>Emerald Road</t>
        </is>
      </c>
      <c r="L600" s="1" t="inlineStr">
        <is>
          <t>PIN:603275 LENAH VALLEY</t>
        </is>
      </c>
      <c r="M600" s="2" t="inlineStr">
        <is>
          <t>MHA/IND/00599</t>
        </is>
      </c>
      <c r="N600" s="30" t="n">
        <v>45869</v>
      </c>
    </row>
    <row r="601">
      <c r="A601" s="28" t="n">
        <v>600</v>
      </c>
      <c r="B601" s="1" t="inlineStr">
        <is>
          <t>AREN SHARMA</t>
        </is>
      </c>
      <c r="C601" s="30" t="n">
        <v>45924</v>
      </c>
      <c r="D601" s="1" t="inlineStr">
        <is>
          <t>ST ALBANS</t>
        </is>
      </c>
      <c r="E601" s="12" t="inlineStr">
        <is>
          <t>IND/MEL/00600</t>
        </is>
      </c>
      <c r="F601" s="1" t="inlineStr">
        <is>
          <t>M</t>
        </is>
      </c>
      <c r="G601" s="1" t="inlineStr">
        <is>
          <t>Ishan Sharma</t>
        </is>
      </c>
      <c r="H601" s="1" t="inlineStr">
        <is>
          <t>Sara Sharma</t>
        </is>
      </c>
      <c r="I601" s="30" t="n">
        <v>45978</v>
      </c>
      <c r="J601" s="1" t="inlineStr">
        <is>
          <t>185 Birchwood Lane</t>
        </is>
      </c>
      <c r="K601" s="1" t="inlineStr">
        <is>
          <t>Emerald Road</t>
        </is>
      </c>
      <c r="L601" s="1" t="inlineStr">
        <is>
          <t>PIN:267223 ST ALBANS</t>
        </is>
      </c>
      <c r="M601" s="2" t="inlineStr">
        <is>
          <t>MHA/IND/00600</t>
        </is>
      </c>
      <c r="N601" s="30" t="n">
        <v>45853</v>
      </c>
    </row>
    <row r="602">
      <c r="A602" s="28" t="n">
        <v>601</v>
      </c>
      <c r="B602" s="1" t="inlineStr">
        <is>
          <t>KIRAN RAO</t>
        </is>
      </c>
      <c r="C602" s="30" t="n">
        <v>45884</v>
      </c>
      <c r="D602" s="1" t="inlineStr">
        <is>
          <t>MOUNT BARKER</t>
        </is>
      </c>
      <c r="E602" s="12" t="inlineStr">
        <is>
          <t>IND/MEL/00601</t>
        </is>
      </c>
      <c r="F602" s="1" t="inlineStr">
        <is>
          <t>M</t>
        </is>
      </c>
      <c r="G602" s="1" t="inlineStr">
        <is>
          <t>Arjun Rao</t>
        </is>
      </c>
      <c r="H602" s="1" t="inlineStr">
        <is>
          <t>Nina Rao</t>
        </is>
      </c>
      <c r="I602" s="30" t="n">
        <v>45993</v>
      </c>
      <c r="J602" s="1" t="inlineStr">
        <is>
          <t>34 Birchwood Lane</t>
        </is>
      </c>
      <c r="K602" s="1" t="inlineStr">
        <is>
          <t>Emerald Road</t>
        </is>
      </c>
      <c r="L602" s="1" t="inlineStr">
        <is>
          <t>PIN:714417 MOUNT BARKER</t>
        </is>
      </c>
      <c r="M602" s="2" t="inlineStr">
        <is>
          <t>MHA/IND/00601</t>
        </is>
      </c>
      <c r="N602" s="30" t="n">
        <v>45893</v>
      </c>
    </row>
    <row r="603">
      <c r="A603" s="28" t="n">
        <v>602</v>
      </c>
      <c r="B603" s="1" t="inlineStr">
        <is>
          <t>DIYA MYRTHOS</t>
        </is>
      </c>
      <c r="C603" s="30" t="n">
        <v>45849</v>
      </c>
      <c r="D603" s="1" t="inlineStr">
        <is>
          <t>WAGGA WAGGA</t>
        </is>
      </c>
      <c r="E603" s="12" t="inlineStr">
        <is>
          <t>IND/MEL/00602</t>
        </is>
      </c>
      <c r="F603" s="1" t="inlineStr">
        <is>
          <t>F</t>
        </is>
      </c>
      <c r="G603" s="1" t="inlineStr">
        <is>
          <t>Dev Myrthos</t>
        </is>
      </c>
      <c r="H603" s="1" t="inlineStr">
        <is>
          <t>Anya Myrthos</t>
        </is>
      </c>
      <c r="I603" s="30" t="n">
        <v>45947</v>
      </c>
      <c r="J603" s="1" t="inlineStr">
        <is>
          <t>180 Birchwood Lane</t>
        </is>
      </c>
      <c r="K603" s="1" t="inlineStr">
        <is>
          <t>Emerald Road</t>
        </is>
      </c>
      <c r="L603" s="1" t="inlineStr">
        <is>
          <t>PIN:547163 WAGGA WAGGA</t>
        </is>
      </c>
      <c r="M603" s="2" t="inlineStr">
        <is>
          <t>MHA/IND/00602</t>
        </is>
      </c>
      <c r="N603" s="30" t="n">
        <v>45868</v>
      </c>
    </row>
    <row r="604">
      <c r="A604" s="28" t="n">
        <v>603</v>
      </c>
      <c r="B604" s="1" t="inlineStr">
        <is>
          <t>RIYA KALEON</t>
        </is>
      </c>
      <c r="C604" s="30" t="n">
        <v>45828</v>
      </c>
      <c r="D604" s="1" t="inlineStr">
        <is>
          <t>MANDURAH</t>
        </is>
      </c>
      <c r="E604" s="12" t="inlineStr">
        <is>
          <t>IND/MEL/00603</t>
        </is>
      </c>
      <c r="F604" s="1" t="inlineStr">
        <is>
          <t>F</t>
        </is>
      </c>
      <c r="G604" s="1" t="inlineStr">
        <is>
          <t>Kiran Kaleon</t>
        </is>
      </c>
      <c r="H604" s="1" t="inlineStr">
        <is>
          <t>Diya Kaleon</t>
        </is>
      </c>
      <c r="I604" s="30" t="n">
        <v>45920</v>
      </c>
      <c r="J604" s="1" t="inlineStr">
        <is>
          <t>175 Birchwood Lane</t>
        </is>
      </c>
      <c r="K604" s="1" t="inlineStr">
        <is>
          <t>Emerald Road</t>
        </is>
      </c>
      <c r="L604" s="1" t="inlineStr">
        <is>
          <t>PIN:580720 MANDURAH</t>
        </is>
      </c>
      <c r="M604" s="2" t="inlineStr">
        <is>
          <t>MHA/IND/00603</t>
        </is>
      </c>
      <c r="N604" s="30" t="n">
        <v>45885</v>
      </c>
    </row>
    <row r="605">
      <c r="A605" s="28" t="n">
        <v>604</v>
      </c>
      <c r="B605" s="1" t="inlineStr">
        <is>
          <t>AREN VALZARI</t>
        </is>
      </c>
      <c r="C605" s="30" t="n">
        <v>45846</v>
      </c>
      <c r="D605" s="1" t="inlineStr">
        <is>
          <t>BERWICK</t>
        </is>
      </c>
      <c r="E605" s="12" t="inlineStr">
        <is>
          <t>IND/MEL/00604</t>
        </is>
      </c>
      <c r="F605" s="1" t="inlineStr">
        <is>
          <t>M</t>
        </is>
      </c>
      <c r="G605" s="1" t="inlineStr">
        <is>
          <t>Kabir Valzari</t>
        </is>
      </c>
      <c r="H605" s="1" t="inlineStr">
        <is>
          <t>Anya Valzari</t>
        </is>
      </c>
      <c r="I605" s="30" t="n">
        <v>45910</v>
      </c>
      <c r="J605" s="1" t="inlineStr">
        <is>
          <t>172 Birchwood Lane</t>
        </is>
      </c>
      <c r="K605" s="1" t="inlineStr">
        <is>
          <t>Emerald Road</t>
        </is>
      </c>
      <c r="L605" s="1" t="inlineStr">
        <is>
          <t>PIN:562388 BERWICK</t>
        </is>
      </c>
      <c r="M605" s="2" t="inlineStr">
        <is>
          <t>MHA/IND/00604</t>
        </is>
      </c>
      <c r="N605" s="30" t="n">
        <v>45878</v>
      </c>
    </row>
    <row r="606">
      <c r="A606" s="28" t="n">
        <v>605</v>
      </c>
      <c r="B606" s="1" t="inlineStr">
        <is>
          <t>SARA VALZARI</t>
        </is>
      </c>
      <c r="C606" s="30" t="n">
        <v>45841</v>
      </c>
      <c r="D606" s="1" t="inlineStr">
        <is>
          <t>BERWICK</t>
        </is>
      </c>
      <c r="E606" s="12" t="inlineStr">
        <is>
          <t>IND/MEL/00605</t>
        </is>
      </c>
      <c r="F606" s="1" t="inlineStr">
        <is>
          <t>F</t>
        </is>
      </c>
      <c r="G606" s="1" t="inlineStr">
        <is>
          <t>Arjun Valzari</t>
        </is>
      </c>
      <c r="H606" s="1" t="inlineStr">
        <is>
          <t>Riya Valzari</t>
        </is>
      </c>
      <c r="I606" s="30" t="n">
        <v>45873</v>
      </c>
      <c r="J606" s="1" t="inlineStr">
        <is>
          <t>82 Birchwood Lane</t>
        </is>
      </c>
      <c r="K606" s="1" t="inlineStr">
        <is>
          <t>Emerald Road</t>
        </is>
      </c>
      <c r="L606" s="1" t="inlineStr">
        <is>
          <t>PIN:894635 BERWICK</t>
        </is>
      </c>
      <c r="M606" s="2" t="inlineStr">
        <is>
          <t>MHA/IND/00605</t>
        </is>
      </c>
      <c r="N606" s="30" t="n">
        <v>45854</v>
      </c>
    </row>
    <row r="607">
      <c r="A607" s="28" t="n">
        <v>606</v>
      </c>
      <c r="B607" s="1" t="inlineStr">
        <is>
          <t>KABIR MYRTHOS</t>
        </is>
      </c>
      <c r="C607" s="30" t="n">
        <v>45922</v>
      </c>
      <c r="D607" s="1" t="inlineStr">
        <is>
          <t>LIVERPOOL</t>
        </is>
      </c>
      <c r="E607" s="12" t="inlineStr">
        <is>
          <t>IND/MEL/00606</t>
        </is>
      </c>
      <c r="F607" s="1" t="inlineStr">
        <is>
          <t>M</t>
        </is>
      </c>
      <c r="G607" s="1" t="inlineStr">
        <is>
          <t>Dev Myrthos</t>
        </is>
      </c>
      <c r="H607" s="1" t="inlineStr">
        <is>
          <t>Riya Myrthos</t>
        </is>
      </c>
      <c r="I607" s="30" t="n">
        <v>45983</v>
      </c>
      <c r="J607" s="1" t="inlineStr">
        <is>
          <t>164 Birchwood Lane</t>
        </is>
      </c>
      <c r="K607" s="1" t="inlineStr">
        <is>
          <t>Emerald Road</t>
        </is>
      </c>
      <c r="L607" s="1" t="inlineStr">
        <is>
          <t>PIN:165275 LIVERPOOL</t>
        </is>
      </c>
      <c r="M607" s="2" t="inlineStr">
        <is>
          <t>MHA/IND/00606</t>
        </is>
      </c>
      <c r="N607" s="30" t="n">
        <v>45844</v>
      </c>
    </row>
    <row r="608">
      <c r="A608" s="28" t="n">
        <v>607</v>
      </c>
      <c r="B608" s="1" t="inlineStr">
        <is>
          <t>KIRAN SHARMA</t>
        </is>
      </c>
      <c r="C608" s="30" t="n">
        <v>45721</v>
      </c>
      <c r="D608" s="1" t="inlineStr">
        <is>
          <t>NEWCASTLE</t>
        </is>
      </c>
      <c r="E608" s="12" t="inlineStr">
        <is>
          <t>IND/MEL/00607</t>
        </is>
      </c>
      <c r="F608" s="1" t="inlineStr">
        <is>
          <t>M</t>
        </is>
      </c>
      <c r="G608" s="1" t="inlineStr">
        <is>
          <t>Aren Sharma</t>
        </is>
      </c>
      <c r="H608" s="1" t="inlineStr">
        <is>
          <t>Diya Sharma</t>
        </is>
      </c>
      <c r="I608" s="30" t="n">
        <v>45744</v>
      </c>
      <c r="J608" s="1" t="inlineStr">
        <is>
          <t>151 Birchwood Lane</t>
        </is>
      </c>
      <c r="K608" s="1" t="inlineStr">
        <is>
          <t>Emerald Road</t>
        </is>
      </c>
      <c r="L608" s="1" t="inlineStr">
        <is>
          <t>PIN:313133 NEWCASTLE</t>
        </is>
      </c>
      <c r="M608" s="2" t="inlineStr">
        <is>
          <t>MHA/IND/00607</t>
        </is>
      </c>
      <c r="N608" s="30" t="n">
        <v>45885</v>
      </c>
    </row>
    <row r="609">
      <c r="A609" s="28" t="n">
        <v>608</v>
      </c>
      <c r="B609" s="1" t="inlineStr">
        <is>
          <t>TARA SINDALE</t>
        </is>
      </c>
      <c r="C609" s="30" t="n">
        <v>45751</v>
      </c>
      <c r="D609" s="1" t="inlineStr">
        <is>
          <t>LIVERPOOL</t>
        </is>
      </c>
      <c r="E609" s="12" t="inlineStr">
        <is>
          <t>IND/MEL/00608</t>
        </is>
      </c>
      <c r="F609" s="1" t="inlineStr">
        <is>
          <t>F</t>
        </is>
      </c>
      <c r="G609" s="1" t="inlineStr">
        <is>
          <t>Aren Sindale</t>
        </is>
      </c>
      <c r="H609" s="1" t="inlineStr">
        <is>
          <t>Riya Sindale</t>
        </is>
      </c>
      <c r="I609" s="30" t="n">
        <v>45763</v>
      </c>
      <c r="J609" s="1" t="inlineStr">
        <is>
          <t>29 Birchwood Lane</t>
        </is>
      </c>
      <c r="K609" s="1" t="inlineStr">
        <is>
          <t>Emerald Road</t>
        </is>
      </c>
      <c r="L609" s="1" t="inlineStr">
        <is>
          <t>PIN:978049 LIVERPOOL</t>
        </is>
      </c>
      <c r="M609" s="2" t="inlineStr">
        <is>
          <t>MHA/IND/00608</t>
        </is>
      </c>
      <c r="N609" s="30" t="n">
        <v>45891</v>
      </c>
    </row>
    <row r="610">
      <c r="A610" s="28" t="n">
        <v>609</v>
      </c>
      <c r="B610" s="1" t="inlineStr">
        <is>
          <t>ARJUN KALEON</t>
        </is>
      </c>
      <c r="C610" s="30" t="n">
        <v>45863</v>
      </c>
      <c r="D610" s="1" t="inlineStr">
        <is>
          <t>NEWCASTLE</t>
        </is>
      </c>
      <c r="E610" s="12" t="inlineStr">
        <is>
          <t>IND/MEL/00609</t>
        </is>
      </c>
      <c r="F610" s="1" t="inlineStr">
        <is>
          <t>M</t>
        </is>
      </c>
      <c r="G610" s="1" t="inlineStr">
        <is>
          <t>Arjun Kaleon</t>
        </is>
      </c>
      <c r="H610" s="1" t="inlineStr">
        <is>
          <t>Alya Kaleon</t>
        </is>
      </c>
      <c r="I610" s="30" t="n">
        <v>45879</v>
      </c>
      <c r="J610" s="1" t="inlineStr">
        <is>
          <t>62 Birchwood Lane</t>
        </is>
      </c>
      <c r="K610" s="1" t="inlineStr">
        <is>
          <t>Emerald Road</t>
        </is>
      </c>
      <c r="L610" s="1" t="inlineStr">
        <is>
          <t>PIN:759250 NEWCASTLE</t>
        </is>
      </c>
      <c r="M610" s="2" t="inlineStr">
        <is>
          <t>MHA/IND/00609</t>
        </is>
      </c>
      <c r="N610" s="30" t="n">
        <v>45847</v>
      </c>
    </row>
    <row r="611">
      <c r="A611" s="28" t="n">
        <v>610</v>
      </c>
      <c r="B611" s="1" t="inlineStr">
        <is>
          <t>DEV SHARMA</t>
        </is>
      </c>
      <c r="C611" s="30" t="n">
        <v>45678</v>
      </c>
      <c r="D611" s="1" t="inlineStr">
        <is>
          <t>LIVERPOOL</t>
        </is>
      </c>
      <c r="E611" s="12" t="inlineStr">
        <is>
          <t>IND/MEL/00610</t>
        </is>
      </c>
      <c r="F611" s="1" t="inlineStr">
        <is>
          <t>M</t>
        </is>
      </c>
      <c r="G611" s="1" t="inlineStr">
        <is>
          <t>Rohit Sharma</t>
        </is>
      </c>
      <c r="H611" s="1" t="inlineStr">
        <is>
          <t>Alya Sharma</t>
        </is>
      </c>
      <c r="I611" s="30" t="n">
        <v>45709</v>
      </c>
      <c r="J611" s="1" t="inlineStr">
        <is>
          <t>136 Birchwood Lane</t>
        </is>
      </c>
      <c r="K611" s="1" t="inlineStr">
        <is>
          <t>Emerald Road</t>
        </is>
      </c>
      <c r="L611" s="1" t="inlineStr">
        <is>
          <t>PIN:265684 LIVERPOOL</t>
        </is>
      </c>
      <c r="M611" s="2" t="inlineStr">
        <is>
          <t>MHA/IND/00610</t>
        </is>
      </c>
      <c r="N611" s="30" t="n">
        <v>45884</v>
      </c>
    </row>
    <row r="612">
      <c r="A612" s="28" t="n">
        <v>611</v>
      </c>
      <c r="B612" s="1" t="inlineStr">
        <is>
          <t>KABIR KALEON</t>
        </is>
      </c>
      <c r="C612" s="30" t="n">
        <v>45815</v>
      </c>
      <c r="D612" s="1" t="inlineStr">
        <is>
          <t>BENDIGO</t>
        </is>
      </c>
      <c r="E612" s="12" t="inlineStr">
        <is>
          <t>IND/MEL/00611</t>
        </is>
      </c>
      <c r="F612" s="1" t="inlineStr">
        <is>
          <t>M</t>
        </is>
      </c>
      <c r="G612" s="1" t="inlineStr">
        <is>
          <t>Dev Kaleon</t>
        </is>
      </c>
      <c r="H612" s="1" t="inlineStr">
        <is>
          <t>Tara Kaleon</t>
        </is>
      </c>
      <c r="I612" s="30" t="n">
        <v>45869</v>
      </c>
      <c r="J612" s="1" t="inlineStr">
        <is>
          <t>70 Birchwood Lane</t>
        </is>
      </c>
      <c r="K612" s="1" t="inlineStr">
        <is>
          <t>Emerald Road</t>
        </is>
      </c>
      <c r="L612" s="1" t="inlineStr">
        <is>
          <t>PIN:669525 BENDIGO</t>
        </is>
      </c>
      <c r="M612" s="2" t="inlineStr">
        <is>
          <t>MHA/IND/00611</t>
        </is>
      </c>
      <c r="N612" s="30" t="n">
        <v>45873</v>
      </c>
    </row>
    <row r="613">
      <c r="A613" s="28" t="n">
        <v>612</v>
      </c>
      <c r="B613" s="1" t="inlineStr">
        <is>
          <t>ALYA SINDALE</t>
        </is>
      </c>
      <c r="C613" s="30" t="n">
        <v>45851</v>
      </c>
      <c r="D613" s="1" t="inlineStr">
        <is>
          <t>WOLLONGONG</t>
        </is>
      </c>
      <c r="E613" s="12" t="inlineStr">
        <is>
          <t>IND/MEL/00612</t>
        </is>
      </c>
      <c r="F613" s="1" t="inlineStr">
        <is>
          <t>F</t>
        </is>
      </c>
      <c r="G613" s="1" t="inlineStr">
        <is>
          <t>Rohit Sindale</t>
        </is>
      </c>
      <c r="H613" s="1" t="inlineStr">
        <is>
          <t>Nina Sindale</t>
        </is>
      </c>
      <c r="I613" s="30" t="n">
        <v>45889</v>
      </c>
      <c r="J613" s="1" t="inlineStr">
        <is>
          <t>71 Birchwood Lane</t>
        </is>
      </c>
      <c r="K613" s="1" t="inlineStr">
        <is>
          <t>Emerald Road</t>
        </is>
      </c>
      <c r="L613" s="1" t="inlineStr">
        <is>
          <t>PIN:806096 WOLLONGONG</t>
        </is>
      </c>
      <c r="M613" s="2" t="inlineStr">
        <is>
          <t>MHA/IND/00612</t>
        </is>
      </c>
      <c r="N613" s="30" t="n">
        <v>45844</v>
      </c>
    </row>
    <row r="614">
      <c r="A614" s="28" t="n">
        <v>613</v>
      </c>
      <c r="B614" s="1" t="inlineStr">
        <is>
          <t>MIRA KALEON</t>
        </is>
      </c>
      <c r="C614" s="30" t="n">
        <v>45825</v>
      </c>
      <c r="D614" s="1" t="inlineStr">
        <is>
          <t>DALBY</t>
        </is>
      </c>
      <c r="E614" s="12" t="inlineStr">
        <is>
          <t>IND/MEL/00613</t>
        </is>
      </c>
      <c r="F614" s="1" t="inlineStr">
        <is>
          <t>F</t>
        </is>
      </c>
      <c r="G614" s="1" t="inlineStr">
        <is>
          <t>Kabir Kaleon</t>
        </is>
      </c>
      <c r="H614" s="1" t="inlineStr">
        <is>
          <t>Alya Kaleon</t>
        </is>
      </c>
      <c r="I614" s="30" t="n">
        <v>45844</v>
      </c>
      <c r="J614" s="1" t="inlineStr">
        <is>
          <t>123 Birchwood Lane</t>
        </is>
      </c>
      <c r="K614" s="1" t="inlineStr">
        <is>
          <t>Emerald Road</t>
        </is>
      </c>
      <c r="L614" s="1" t="inlineStr">
        <is>
          <t>PIN:836079 DALBY</t>
        </is>
      </c>
      <c r="M614" s="2" t="inlineStr">
        <is>
          <t>MHA/IND/00613</t>
        </is>
      </c>
      <c r="N614" s="30" t="n">
        <v>45887</v>
      </c>
    </row>
    <row r="615">
      <c r="A615" s="28" t="n">
        <v>614</v>
      </c>
      <c r="B615" s="1" t="inlineStr">
        <is>
          <t>ROHIT MYRTHOS</t>
        </is>
      </c>
      <c r="C615" s="30" t="n">
        <v>45685</v>
      </c>
      <c r="D615" s="1" t="inlineStr">
        <is>
          <t>CLAYTON</t>
        </is>
      </c>
      <c r="E615" s="12" t="inlineStr">
        <is>
          <t>IND/MEL/00614</t>
        </is>
      </c>
      <c r="F615" s="1" t="inlineStr">
        <is>
          <t>M</t>
        </is>
      </c>
      <c r="G615" s="1" t="inlineStr">
        <is>
          <t>Kabir Myrthos</t>
        </is>
      </c>
      <c r="H615" s="1" t="inlineStr">
        <is>
          <t>Mira Myrthos</t>
        </is>
      </c>
      <c r="I615" s="30" t="n">
        <v>45709</v>
      </c>
      <c r="J615" s="1" t="inlineStr">
        <is>
          <t>106 Birchwood Lane</t>
        </is>
      </c>
      <c r="K615" s="1" t="inlineStr">
        <is>
          <t>Emerald Road</t>
        </is>
      </c>
      <c r="L615" s="1" t="inlineStr">
        <is>
          <t>PIN:528267 CLAYTON</t>
        </is>
      </c>
      <c r="M615" s="2" t="inlineStr">
        <is>
          <t>MHA/IND/00614</t>
        </is>
      </c>
      <c r="N615" s="30" t="n">
        <v>45858</v>
      </c>
    </row>
    <row r="616">
      <c r="A616" s="28" t="n">
        <v>615</v>
      </c>
      <c r="B616" s="1" t="inlineStr">
        <is>
          <t>TARA SINDALE</t>
        </is>
      </c>
      <c r="C616" s="30" t="n">
        <v>45841</v>
      </c>
      <c r="D616" s="1" t="inlineStr">
        <is>
          <t>MANDURAH</t>
        </is>
      </c>
      <c r="E616" s="12" t="inlineStr">
        <is>
          <t>IND/MEL/00615</t>
        </is>
      </c>
      <c r="F616" s="1" t="inlineStr">
        <is>
          <t>F</t>
        </is>
      </c>
      <c r="G616" s="1" t="inlineStr">
        <is>
          <t>Dev Sindale</t>
        </is>
      </c>
      <c r="H616" s="1" t="inlineStr">
        <is>
          <t>Nina Sindale</t>
        </is>
      </c>
      <c r="I616" s="30" t="n">
        <v>45884</v>
      </c>
      <c r="J616" s="1" t="inlineStr">
        <is>
          <t>163 Birchwood Lane</t>
        </is>
      </c>
      <c r="K616" s="1" t="inlineStr">
        <is>
          <t>Emerald Road</t>
        </is>
      </c>
      <c r="L616" s="1" t="inlineStr">
        <is>
          <t>PIN:587920 MANDURAH</t>
        </is>
      </c>
      <c r="M616" s="2" t="inlineStr">
        <is>
          <t>MHA/IND/00615</t>
        </is>
      </c>
      <c r="N616" s="30" t="n">
        <v>45860</v>
      </c>
    </row>
    <row r="617">
      <c r="A617" s="28" t="n">
        <v>616</v>
      </c>
      <c r="B617" s="1" t="inlineStr">
        <is>
          <t>ANYA RAO</t>
        </is>
      </c>
      <c r="C617" s="30" t="n">
        <v>45815</v>
      </c>
      <c r="D617" s="1" t="inlineStr">
        <is>
          <t>BUNDOORA</t>
        </is>
      </c>
      <c r="E617" s="12" t="inlineStr">
        <is>
          <t>IND/MEL/00616</t>
        </is>
      </c>
      <c r="F617" s="1" t="inlineStr">
        <is>
          <t>F</t>
        </is>
      </c>
      <c r="G617" s="1" t="inlineStr">
        <is>
          <t>Kiran Rao</t>
        </is>
      </c>
      <c r="H617" s="1" t="inlineStr">
        <is>
          <t>Tara Rao</t>
        </is>
      </c>
      <c r="I617" s="30" t="n">
        <v>45833</v>
      </c>
      <c r="J617" s="1" t="inlineStr">
        <is>
          <t>166 Birchwood Lane</t>
        </is>
      </c>
      <c r="K617" s="1" t="inlineStr">
        <is>
          <t>Emerald Road</t>
        </is>
      </c>
      <c r="L617" s="1" t="inlineStr">
        <is>
          <t>PIN:443245 BUNDOORA</t>
        </is>
      </c>
      <c r="M617" s="2" t="inlineStr">
        <is>
          <t>MHA/IND/00616</t>
        </is>
      </c>
      <c r="N617" s="30" t="n">
        <v>45870</v>
      </c>
    </row>
    <row r="618">
      <c r="A618" s="28" t="n">
        <v>617</v>
      </c>
      <c r="B618" s="1" t="inlineStr">
        <is>
          <t>TARA RISHKAN</t>
        </is>
      </c>
      <c r="C618" s="30" t="n">
        <v>45803</v>
      </c>
      <c r="D618" s="1" t="inlineStr">
        <is>
          <t>BRISBANE</t>
        </is>
      </c>
      <c r="E618" s="12" t="inlineStr">
        <is>
          <t>IND/MEL/00617</t>
        </is>
      </c>
      <c r="F618" s="1" t="inlineStr">
        <is>
          <t>F</t>
        </is>
      </c>
      <c r="G618" s="1" t="inlineStr">
        <is>
          <t>Rohit Rishkan</t>
        </is>
      </c>
      <c r="H618" s="1" t="inlineStr">
        <is>
          <t>Sara Rishkan</t>
        </is>
      </c>
      <c r="I618" s="30" t="n">
        <v>45882</v>
      </c>
      <c r="J618" s="1" t="inlineStr">
        <is>
          <t>130 Birchwood Lane</t>
        </is>
      </c>
      <c r="K618" s="1" t="inlineStr">
        <is>
          <t>Emerald Road</t>
        </is>
      </c>
      <c r="L618" s="1" t="inlineStr">
        <is>
          <t>PIN:854044 BRISBANE</t>
        </is>
      </c>
      <c r="M618" s="2" t="inlineStr">
        <is>
          <t>MHA/IND/00617</t>
        </is>
      </c>
      <c r="N618" s="30" t="n">
        <v>45866</v>
      </c>
    </row>
    <row r="619">
      <c r="A619" s="28" t="n">
        <v>618</v>
      </c>
      <c r="B619" s="1" t="inlineStr">
        <is>
          <t>KABIR SINDALE</t>
        </is>
      </c>
      <c r="C619" s="30" t="n">
        <v>45729</v>
      </c>
      <c r="D619" s="1" t="inlineStr">
        <is>
          <t>BERWICK</t>
        </is>
      </c>
      <c r="E619" s="12" t="inlineStr">
        <is>
          <t>IND/MEL/00618</t>
        </is>
      </c>
      <c r="F619" s="1" t="inlineStr">
        <is>
          <t>M</t>
        </is>
      </c>
      <c r="G619" s="1" t="inlineStr">
        <is>
          <t>Neil Sindale</t>
        </is>
      </c>
      <c r="H619" s="1" t="inlineStr">
        <is>
          <t>Riya Sindale</t>
        </is>
      </c>
      <c r="I619" s="30" t="n">
        <v>45792</v>
      </c>
      <c r="J619" s="1" t="inlineStr">
        <is>
          <t>90 Birchwood Lane</t>
        </is>
      </c>
      <c r="K619" s="1" t="inlineStr">
        <is>
          <t>Emerald Road</t>
        </is>
      </c>
      <c r="L619" s="1" t="inlineStr">
        <is>
          <t>PIN:146112 BERWICK</t>
        </is>
      </c>
      <c r="M619" s="2" t="inlineStr">
        <is>
          <t>MHA/IND/00618</t>
        </is>
      </c>
      <c r="N619" s="30" t="n">
        <v>45858</v>
      </c>
    </row>
    <row r="620">
      <c r="A620" s="28" t="n">
        <v>619</v>
      </c>
      <c r="B620" s="1" t="inlineStr">
        <is>
          <t>MIRA SHARMA</t>
        </is>
      </c>
      <c r="C620" s="30" t="n">
        <v>45794</v>
      </c>
      <c r="D620" s="1" t="inlineStr">
        <is>
          <t>GOSFORD</t>
        </is>
      </c>
      <c r="E620" s="12" t="inlineStr">
        <is>
          <t>IND/MEL/00619</t>
        </is>
      </c>
      <c r="F620" s="1" t="inlineStr">
        <is>
          <t>F</t>
        </is>
      </c>
      <c r="G620" s="1" t="inlineStr">
        <is>
          <t>Kiran Sharma</t>
        </is>
      </c>
      <c r="H620" s="1" t="inlineStr">
        <is>
          <t>Diya Sharma</t>
        </is>
      </c>
      <c r="I620" s="30" t="n">
        <v>45856</v>
      </c>
      <c r="J620" s="1" t="inlineStr">
        <is>
          <t>187 Birchwood Lane</t>
        </is>
      </c>
      <c r="K620" s="1" t="inlineStr">
        <is>
          <t>Emerald Road</t>
        </is>
      </c>
      <c r="L620" s="1" t="inlineStr">
        <is>
          <t>PIN:116116 GOSFORD</t>
        </is>
      </c>
      <c r="M620" s="2" t="inlineStr">
        <is>
          <t>MHA/IND/00619</t>
        </is>
      </c>
      <c r="N620" s="30" t="n">
        <v>45880</v>
      </c>
    </row>
    <row r="621">
      <c r="A621" s="28" t="n">
        <v>620</v>
      </c>
      <c r="B621" s="1" t="inlineStr">
        <is>
          <t>ANYA KALEON</t>
        </is>
      </c>
      <c r="C621" s="30" t="n">
        <v>45942</v>
      </c>
      <c r="D621" s="1" t="inlineStr">
        <is>
          <t>ARMADALE</t>
        </is>
      </c>
      <c r="E621" s="12" t="inlineStr">
        <is>
          <t>IND/MEL/00620</t>
        </is>
      </c>
      <c r="F621" s="1" t="inlineStr">
        <is>
          <t>F</t>
        </is>
      </c>
      <c r="G621" s="1" t="inlineStr">
        <is>
          <t>Rohit Kaleon</t>
        </is>
      </c>
      <c r="H621" s="1" t="inlineStr">
        <is>
          <t>Tara Kaleon</t>
        </is>
      </c>
      <c r="I621" s="30" t="n">
        <v>45968</v>
      </c>
      <c r="J621" s="1" t="inlineStr">
        <is>
          <t>146 Birchwood Lane</t>
        </is>
      </c>
      <c r="K621" s="1" t="inlineStr">
        <is>
          <t>Emerald Road</t>
        </is>
      </c>
      <c r="L621" s="1" t="inlineStr">
        <is>
          <t>PIN:698609 ARMADALE</t>
        </is>
      </c>
      <c r="M621" s="2" t="inlineStr">
        <is>
          <t>MHA/IND/00620</t>
        </is>
      </c>
      <c r="N621" s="30" t="n">
        <v>45878</v>
      </c>
    </row>
    <row r="622">
      <c r="A622" s="28" t="n">
        <v>621</v>
      </c>
      <c r="B622" s="1" t="inlineStr">
        <is>
          <t>ALYA KALEON</t>
        </is>
      </c>
      <c r="C622" s="30" t="n">
        <v>45910</v>
      </c>
      <c r="D622" s="1" t="inlineStr">
        <is>
          <t>PARKVILLE</t>
        </is>
      </c>
      <c r="E622" s="12" t="inlineStr">
        <is>
          <t>IND/MEL/00621</t>
        </is>
      </c>
      <c r="F622" s="1" t="inlineStr">
        <is>
          <t>F</t>
        </is>
      </c>
      <c r="G622" s="1" t="inlineStr">
        <is>
          <t>Ishan Kaleon</t>
        </is>
      </c>
      <c r="H622" s="1" t="inlineStr">
        <is>
          <t>Nina Kaleon</t>
        </is>
      </c>
      <c r="I622" s="30" t="n">
        <v>45999</v>
      </c>
      <c r="J622" s="1" t="inlineStr">
        <is>
          <t>94 Birchwood Lane</t>
        </is>
      </c>
      <c r="K622" s="1" t="inlineStr">
        <is>
          <t>Emerald Road</t>
        </is>
      </c>
      <c r="L622" s="1" t="inlineStr">
        <is>
          <t>PIN:243403 PARKVILLE</t>
        </is>
      </c>
      <c r="M622" s="2" t="inlineStr">
        <is>
          <t>MHA/IND/00621</t>
        </is>
      </c>
      <c r="N622" s="30" t="n">
        <v>45895</v>
      </c>
    </row>
    <row r="623">
      <c r="A623" s="28" t="n">
        <v>622</v>
      </c>
      <c r="B623" s="1" t="inlineStr">
        <is>
          <t>ANYA MYRTHOS</t>
        </is>
      </c>
      <c r="C623" s="30" t="n">
        <v>45912</v>
      </c>
      <c r="D623" s="1" t="inlineStr">
        <is>
          <t>LIVERPOOL</t>
        </is>
      </c>
      <c r="E623" s="12" t="inlineStr">
        <is>
          <t>IND/MEL/00622</t>
        </is>
      </c>
      <c r="F623" s="1" t="inlineStr">
        <is>
          <t>F</t>
        </is>
      </c>
      <c r="G623" s="1" t="inlineStr">
        <is>
          <t>Rohit Myrthos</t>
        </is>
      </c>
      <c r="H623" s="1" t="inlineStr">
        <is>
          <t>Mira Myrthos</t>
        </is>
      </c>
      <c r="I623" s="30" t="n">
        <v>45979</v>
      </c>
      <c r="J623" s="1" t="inlineStr">
        <is>
          <t>61 Birchwood Lane</t>
        </is>
      </c>
      <c r="K623" s="1" t="inlineStr">
        <is>
          <t>Emerald Road</t>
        </is>
      </c>
      <c r="L623" s="1" t="inlineStr">
        <is>
          <t>PIN:333036 LIVERPOOL</t>
        </is>
      </c>
      <c r="M623" s="2" t="inlineStr">
        <is>
          <t>MHA/IND/00622</t>
        </is>
      </c>
      <c r="N623" s="30" t="n">
        <v>45894</v>
      </c>
    </row>
    <row r="624">
      <c r="A624" s="28" t="n">
        <v>623</v>
      </c>
      <c r="B624" s="1" t="inlineStr">
        <is>
          <t>ROHIT VALZARI</t>
        </is>
      </c>
      <c r="C624" s="30" t="n">
        <v>45743</v>
      </c>
      <c r="D624" s="1" t="inlineStr">
        <is>
          <t>BEDFORD PARK</t>
        </is>
      </c>
      <c r="E624" s="12" t="inlineStr">
        <is>
          <t>IND/MEL/00623</t>
        </is>
      </c>
      <c r="F624" s="1" t="inlineStr">
        <is>
          <t>M</t>
        </is>
      </c>
      <c r="G624" s="1" t="inlineStr">
        <is>
          <t>Aren Valzari</t>
        </is>
      </c>
      <c r="H624" s="1" t="inlineStr">
        <is>
          <t>Riya Valzari</t>
        </is>
      </c>
      <c r="I624" s="30" t="n">
        <v>45808</v>
      </c>
      <c r="J624" s="1" t="inlineStr">
        <is>
          <t>69 Birchwood Lane</t>
        </is>
      </c>
      <c r="K624" s="1" t="inlineStr">
        <is>
          <t>Emerald Road</t>
        </is>
      </c>
      <c r="L624" s="1" t="inlineStr">
        <is>
          <t>PIN:974106 BEDFORD PARK</t>
        </is>
      </c>
      <c r="M624" s="2" t="inlineStr">
        <is>
          <t>MHA/IND/00623</t>
        </is>
      </c>
      <c r="N624" s="30" t="n">
        <v>45846</v>
      </c>
    </row>
    <row r="625">
      <c r="A625" s="28" t="n">
        <v>624</v>
      </c>
      <c r="B625" s="1" t="inlineStr">
        <is>
          <t>KIRAN VALZARI</t>
        </is>
      </c>
      <c r="C625" s="30" t="n">
        <v>45749</v>
      </c>
      <c r="D625" s="1" t="inlineStr">
        <is>
          <t>WODONGA</t>
        </is>
      </c>
      <c r="E625" s="12" t="inlineStr">
        <is>
          <t>IND/MEL/00624</t>
        </is>
      </c>
      <c r="F625" s="1" t="inlineStr">
        <is>
          <t>M</t>
        </is>
      </c>
      <c r="G625" s="1" t="inlineStr">
        <is>
          <t>Rohit Valzari</t>
        </is>
      </c>
      <c r="H625" s="1" t="inlineStr">
        <is>
          <t>Alya Valzari</t>
        </is>
      </c>
      <c r="I625" s="30" t="n">
        <v>45786</v>
      </c>
      <c r="J625" s="1" t="inlineStr">
        <is>
          <t>130 Birchwood Lane</t>
        </is>
      </c>
      <c r="K625" s="1" t="inlineStr">
        <is>
          <t>Emerald Road</t>
        </is>
      </c>
      <c r="L625" s="1" t="inlineStr">
        <is>
          <t>PIN:903256 WODONGA</t>
        </is>
      </c>
      <c r="M625" s="2" t="inlineStr">
        <is>
          <t>MHA/IND/00624</t>
        </is>
      </c>
      <c r="N625" s="30" t="n">
        <v>45862</v>
      </c>
    </row>
    <row r="626">
      <c r="A626" s="28" t="n">
        <v>625</v>
      </c>
      <c r="B626" s="1" t="inlineStr">
        <is>
          <t>DEV SINDALE</t>
        </is>
      </c>
      <c r="C626" s="30" t="n">
        <v>45800</v>
      </c>
      <c r="D626" s="1" t="inlineStr">
        <is>
          <t>FRANKSTON</t>
        </is>
      </c>
      <c r="E626" s="12" t="inlineStr">
        <is>
          <t>IND/MEL/00625</t>
        </is>
      </c>
      <c r="F626" s="1" t="inlineStr">
        <is>
          <t>M</t>
        </is>
      </c>
      <c r="G626" s="1" t="inlineStr">
        <is>
          <t>Aren Sindale</t>
        </is>
      </c>
      <c r="H626" s="1" t="inlineStr">
        <is>
          <t>Riya Sindale</t>
        </is>
      </c>
      <c r="I626" s="30" t="n">
        <v>45873</v>
      </c>
      <c r="J626" s="1" t="inlineStr">
        <is>
          <t>161 Birchwood Lane</t>
        </is>
      </c>
      <c r="K626" s="1" t="inlineStr">
        <is>
          <t>Emerald Road</t>
        </is>
      </c>
      <c r="L626" s="1" t="inlineStr">
        <is>
          <t>PIN:724180 FRANKSTON</t>
        </is>
      </c>
      <c r="M626" s="2" t="inlineStr">
        <is>
          <t>MHA/IND/00625</t>
        </is>
      </c>
      <c r="N626" s="30" t="n">
        <v>45878</v>
      </c>
    </row>
    <row r="627">
      <c r="A627" s="28" t="n">
        <v>626</v>
      </c>
      <c r="B627" s="1" t="inlineStr">
        <is>
          <t>KIRAN SHARMA</t>
        </is>
      </c>
      <c r="C627" s="30" t="n">
        <v>45819</v>
      </c>
      <c r="D627" s="1" t="inlineStr">
        <is>
          <t>TUGGERANONG</t>
        </is>
      </c>
      <c r="E627" s="12" t="inlineStr">
        <is>
          <t>IND/MEL/00626</t>
        </is>
      </c>
      <c r="F627" s="1" t="inlineStr">
        <is>
          <t>M</t>
        </is>
      </c>
      <c r="G627" s="1" t="inlineStr">
        <is>
          <t>Dev Sharma</t>
        </is>
      </c>
      <c r="H627" s="1" t="inlineStr">
        <is>
          <t>Nina Sharma</t>
        </is>
      </c>
      <c r="I627" s="30" t="n">
        <v>45937</v>
      </c>
      <c r="J627" s="1" t="inlineStr">
        <is>
          <t>29 Birchwood Lane</t>
        </is>
      </c>
      <c r="K627" s="1" t="inlineStr">
        <is>
          <t>Emerald Road</t>
        </is>
      </c>
      <c r="L627" s="1" t="inlineStr">
        <is>
          <t>PIN:696956 TUGGERANONG</t>
        </is>
      </c>
      <c r="M627" s="2" t="inlineStr">
        <is>
          <t>MHA/IND/00626</t>
        </is>
      </c>
      <c r="N627" s="30" t="n">
        <v>45895</v>
      </c>
    </row>
    <row r="628">
      <c r="A628" s="28" t="n">
        <v>627</v>
      </c>
      <c r="B628" s="1" t="inlineStr">
        <is>
          <t>MIRA SHARMA</t>
        </is>
      </c>
      <c r="C628" s="30" t="n">
        <v>45778</v>
      </c>
      <c r="D628" s="1" t="inlineStr">
        <is>
          <t>LAUNCESTON</t>
        </is>
      </c>
      <c r="E628" s="12" t="inlineStr">
        <is>
          <t>IND/MEL/00627</t>
        </is>
      </c>
      <c r="F628" s="1" t="inlineStr">
        <is>
          <t>F</t>
        </is>
      </c>
      <c r="G628" s="1" t="inlineStr">
        <is>
          <t>Rohit Sharma</t>
        </is>
      </c>
      <c r="H628" s="1" t="inlineStr">
        <is>
          <t>Mira Sharma</t>
        </is>
      </c>
      <c r="I628" s="30" t="n">
        <v>45790</v>
      </c>
      <c r="J628" s="1" t="inlineStr">
        <is>
          <t>193 Birchwood Lane</t>
        </is>
      </c>
      <c r="K628" s="1" t="inlineStr">
        <is>
          <t>Emerald Road</t>
        </is>
      </c>
      <c r="L628" s="1" t="inlineStr">
        <is>
          <t>PIN:866652 LAUNCESTON</t>
        </is>
      </c>
      <c r="M628" s="2" t="inlineStr">
        <is>
          <t>MHA/IND/00627</t>
        </is>
      </c>
      <c r="N628" s="30" t="n">
        <v>45844</v>
      </c>
    </row>
    <row r="629">
      <c r="A629" s="28" t="n">
        <v>628</v>
      </c>
      <c r="B629" s="1" t="inlineStr">
        <is>
          <t>SARA KALEON</t>
        </is>
      </c>
      <c r="C629" s="30" t="n">
        <v>45735</v>
      </c>
      <c r="D629" s="1" t="inlineStr">
        <is>
          <t>NORTH ADELAIDE</t>
        </is>
      </c>
      <c r="E629" s="12" t="inlineStr">
        <is>
          <t>IND/MEL/00628</t>
        </is>
      </c>
      <c r="F629" s="1" t="inlineStr">
        <is>
          <t>F</t>
        </is>
      </c>
      <c r="G629" s="1" t="inlineStr">
        <is>
          <t>Rohit Kaleon</t>
        </is>
      </c>
      <c r="H629" s="1" t="inlineStr">
        <is>
          <t>Anya Kaleon</t>
        </is>
      </c>
      <c r="I629" s="30" t="n">
        <v>45767</v>
      </c>
      <c r="J629" s="1" t="inlineStr">
        <is>
          <t>141 Birchwood Lane</t>
        </is>
      </c>
      <c r="K629" s="1" t="inlineStr">
        <is>
          <t>Emerald Road</t>
        </is>
      </c>
      <c r="L629" s="1" t="inlineStr">
        <is>
          <t>PIN:277862 NORTH ADELAIDE</t>
        </is>
      </c>
      <c r="M629" s="2" t="inlineStr">
        <is>
          <t>MHA/IND/00628</t>
        </is>
      </c>
      <c r="N629" s="30" t="n">
        <v>45872</v>
      </c>
    </row>
    <row r="630">
      <c r="A630" s="28" t="n">
        <v>629</v>
      </c>
      <c r="B630" s="1" t="inlineStr">
        <is>
          <t>RIYA RISHKAN</t>
        </is>
      </c>
      <c r="C630" s="30" t="n">
        <v>45865</v>
      </c>
      <c r="D630" s="1" t="inlineStr">
        <is>
          <t>TUGGERANONG</t>
        </is>
      </c>
      <c r="E630" s="12" t="inlineStr">
        <is>
          <t>IND/MEL/00629</t>
        </is>
      </c>
      <c r="F630" s="1" t="inlineStr">
        <is>
          <t>F</t>
        </is>
      </c>
      <c r="G630" s="1" t="inlineStr">
        <is>
          <t>Neil Rishkan</t>
        </is>
      </c>
      <c r="H630" s="1" t="inlineStr">
        <is>
          <t>Alya Rishkan</t>
        </is>
      </c>
      <c r="I630" s="30" t="n">
        <v>45873</v>
      </c>
      <c r="J630" s="1" t="inlineStr">
        <is>
          <t>57 Birchwood Lane</t>
        </is>
      </c>
      <c r="K630" s="1" t="inlineStr">
        <is>
          <t>Emerald Road</t>
        </is>
      </c>
      <c r="L630" s="1" t="inlineStr">
        <is>
          <t>PIN:771839 TUGGERANONG</t>
        </is>
      </c>
      <c r="M630" s="2" t="inlineStr">
        <is>
          <t>MHA/IND/00629</t>
        </is>
      </c>
      <c r="N630" s="30" t="n">
        <v>45852</v>
      </c>
    </row>
    <row r="631">
      <c r="A631" s="28" t="n">
        <v>630</v>
      </c>
      <c r="B631" s="1" t="inlineStr">
        <is>
          <t>ANYA SHARMA</t>
        </is>
      </c>
      <c r="C631" s="30" t="n">
        <v>45874</v>
      </c>
      <c r="D631" s="1" t="inlineStr">
        <is>
          <t>LIVERPOOL</t>
        </is>
      </c>
      <c r="E631" s="12" t="inlineStr">
        <is>
          <t>IND/MEL/00630</t>
        </is>
      </c>
      <c r="F631" s="1" t="inlineStr">
        <is>
          <t>F</t>
        </is>
      </c>
      <c r="G631" s="1" t="inlineStr">
        <is>
          <t>Dev Sharma</t>
        </is>
      </c>
      <c r="H631" s="1" t="inlineStr">
        <is>
          <t>Anya Sharma</t>
        </is>
      </c>
      <c r="I631" s="30" t="n">
        <v>45926</v>
      </c>
      <c r="J631" s="1" t="inlineStr">
        <is>
          <t>65 Birchwood Lane</t>
        </is>
      </c>
      <c r="K631" s="1" t="inlineStr">
        <is>
          <t>Emerald Road</t>
        </is>
      </c>
      <c r="L631" s="1" t="inlineStr">
        <is>
          <t>PIN:587081 LIVERPOOL</t>
        </is>
      </c>
      <c r="M631" s="2" t="inlineStr">
        <is>
          <t>MHA/IND/00630</t>
        </is>
      </c>
      <c r="N631" s="30" t="n">
        <v>45873</v>
      </c>
    </row>
    <row r="632">
      <c r="A632" s="28" t="n">
        <v>631</v>
      </c>
      <c r="B632" s="1" t="inlineStr">
        <is>
          <t>ANYA VALZARI</t>
        </is>
      </c>
      <c r="C632" s="30" t="n">
        <v>45670</v>
      </c>
      <c r="D632" s="1" t="inlineStr">
        <is>
          <t>BALLARAT CENTRAL</t>
        </is>
      </c>
      <c r="E632" s="12" t="inlineStr">
        <is>
          <t>IND/MEL/00631</t>
        </is>
      </c>
      <c r="F632" s="1" t="inlineStr">
        <is>
          <t>F</t>
        </is>
      </c>
      <c r="G632" s="1" t="inlineStr">
        <is>
          <t>Aren Valzari</t>
        </is>
      </c>
      <c r="H632" s="1" t="inlineStr">
        <is>
          <t>Anya Valzari</t>
        </is>
      </c>
      <c r="I632" s="30" t="n">
        <v>45679</v>
      </c>
      <c r="J632" s="1" t="inlineStr">
        <is>
          <t>74 Birchwood Lane</t>
        </is>
      </c>
      <c r="K632" s="1" t="inlineStr">
        <is>
          <t>Emerald Road</t>
        </is>
      </c>
      <c r="L632" s="1" t="inlineStr">
        <is>
          <t>PIN:832571 BALLARAT CENTRAL</t>
        </is>
      </c>
      <c r="M632" s="2" t="inlineStr">
        <is>
          <t>MHA/IND/00631</t>
        </is>
      </c>
      <c r="N632" s="30" t="n">
        <v>45844</v>
      </c>
    </row>
    <row r="633">
      <c r="A633" s="28" t="n">
        <v>632</v>
      </c>
      <c r="B633" s="1" t="inlineStr">
        <is>
          <t>ARJUN SINDALE</t>
        </is>
      </c>
      <c r="C633" s="30" t="n">
        <v>45874</v>
      </c>
      <c r="D633" s="1" t="inlineStr">
        <is>
          <t>FREMANTLE</t>
        </is>
      </c>
      <c r="E633" s="12" t="inlineStr">
        <is>
          <t>IND/MEL/00632</t>
        </is>
      </c>
      <c r="F633" s="1" t="inlineStr">
        <is>
          <t>M</t>
        </is>
      </c>
      <c r="G633" s="1" t="inlineStr">
        <is>
          <t>Ishan Sindale</t>
        </is>
      </c>
      <c r="H633" s="1" t="inlineStr">
        <is>
          <t>Nina Sindale</t>
        </is>
      </c>
      <c r="I633" s="30" t="n">
        <v>45982</v>
      </c>
      <c r="J633" s="1" t="inlineStr">
        <is>
          <t>26 Birchwood Lane</t>
        </is>
      </c>
      <c r="K633" s="1" t="inlineStr">
        <is>
          <t>Emerald Road</t>
        </is>
      </c>
      <c r="L633" s="1" t="inlineStr">
        <is>
          <t>PIN:919321 FREMANTLE</t>
        </is>
      </c>
      <c r="M633" s="2" t="inlineStr">
        <is>
          <t>MHA/IND/00632</t>
        </is>
      </c>
      <c r="N633" s="30" t="n">
        <v>45897</v>
      </c>
    </row>
    <row r="634">
      <c r="A634" s="28" t="n">
        <v>633</v>
      </c>
      <c r="B634" s="1" t="inlineStr">
        <is>
          <t>TARA KALEON</t>
        </is>
      </c>
      <c r="C634" s="30" t="n">
        <v>45947</v>
      </c>
      <c r="D634" s="1" t="inlineStr">
        <is>
          <t>WOLLONGONG</t>
        </is>
      </c>
      <c r="E634" s="12" t="inlineStr">
        <is>
          <t>IND/MEL/00633</t>
        </is>
      </c>
      <c r="F634" s="1" t="inlineStr">
        <is>
          <t>F</t>
        </is>
      </c>
      <c r="G634" s="1" t="inlineStr">
        <is>
          <t>Kabir Rishkan</t>
        </is>
      </c>
      <c r="H634" s="1" t="inlineStr">
        <is>
          <t>Nina Rishkan</t>
        </is>
      </c>
      <c r="I634" s="30" t="n">
        <v>46053</v>
      </c>
      <c r="J634" s="1" t="inlineStr">
        <is>
          <t>77 Birchwood Lane</t>
        </is>
      </c>
      <c r="K634" s="1" t="inlineStr">
        <is>
          <t>Emerald Road</t>
        </is>
      </c>
      <c r="L634" s="1" t="inlineStr">
        <is>
          <t>PIN:990720 WOLLONGONG</t>
        </is>
      </c>
      <c r="M634" s="2" t="inlineStr">
        <is>
          <t>MHA/IND/00637</t>
        </is>
      </c>
      <c r="N634" s="30" t="n">
        <v>45862</v>
      </c>
    </row>
    <row r="635">
      <c r="A635" s="28" t="n">
        <v>634</v>
      </c>
      <c r="B635" s="1" t="inlineStr">
        <is>
          <t>KIRAN SHARMA</t>
        </is>
      </c>
      <c r="C635" s="30" t="n">
        <v>45765</v>
      </c>
      <c r="D635" s="1" t="inlineStr">
        <is>
          <t>WERRIBEE</t>
        </is>
      </c>
      <c r="E635" s="12" t="inlineStr">
        <is>
          <t>IND/MEL/00634</t>
        </is>
      </c>
      <c r="F635" s="1" t="inlineStr">
        <is>
          <t>F</t>
        </is>
      </c>
      <c r="G635" s="1" t="inlineStr">
        <is>
          <t>Neil Valzari</t>
        </is>
      </c>
      <c r="H635" s="1" t="inlineStr">
        <is>
          <t>Diya Valzari</t>
        </is>
      </c>
      <c r="I635" s="30" t="n">
        <v>45824</v>
      </c>
      <c r="J635" s="1" t="inlineStr">
        <is>
          <t>59 Birchwood Lane</t>
        </is>
      </c>
      <c r="K635" s="1" t="inlineStr">
        <is>
          <t>Emerald Road</t>
        </is>
      </c>
      <c r="L635" s="1" t="inlineStr">
        <is>
          <t>PIN:686666 WERRIBEE</t>
        </is>
      </c>
      <c r="M635" s="2" t="inlineStr">
        <is>
          <t>MHA/IND/00638</t>
        </is>
      </c>
      <c r="N635" s="30" t="n">
        <v>45850</v>
      </c>
    </row>
    <row r="636">
      <c r="A636" s="28" t="n">
        <v>635</v>
      </c>
      <c r="B636" s="1" t="inlineStr">
        <is>
          <t>ANYA RAO</t>
        </is>
      </c>
      <c r="C636" s="30" t="n">
        <v>45887</v>
      </c>
      <c r="D636" s="1" t="inlineStr">
        <is>
          <t>MIDLAND</t>
        </is>
      </c>
      <c r="E636" s="12" t="inlineStr">
        <is>
          <t>IND/MEL/00635</t>
        </is>
      </c>
      <c r="F636" s="1" t="inlineStr">
        <is>
          <t>M</t>
        </is>
      </c>
      <c r="G636" s="1" t="inlineStr">
        <is>
          <t>Kabir Myrthos</t>
        </is>
      </c>
      <c r="H636" s="1" t="inlineStr">
        <is>
          <t>Mira Myrthos</t>
        </is>
      </c>
      <c r="I636" s="30" t="n">
        <v>45936</v>
      </c>
      <c r="J636" s="1" t="inlineStr">
        <is>
          <t>68 Birchwood Lane</t>
        </is>
      </c>
      <c r="K636" s="1" t="inlineStr">
        <is>
          <t>Emerald Road</t>
        </is>
      </c>
      <c r="L636" s="1" t="inlineStr">
        <is>
          <t>PIN:921614 MIDLAND</t>
        </is>
      </c>
      <c r="M636" s="2" t="inlineStr">
        <is>
          <t>MHA/IND/00639</t>
        </is>
      </c>
      <c r="N636" s="30" t="n">
        <v>45888</v>
      </c>
    </row>
    <row r="637">
      <c r="A637" s="28" t="n">
        <v>636</v>
      </c>
      <c r="B637" s="1" t="inlineStr">
        <is>
          <t>DIYA MYRTHOS</t>
        </is>
      </c>
      <c r="C637" s="30" t="n">
        <v>45686</v>
      </c>
      <c r="D637" s="1" t="inlineStr">
        <is>
          <t>BUNDOORA</t>
        </is>
      </c>
      <c r="E637" s="12" t="inlineStr">
        <is>
          <t>IND/MEL/00636</t>
        </is>
      </c>
      <c r="F637" s="1" t="inlineStr">
        <is>
          <t>F</t>
        </is>
      </c>
      <c r="G637" s="1" t="inlineStr">
        <is>
          <t>Ishan Myrthos</t>
        </is>
      </c>
      <c r="H637" s="1" t="inlineStr">
        <is>
          <t>Alya Myrthos</t>
        </is>
      </c>
      <c r="I637" s="30" t="n">
        <v>45704</v>
      </c>
      <c r="J637" s="1" t="inlineStr">
        <is>
          <t>191 Birchwood Lane</t>
        </is>
      </c>
      <c r="K637" s="1" t="inlineStr">
        <is>
          <t>Emerald Road</t>
        </is>
      </c>
      <c r="L637" s="1" t="inlineStr">
        <is>
          <t>PIN:383372 BUNDOORA</t>
        </is>
      </c>
      <c r="M637" s="2" t="inlineStr">
        <is>
          <t>MHA/IND/00640</t>
        </is>
      </c>
      <c r="N637" s="30" t="n">
        <v>45881</v>
      </c>
    </row>
    <row r="638">
      <c r="A638" s="28" t="n">
        <v>637</v>
      </c>
      <c r="B638" s="1" t="inlineStr">
        <is>
          <t>DIYA RISHKAN</t>
        </is>
      </c>
      <c r="C638" s="30" t="n">
        <v>45768</v>
      </c>
      <c r="D638" s="1" t="inlineStr">
        <is>
          <t>ADELAIDE</t>
        </is>
      </c>
      <c r="E638" s="12" t="inlineStr">
        <is>
          <t>IND/MEL/00637</t>
        </is>
      </c>
      <c r="F638" s="1" t="inlineStr">
        <is>
          <t>M</t>
        </is>
      </c>
      <c r="G638" s="1" t="inlineStr">
        <is>
          <t>Aren Sindale</t>
        </is>
      </c>
      <c r="H638" s="1" t="inlineStr">
        <is>
          <t>Alya Sindale</t>
        </is>
      </c>
      <c r="I638" s="30" t="n">
        <v>45805</v>
      </c>
      <c r="J638" s="1" t="inlineStr">
        <is>
          <t>28 Birchwood Lane</t>
        </is>
      </c>
      <c r="K638" s="1" t="inlineStr">
        <is>
          <t>Emerald Road</t>
        </is>
      </c>
      <c r="L638" s="1" t="inlineStr">
        <is>
          <t>PIN:703922 ADELAIDE</t>
        </is>
      </c>
      <c r="M638" s="2" t="inlineStr">
        <is>
          <t>MHA/IND/00641</t>
        </is>
      </c>
      <c r="N638" s="30" t="n">
        <v>45870</v>
      </c>
    </row>
    <row r="639">
      <c r="A639" s="28" t="n">
        <v>638</v>
      </c>
      <c r="B639" s="1" t="inlineStr">
        <is>
          <t>ANYA VALZARI</t>
        </is>
      </c>
      <c r="C639" s="30" t="n">
        <v>45701</v>
      </c>
      <c r="D639" s="1" t="inlineStr">
        <is>
          <t>TOOWOOMBA</t>
        </is>
      </c>
      <c r="E639" s="12" t="inlineStr">
        <is>
          <t>IND/MEL/00638</t>
        </is>
      </c>
      <c r="F639" s="1" t="inlineStr">
        <is>
          <t>F</t>
        </is>
      </c>
      <c r="G639" s="1" t="inlineStr">
        <is>
          <t>Arjun Sharma</t>
        </is>
      </c>
      <c r="H639" s="1" t="inlineStr">
        <is>
          <t>Alya Sharma</t>
        </is>
      </c>
      <c r="I639" s="30" t="n">
        <v>45738</v>
      </c>
      <c r="J639" s="1" t="inlineStr">
        <is>
          <t>185 Birchwood Lane</t>
        </is>
      </c>
      <c r="K639" s="1" t="inlineStr">
        <is>
          <t>Emerald Road</t>
        </is>
      </c>
      <c r="L639" s="1" t="inlineStr">
        <is>
          <t>PIN:926264 TOOWOOMBA</t>
        </is>
      </c>
      <c r="M639" s="2" t="inlineStr">
        <is>
          <t>MHA/IND/00642</t>
        </is>
      </c>
      <c r="N639" s="30" t="n">
        <v>45879</v>
      </c>
    </row>
    <row r="640">
      <c r="A640" s="28" t="n">
        <v>639</v>
      </c>
      <c r="B640" s="1" t="inlineStr">
        <is>
          <t>DEV MYRTHOS</t>
        </is>
      </c>
      <c r="C640" s="30" t="n">
        <v>45709</v>
      </c>
      <c r="D640" s="1" t="inlineStr">
        <is>
          <t>PERTH</t>
        </is>
      </c>
      <c r="E640" s="12" t="inlineStr">
        <is>
          <t>IND/MEL/00639</t>
        </is>
      </c>
      <c r="F640" s="1" t="inlineStr">
        <is>
          <t>M</t>
        </is>
      </c>
      <c r="G640" s="1" t="inlineStr">
        <is>
          <t>Arjun Sindale</t>
        </is>
      </c>
      <c r="H640" s="1" t="inlineStr">
        <is>
          <t>Sara Sindale</t>
        </is>
      </c>
      <c r="I640" s="30" t="n">
        <v>45797</v>
      </c>
      <c r="J640" s="1" t="inlineStr">
        <is>
          <t>166 Birchwood Lane</t>
        </is>
      </c>
      <c r="K640" s="1" t="inlineStr">
        <is>
          <t>Emerald Road</t>
        </is>
      </c>
      <c r="L640" s="1" t="inlineStr">
        <is>
          <t>PIN:836568 PERTH</t>
        </is>
      </c>
      <c r="M640" s="2" t="inlineStr">
        <is>
          <t>MHA/IND/00643</t>
        </is>
      </c>
      <c r="N640" s="30" t="n">
        <v>45844</v>
      </c>
    </row>
    <row r="641">
      <c r="A641" s="28" t="n">
        <v>640</v>
      </c>
      <c r="B641" s="1" t="inlineStr">
        <is>
          <t>NINA MYRTHOS</t>
        </is>
      </c>
      <c r="C641" s="30" t="n">
        <v>45811</v>
      </c>
      <c r="D641" s="1" t="inlineStr">
        <is>
          <t>NEWCASTLE</t>
        </is>
      </c>
      <c r="E641" s="12" t="inlineStr">
        <is>
          <t>IND/MEL/00640</t>
        </is>
      </c>
      <c r="F641" s="1" t="inlineStr">
        <is>
          <t>F</t>
        </is>
      </c>
      <c r="G641" s="1" t="inlineStr">
        <is>
          <t>Ishan Rao</t>
        </is>
      </c>
      <c r="H641" s="1" t="inlineStr">
        <is>
          <t>Diya Rao</t>
        </is>
      </c>
      <c r="I641" s="30" t="n">
        <v>45898</v>
      </c>
      <c r="J641" s="1" t="inlineStr">
        <is>
          <t>190 Birchwood Lane</t>
        </is>
      </c>
      <c r="K641" s="1" t="inlineStr">
        <is>
          <t>Emerald Road</t>
        </is>
      </c>
      <c r="L641" s="1" t="inlineStr">
        <is>
          <t>PIN:596001 NEWCASTLE</t>
        </is>
      </c>
      <c r="M641" s="2" t="inlineStr">
        <is>
          <t>MHA/IND/00644</t>
        </is>
      </c>
      <c r="N641" s="30" t="n">
        <v>45898</v>
      </c>
    </row>
    <row r="642">
      <c r="A642" s="28" t="n">
        <v>641</v>
      </c>
      <c r="B642" s="1" t="inlineStr">
        <is>
          <t>ARJUN SINDALE</t>
        </is>
      </c>
      <c r="C642" s="30" t="n">
        <v>45699</v>
      </c>
      <c r="D642" s="1" t="inlineStr">
        <is>
          <t>SHEPPARTON</t>
        </is>
      </c>
      <c r="E642" s="12" t="inlineStr">
        <is>
          <t>IND/MEL/00641</t>
        </is>
      </c>
      <c r="F642" s="1" t="inlineStr">
        <is>
          <t>M</t>
        </is>
      </c>
      <c r="G642" s="1" t="inlineStr">
        <is>
          <t>Kabir Sindale</t>
        </is>
      </c>
      <c r="H642" s="1" t="inlineStr">
        <is>
          <t>Tara Sindale</t>
        </is>
      </c>
      <c r="I642" s="30" t="n">
        <v>45721</v>
      </c>
      <c r="J642" s="1" t="inlineStr">
        <is>
          <t>189 Birchwood Lane</t>
        </is>
      </c>
      <c r="K642" s="1" t="inlineStr">
        <is>
          <t>Emerald Road</t>
        </is>
      </c>
      <c r="L642" s="1" t="inlineStr">
        <is>
          <t>PIN:454480 SHEPPARTON</t>
        </is>
      </c>
      <c r="M642" s="2" t="inlineStr">
        <is>
          <t>MHA/IND/00645</t>
        </is>
      </c>
      <c r="N642" s="30" t="n">
        <v>45853</v>
      </c>
    </row>
    <row r="643">
      <c r="A643" s="28" t="n">
        <v>642</v>
      </c>
      <c r="B643" s="1" t="inlineStr">
        <is>
          <t>DIYA SHARMA</t>
        </is>
      </c>
      <c r="C643" s="30" t="n">
        <v>45945</v>
      </c>
      <c r="D643" s="1" t="inlineStr">
        <is>
          <t>MOUNT WAVERLEY</t>
        </is>
      </c>
      <c r="E643" s="12" t="inlineStr">
        <is>
          <t>IND/MEL/00642</t>
        </is>
      </c>
      <c r="F643" s="1" t="inlineStr">
        <is>
          <t>M</t>
        </is>
      </c>
      <c r="G643" s="1" t="inlineStr">
        <is>
          <t>Aren Kaleon</t>
        </is>
      </c>
      <c r="H643" s="1" t="inlineStr">
        <is>
          <t>Nina Kaleon</t>
        </is>
      </c>
      <c r="I643" s="30" t="n">
        <v>46061</v>
      </c>
      <c r="J643" s="1" t="inlineStr">
        <is>
          <t>137 Birchwood Lane</t>
        </is>
      </c>
      <c r="K643" s="1" t="inlineStr">
        <is>
          <t>Emerald Road</t>
        </is>
      </c>
      <c r="L643" s="1" t="inlineStr">
        <is>
          <t>PIN:600100 MOUNT WAVERLEY</t>
        </is>
      </c>
      <c r="M643" s="2" t="inlineStr">
        <is>
          <t>MHA/IND/00646</t>
        </is>
      </c>
      <c r="N643" s="30" t="n">
        <v>45841</v>
      </c>
    </row>
    <row r="644">
      <c r="A644" s="28" t="n">
        <v>643</v>
      </c>
      <c r="B644" s="1" t="inlineStr">
        <is>
          <t>ISHAN SINDALE</t>
        </is>
      </c>
      <c r="C644" s="30" t="n">
        <v>45736</v>
      </c>
      <c r="D644" s="1" t="inlineStr">
        <is>
          <t>DEVONPORT</t>
        </is>
      </c>
      <c r="E644" s="12" t="inlineStr">
        <is>
          <t>IND/MEL/00643</t>
        </is>
      </c>
      <c r="F644" s="1" t="inlineStr">
        <is>
          <t>M</t>
        </is>
      </c>
      <c r="G644" s="1" t="inlineStr">
        <is>
          <t>Arjun Myrthos</t>
        </is>
      </c>
      <c r="H644" s="1" t="inlineStr">
        <is>
          <t>Mira Myrthos</t>
        </is>
      </c>
      <c r="I644" s="30" t="n">
        <v>45837</v>
      </c>
      <c r="J644" s="1" t="inlineStr">
        <is>
          <t>125 Birchwood Lane</t>
        </is>
      </c>
      <c r="K644" s="1" t="inlineStr">
        <is>
          <t>Emerald Road</t>
        </is>
      </c>
      <c r="L644" s="1" t="inlineStr">
        <is>
          <t>PIN:206474 DEVONPORT</t>
        </is>
      </c>
      <c r="M644" s="2" t="inlineStr">
        <is>
          <t>MHA/IND/00647</t>
        </is>
      </c>
      <c r="N644" s="30" t="n">
        <v>45851</v>
      </c>
    </row>
    <row r="645">
      <c r="A645" s="28" t="n">
        <v>644</v>
      </c>
      <c r="B645" s="1" t="inlineStr">
        <is>
          <t>ALYA RAO</t>
        </is>
      </c>
      <c r="C645" s="30" t="n">
        <v>45828</v>
      </c>
      <c r="D645" s="1" t="inlineStr">
        <is>
          <t>BENDIGO</t>
        </is>
      </c>
      <c r="E645" s="12" t="inlineStr">
        <is>
          <t>IND/MEL/00644</t>
        </is>
      </c>
      <c r="F645" s="1" t="inlineStr">
        <is>
          <t>M</t>
        </is>
      </c>
      <c r="G645" s="1" t="inlineStr">
        <is>
          <t>Aren Myrthos</t>
        </is>
      </c>
      <c r="H645" s="1" t="inlineStr">
        <is>
          <t>Anya Myrthos</t>
        </is>
      </c>
      <c r="I645" s="30" t="n">
        <v>45844</v>
      </c>
      <c r="J645" s="1" t="inlineStr">
        <is>
          <t>153 Birchwood Lane</t>
        </is>
      </c>
      <c r="K645" s="1" t="inlineStr">
        <is>
          <t>Emerald Road</t>
        </is>
      </c>
      <c r="L645" s="1" t="inlineStr">
        <is>
          <t>PIN:734089 BENDIGO</t>
        </is>
      </c>
      <c r="M645" s="2" t="inlineStr">
        <is>
          <t>MHA/IND/00648</t>
        </is>
      </c>
      <c r="N645" s="30" t="n">
        <v>45849</v>
      </c>
    </row>
    <row r="646">
      <c r="A646" s="28" t="n">
        <v>645</v>
      </c>
      <c r="B646" s="1" t="inlineStr">
        <is>
          <t>ISHAN SINDALE</t>
        </is>
      </c>
      <c r="C646" s="30" t="n">
        <v>45838</v>
      </c>
      <c r="D646" s="1" t="inlineStr">
        <is>
          <t>SHEPPARTON</t>
        </is>
      </c>
      <c r="E646" s="12" t="inlineStr">
        <is>
          <t>IND/MEL/00645</t>
        </is>
      </c>
      <c r="F646" s="1" t="inlineStr">
        <is>
          <t>M</t>
        </is>
      </c>
      <c r="G646" s="1" t="inlineStr">
        <is>
          <t>Kiran Sindale</t>
        </is>
      </c>
      <c r="H646" s="1" t="inlineStr">
        <is>
          <t>Tara Sindale</t>
        </is>
      </c>
      <c r="I646" s="30" t="n">
        <v>45918</v>
      </c>
      <c r="J646" s="1" t="inlineStr">
        <is>
          <t>62 Birchwood Lane</t>
        </is>
      </c>
      <c r="K646" s="1" t="inlineStr">
        <is>
          <t>Emerald Road</t>
        </is>
      </c>
      <c r="L646" s="1" t="inlineStr">
        <is>
          <t>PIN:334715 SHEPPARTON</t>
        </is>
      </c>
      <c r="M646" s="2" t="inlineStr">
        <is>
          <t>MHA/IND/00649</t>
        </is>
      </c>
      <c r="N646" s="30" t="n">
        <v>45883</v>
      </c>
    </row>
    <row r="647">
      <c r="A647" s="28" t="n">
        <v>646</v>
      </c>
      <c r="B647" s="1" t="inlineStr">
        <is>
          <t>ISHAN KALEON</t>
        </is>
      </c>
      <c r="C647" s="30" t="n">
        <v>45900</v>
      </c>
      <c r="D647" s="1" t="inlineStr">
        <is>
          <t>WODONGA</t>
        </is>
      </c>
      <c r="E647" s="12" t="inlineStr">
        <is>
          <t>IND/MEL/00646</t>
        </is>
      </c>
      <c r="F647" s="1" t="inlineStr">
        <is>
          <t>M</t>
        </is>
      </c>
      <c r="G647" s="1" t="inlineStr">
        <is>
          <t>Dev Sharma</t>
        </is>
      </c>
      <c r="H647" s="1" t="inlineStr">
        <is>
          <t>Riya Sharma</t>
        </is>
      </c>
      <c r="I647" s="30" t="n">
        <v>45984</v>
      </c>
      <c r="J647" s="1" t="inlineStr">
        <is>
          <t>93 Birchwood Lane</t>
        </is>
      </c>
      <c r="K647" s="1" t="inlineStr">
        <is>
          <t>Emerald Road</t>
        </is>
      </c>
      <c r="L647" s="1" t="inlineStr">
        <is>
          <t>PIN:490957 WODONGA</t>
        </is>
      </c>
      <c r="M647" s="2" t="inlineStr">
        <is>
          <t>MHA/IND/00650</t>
        </is>
      </c>
      <c r="N647" s="30" t="n">
        <v>45843</v>
      </c>
    </row>
    <row r="648">
      <c r="A648" s="28" t="n">
        <v>647</v>
      </c>
      <c r="B648" s="1" t="inlineStr">
        <is>
          <t>KIRAN MYRTHOS</t>
        </is>
      </c>
      <c r="C648" s="30" t="n">
        <v>45953</v>
      </c>
      <c r="D648" s="1" t="inlineStr">
        <is>
          <t>PENRITH</t>
        </is>
      </c>
      <c r="E648" s="12" t="inlineStr">
        <is>
          <t>IND/MEL/00647</t>
        </is>
      </c>
      <c r="F648" s="1" t="inlineStr">
        <is>
          <t>F</t>
        </is>
      </c>
      <c r="G648" s="1" t="inlineStr">
        <is>
          <t>Neil Rao</t>
        </is>
      </c>
      <c r="H648" s="1" t="inlineStr">
        <is>
          <t>Mira Rao</t>
        </is>
      </c>
      <c r="I648" s="30" t="n">
        <v>45959</v>
      </c>
      <c r="J648" s="1" t="inlineStr">
        <is>
          <t>159 Birchwood Lane</t>
        </is>
      </c>
      <c r="K648" s="1" t="inlineStr">
        <is>
          <t>Emerald Road</t>
        </is>
      </c>
      <c r="L648" s="1" t="inlineStr">
        <is>
          <t>PIN:895389 PENRITH</t>
        </is>
      </c>
      <c r="M648" s="2" t="inlineStr">
        <is>
          <t>MHA/IND/00651</t>
        </is>
      </c>
      <c r="N648" s="30" t="n">
        <v>45862</v>
      </c>
    </row>
    <row r="649">
      <c r="A649" s="28" t="n">
        <v>648</v>
      </c>
      <c r="B649" s="1" t="inlineStr">
        <is>
          <t>ISHAN MYRTHOS</t>
        </is>
      </c>
      <c r="C649" s="30" t="n">
        <v>45774</v>
      </c>
      <c r="D649" s="1" t="inlineStr">
        <is>
          <t>WODONGA</t>
        </is>
      </c>
      <c r="E649" s="12" t="inlineStr">
        <is>
          <t>IND/MEL/00648</t>
        </is>
      </c>
      <c r="F649" s="1" t="inlineStr">
        <is>
          <t>F</t>
        </is>
      </c>
      <c r="G649" s="1" t="inlineStr">
        <is>
          <t>Ishan Kaleon</t>
        </is>
      </c>
      <c r="H649" s="1" t="inlineStr">
        <is>
          <t>Alya Kaleon</t>
        </is>
      </c>
      <c r="I649" s="30" t="n">
        <v>45805</v>
      </c>
      <c r="J649" s="1" t="inlineStr">
        <is>
          <t>21 Birchwood Lane</t>
        </is>
      </c>
      <c r="K649" s="1" t="inlineStr">
        <is>
          <t>Emerald Road</t>
        </is>
      </c>
      <c r="L649" s="1" t="inlineStr">
        <is>
          <t>PIN:899035 WODONGA</t>
        </is>
      </c>
      <c r="M649" s="2" t="inlineStr">
        <is>
          <t>MHA/IND/00652</t>
        </is>
      </c>
      <c r="N649" s="30" t="n">
        <v>45844</v>
      </c>
    </row>
    <row r="650">
      <c r="A650" s="28" t="n">
        <v>649</v>
      </c>
      <c r="B650" s="1" t="inlineStr">
        <is>
          <t>AREN SINDALE</t>
        </is>
      </c>
      <c r="C650" s="30" t="n">
        <v>45936</v>
      </c>
      <c r="D650" s="1" t="inlineStr">
        <is>
          <t>IPSWICH</t>
        </is>
      </c>
      <c r="E650" s="12" t="inlineStr">
        <is>
          <t>IND/MEL/00649</t>
        </is>
      </c>
      <c r="F650" s="1" t="inlineStr">
        <is>
          <t>F</t>
        </is>
      </c>
      <c r="G650" s="1" t="inlineStr">
        <is>
          <t>Neil Rao</t>
        </is>
      </c>
      <c r="H650" s="1" t="inlineStr">
        <is>
          <t>Diya Rao</t>
        </is>
      </c>
      <c r="I650" s="30" t="n">
        <v>45992</v>
      </c>
      <c r="J650" s="1" t="inlineStr">
        <is>
          <t>125 Birchwood Lane</t>
        </is>
      </c>
      <c r="K650" s="1" t="inlineStr">
        <is>
          <t>Emerald Road</t>
        </is>
      </c>
      <c r="L650" s="1" t="inlineStr">
        <is>
          <t>PIN:344922 IPSWICH</t>
        </is>
      </c>
      <c r="M650" s="2" t="inlineStr">
        <is>
          <t>MHA/IND/00653</t>
        </is>
      </c>
      <c r="N650" s="30" t="n">
        <v>45890</v>
      </c>
    </row>
    <row r="651">
      <c r="A651" s="28" t="n">
        <v>650</v>
      </c>
      <c r="B651" s="1" t="inlineStr">
        <is>
          <t>ARJUN SHARMA</t>
        </is>
      </c>
      <c r="C651" s="30" t="n">
        <v>45743</v>
      </c>
      <c r="D651" s="1" t="inlineStr">
        <is>
          <t>BERWICK</t>
        </is>
      </c>
      <c r="E651" s="12" t="inlineStr">
        <is>
          <t>IND/MEL/00650</t>
        </is>
      </c>
      <c r="F651" s="1" t="inlineStr">
        <is>
          <t>F</t>
        </is>
      </c>
      <c r="G651" s="1" t="inlineStr">
        <is>
          <t>Arjun Kaleon</t>
        </is>
      </c>
      <c r="H651" s="1" t="inlineStr">
        <is>
          <t>Anya Kaleon</t>
        </is>
      </c>
      <c r="I651" s="30" t="n">
        <v>45754</v>
      </c>
      <c r="J651" s="1" t="inlineStr">
        <is>
          <t>68 Birchwood Lane</t>
        </is>
      </c>
      <c r="K651" s="1" t="inlineStr">
        <is>
          <t>Emerald Road</t>
        </is>
      </c>
      <c r="L651" s="1" t="inlineStr">
        <is>
          <t>PIN:360661 BERWICK</t>
        </is>
      </c>
      <c r="M651" s="2" t="inlineStr">
        <is>
          <t>MHA/IND/00654</t>
        </is>
      </c>
      <c r="N651" s="30" t="n">
        <v>45846</v>
      </c>
    </row>
    <row r="652">
      <c r="A652" s="28" t="n">
        <v>651</v>
      </c>
      <c r="B652" s="1" t="inlineStr">
        <is>
          <t>ALYA RAO</t>
        </is>
      </c>
      <c r="C652" s="30" t="n">
        <v>45950</v>
      </c>
      <c r="D652" s="1" t="inlineStr">
        <is>
          <t>CANBERRA</t>
        </is>
      </c>
      <c r="E652" s="12" t="inlineStr">
        <is>
          <t>IND/MEL/00651</t>
        </is>
      </c>
      <c r="F652" s="1" t="inlineStr">
        <is>
          <t>F</t>
        </is>
      </c>
      <c r="G652" s="1" t="inlineStr">
        <is>
          <t>Arjun Myrthos</t>
        </is>
      </c>
      <c r="H652" s="1" t="inlineStr">
        <is>
          <t>Nina Myrthos</t>
        </is>
      </c>
      <c r="I652" s="30" t="n">
        <v>45969</v>
      </c>
      <c r="J652" s="1" t="inlineStr">
        <is>
          <t>196 Birchwood Lane</t>
        </is>
      </c>
      <c r="K652" s="1" t="inlineStr">
        <is>
          <t>Emerald Road</t>
        </is>
      </c>
      <c r="L652" s="1" t="inlineStr">
        <is>
          <t>PIN:308984 CANBERRA</t>
        </is>
      </c>
      <c r="M652" s="2" t="inlineStr">
        <is>
          <t>MHA/IND/00655</t>
        </is>
      </c>
      <c r="N652" s="30" t="n">
        <v>45845</v>
      </c>
    </row>
    <row r="653">
      <c r="A653" s="28" t="n">
        <v>652</v>
      </c>
      <c r="B653" s="1" t="inlineStr">
        <is>
          <t>DIYA KALEON</t>
        </is>
      </c>
      <c r="C653" s="30" t="n">
        <v>45659</v>
      </c>
      <c r="D653" s="1" t="inlineStr">
        <is>
          <t>CLAYTON</t>
        </is>
      </c>
      <c r="E653" s="12" t="inlineStr">
        <is>
          <t>IND/MEL/00652</t>
        </is>
      </c>
      <c r="F653" s="1" t="inlineStr">
        <is>
          <t>F</t>
        </is>
      </c>
      <c r="G653" s="1" t="inlineStr">
        <is>
          <t>Aren Kaleon</t>
        </is>
      </c>
      <c r="H653" s="1" t="inlineStr">
        <is>
          <t>Alya Kaleon</t>
        </is>
      </c>
      <c r="I653" s="30" t="n">
        <v>45686</v>
      </c>
      <c r="J653" s="1" t="inlineStr">
        <is>
          <t>37 Birchwood Lane</t>
        </is>
      </c>
      <c r="K653" s="1" t="inlineStr">
        <is>
          <t>Emerald Road</t>
        </is>
      </c>
      <c r="L653" s="1" t="inlineStr">
        <is>
          <t>PIN:907143 CLAYTON</t>
        </is>
      </c>
      <c r="M653" s="2" t="inlineStr">
        <is>
          <t>MHA/IND/00656</t>
        </is>
      </c>
      <c r="N653" s="30" t="n">
        <v>45898</v>
      </c>
    </row>
    <row r="654">
      <c r="A654" s="28" t="n">
        <v>653</v>
      </c>
      <c r="B654" s="1" t="inlineStr">
        <is>
          <t>ANYA RAO</t>
        </is>
      </c>
      <c r="C654" s="30" t="n">
        <v>45841</v>
      </c>
      <c r="D654" s="1" t="inlineStr">
        <is>
          <t>BRISBANE</t>
        </is>
      </c>
      <c r="E654" s="12" t="inlineStr">
        <is>
          <t>IND/MEL/00653</t>
        </is>
      </c>
      <c r="F654" s="1" t="inlineStr">
        <is>
          <t>F</t>
        </is>
      </c>
      <c r="G654" s="1" t="inlineStr">
        <is>
          <t>Aren Myrthos</t>
        </is>
      </c>
      <c r="H654" s="1" t="inlineStr">
        <is>
          <t>Sara Myrthos</t>
        </is>
      </c>
      <c r="I654" s="30" t="n">
        <v>45924</v>
      </c>
      <c r="J654" s="1" t="inlineStr">
        <is>
          <t>78 Birchwood Lane</t>
        </is>
      </c>
      <c r="K654" s="1" t="inlineStr">
        <is>
          <t>Emerald Road</t>
        </is>
      </c>
      <c r="L654" s="1" t="inlineStr">
        <is>
          <t>PIN:350260 BRISBANE</t>
        </is>
      </c>
      <c r="M654" s="2" t="inlineStr">
        <is>
          <t>MHA/IND/00657</t>
        </is>
      </c>
      <c r="N654" s="30" t="n">
        <v>45877</v>
      </c>
    </row>
    <row r="655">
      <c r="A655" s="28" t="n">
        <v>654</v>
      </c>
      <c r="B655" s="1" t="inlineStr">
        <is>
          <t>NINA KALEON</t>
        </is>
      </c>
      <c r="C655" s="30" t="n">
        <v>45835</v>
      </c>
      <c r="D655" s="1" t="inlineStr">
        <is>
          <t>KINGSWOOD</t>
        </is>
      </c>
      <c r="E655" s="12" t="inlineStr">
        <is>
          <t>IND/MEL/00654</t>
        </is>
      </c>
      <c r="F655" s="1" t="inlineStr">
        <is>
          <t>M</t>
        </is>
      </c>
      <c r="G655" s="1" t="inlineStr">
        <is>
          <t>Kiran Kaleon</t>
        </is>
      </c>
      <c r="H655" s="1" t="inlineStr">
        <is>
          <t>Diya Kaleon</t>
        </is>
      </c>
      <c r="I655" s="30" t="n">
        <v>45893</v>
      </c>
      <c r="J655" s="1" t="inlineStr">
        <is>
          <t>112 Birchwood Lane</t>
        </is>
      </c>
      <c r="K655" s="1" t="inlineStr">
        <is>
          <t>Emerald Road</t>
        </is>
      </c>
      <c r="L655" s="1" t="inlineStr">
        <is>
          <t>PIN:337234 KINGSWOOD</t>
        </is>
      </c>
      <c r="M655" s="2" t="inlineStr">
        <is>
          <t>MHA/IND/00658</t>
        </is>
      </c>
      <c r="N655" s="30" t="n">
        <v>45872</v>
      </c>
    </row>
    <row r="656">
      <c r="A656" s="28" t="n">
        <v>655</v>
      </c>
      <c r="B656" s="1" t="inlineStr">
        <is>
          <t>ANYA MYRTHOS</t>
        </is>
      </c>
      <c r="C656" s="30" t="n">
        <v>45926</v>
      </c>
      <c r="D656" s="1" t="inlineStr">
        <is>
          <t>CAMPBELLTOWN</t>
        </is>
      </c>
      <c r="E656" s="12" t="inlineStr">
        <is>
          <t>IND/MEL/00655</t>
        </is>
      </c>
      <c r="F656" s="1" t="inlineStr">
        <is>
          <t>M</t>
        </is>
      </c>
      <c r="G656" s="1" t="inlineStr">
        <is>
          <t>Arjun Sharma</t>
        </is>
      </c>
      <c r="H656" s="1" t="inlineStr">
        <is>
          <t>Mira Sharma</t>
        </is>
      </c>
      <c r="I656" s="30" t="n">
        <v>45969</v>
      </c>
      <c r="J656" s="1" t="inlineStr">
        <is>
          <t>84 Birchwood Lane</t>
        </is>
      </c>
      <c r="K656" s="1" t="inlineStr">
        <is>
          <t>Emerald Road</t>
        </is>
      </c>
      <c r="L656" s="1" t="inlineStr">
        <is>
          <t>PIN:403707 CAMPBELLTOWN</t>
        </is>
      </c>
      <c r="M656" s="2" t="inlineStr">
        <is>
          <t>MHA/IND/00659</t>
        </is>
      </c>
      <c r="N656" s="30" t="n">
        <v>45840</v>
      </c>
    </row>
    <row r="657">
      <c r="A657" s="28" t="n">
        <v>656</v>
      </c>
      <c r="B657" s="1" t="inlineStr">
        <is>
          <t>ANYA KALEON</t>
        </is>
      </c>
      <c r="C657" s="30" t="n">
        <v>45663</v>
      </c>
      <c r="D657" s="1" t="inlineStr">
        <is>
          <t>BERWICK</t>
        </is>
      </c>
      <c r="E657" s="12" t="inlineStr">
        <is>
          <t>IND/MEL/00656</t>
        </is>
      </c>
      <c r="F657" s="1" t="inlineStr">
        <is>
          <t>F</t>
        </is>
      </c>
      <c r="G657" s="1" t="inlineStr">
        <is>
          <t>Arjun Rishkan</t>
        </is>
      </c>
      <c r="H657" s="1" t="inlineStr">
        <is>
          <t>Mira Rishkan</t>
        </is>
      </c>
      <c r="I657" s="30" t="n">
        <v>45730</v>
      </c>
      <c r="J657" s="1" t="inlineStr">
        <is>
          <t>61 Birchwood Lane</t>
        </is>
      </c>
      <c r="K657" s="1" t="inlineStr">
        <is>
          <t>Emerald Road</t>
        </is>
      </c>
      <c r="L657" s="1" t="inlineStr">
        <is>
          <t>PIN:379882 BERWICK</t>
        </is>
      </c>
      <c r="M657" s="2" t="inlineStr">
        <is>
          <t>MHA/IND/00660</t>
        </is>
      </c>
      <c r="N657" s="30" t="n">
        <v>45858</v>
      </c>
    </row>
    <row r="658">
      <c r="A658" s="28" t="n">
        <v>657</v>
      </c>
      <c r="B658" s="1" t="inlineStr">
        <is>
          <t>RIYA MYRTHOS</t>
        </is>
      </c>
      <c r="C658" s="30" t="n">
        <v>45706</v>
      </c>
      <c r="D658" s="1" t="inlineStr">
        <is>
          <t>PERTH</t>
        </is>
      </c>
      <c r="E658" s="12" t="inlineStr">
        <is>
          <t>IND/MEL/00657</t>
        </is>
      </c>
      <c r="F658" s="1" t="inlineStr">
        <is>
          <t>M</t>
        </is>
      </c>
      <c r="G658" s="1" t="inlineStr">
        <is>
          <t>Arjun Rao</t>
        </is>
      </c>
      <c r="H658" s="1" t="inlineStr">
        <is>
          <t>Mira Rao</t>
        </is>
      </c>
      <c r="I658" s="30" t="n">
        <v>45815</v>
      </c>
      <c r="J658" s="1" t="inlineStr">
        <is>
          <t>15 Birchwood Lane</t>
        </is>
      </c>
      <c r="K658" s="1" t="inlineStr">
        <is>
          <t>Emerald Road</t>
        </is>
      </c>
      <c r="L658" s="1" t="inlineStr">
        <is>
          <t>PIN:909065 PERTH</t>
        </is>
      </c>
      <c r="M658" s="2" t="inlineStr">
        <is>
          <t>MHA/IND/00661</t>
        </is>
      </c>
      <c r="N658" s="30" t="n">
        <v>45859</v>
      </c>
    </row>
    <row r="659">
      <c r="A659" s="28" t="n">
        <v>658</v>
      </c>
      <c r="B659" s="1" t="inlineStr">
        <is>
          <t>NEIL KALEON</t>
        </is>
      </c>
      <c r="C659" s="30" t="n">
        <v>45854</v>
      </c>
      <c r="D659" s="1" t="inlineStr">
        <is>
          <t>TRARALGON</t>
        </is>
      </c>
      <c r="E659" s="12" t="inlineStr">
        <is>
          <t>IND/MEL/00658</t>
        </is>
      </c>
      <c r="F659" s="1" t="inlineStr">
        <is>
          <t>F</t>
        </is>
      </c>
      <c r="G659" s="1" t="inlineStr">
        <is>
          <t>Rohit Sharma</t>
        </is>
      </c>
      <c r="H659" s="1" t="inlineStr">
        <is>
          <t>Anya Sharma</t>
        </is>
      </c>
      <c r="I659" s="30" t="n">
        <v>45971</v>
      </c>
      <c r="J659" s="1" t="inlineStr">
        <is>
          <t>105 Birchwood Lane</t>
        </is>
      </c>
      <c r="K659" s="1" t="inlineStr">
        <is>
          <t>Emerald Road</t>
        </is>
      </c>
      <c r="L659" s="1" t="inlineStr">
        <is>
          <t>PIN:749689 TRARALGON</t>
        </is>
      </c>
      <c r="M659" s="2" t="inlineStr">
        <is>
          <t>MHA/IND/00662</t>
        </is>
      </c>
      <c r="N659" s="30" t="n">
        <v>45846</v>
      </c>
    </row>
    <row r="660">
      <c r="A660" s="28" t="n">
        <v>659</v>
      </c>
      <c r="B660" s="1" t="inlineStr">
        <is>
          <t>KABIR SHARMA</t>
        </is>
      </c>
      <c r="C660" s="30" t="n">
        <v>45946</v>
      </c>
      <c r="D660" s="1" t="inlineStr">
        <is>
          <t>BRISBANE</t>
        </is>
      </c>
      <c r="E660" s="12" t="inlineStr">
        <is>
          <t>IND/MEL/00659</t>
        </is>
      </c>
      <c r="F660" s="1" t="inlineStr">
        <is>
          <t>F</t>
        </is>
      </c>
      <c r="G660" s="1" t="inlineStr">
        <is>
          <t>Ishan Kaleon</t>
        </is>
      </c>
      <c r="H660" s="1" t="inlineStr">
        <is>
          <t>Nina Kaleon</t>
        </is>
      </c>
      <c r="I660" s="30" t="n">
        <v>46009</v>
      </c>
      <c r="J660" s="1" t="inlineStr">
        <is>
          <t>151 Birchwood Lane</t>
        </is>
      </c>
      <c r="K660" s="1" t="inlineStr">
        <is>
          <t>Emerald Road</t>
        </is>
      </c>
      <c r="L660" s="1" t="inlineStr">
        <is>
          <t>PIN:690803 BRISBANE</t>
        </is>
      </c>
      <c r="M660" s="2" t="inlineStr">
        <is>
          <t>MHA/IND/00663</t>
        </is>
      </c>
      <c r="N660" s="30" t="n">
        <v>45896</v>
      </c>
    </row>
    <row r="661">
      <c r="A661" s="28" t="n">
        <v>660</v>
      </c>
      <c r="B661" s="1" t="inlineStr">
        <is>
          <t>ANYA RISHKAN</t>
        </is>
      </c>
      <c r="C661" s="30" t="n">
        <v>45940</v>
      </c>
      <c r="D661" s="1" t="inlineStr">
        <is>
          <t>GEELONG</t>
        </is>
      </c>
      <c r="E661" s="12" t="inlineStr">
        <is>
          <t>IND/MEL/00660</t>
        </is>
      </c>
      <c r="F661" s="1" t="inlineStr">
        <is>
          <t>M</t>
        </is>
      </c>
      <c r="G661" s="1" t="inlineStr">
        <is>
          <t>Neil Rao</t>
        </is>
      </c>
      <c r="H661" s="1" t="inlineStr">
        <is>
          <t>Riya Rao</t>
        </is>
      </c>
      <c r="I661" s="30" t="n">
        <v>46053</v>
      </c>
      <c r="J661" s="1" t="inlineStr">
        <is>
          <t>28 Birchwood Lane</t>
        </is>
      </c>
      <c r="K661" s="1" t="inlineStr">
        <is>
          <t>Emerald Road</t>
        </is>
      </c>
      <c r="L661" s="1" t="inlineStr">
        <is>
          <t>PIN:862049 GEELONG</t>
        </is>
      </c>
      <c r="M661" s="2" t="inlineStr">
        <is>
          <t>MHA/IND/00664</t>
        </is>
      </c>
      <c r="N661" s="30" t="n">
        <v>45848</v>
      </c>
    </row>
    <row r="662">
      <c r="A662" s="28" t="n">
        <v>661</v>
      </c>
      <c r="B662" s="1" t="inlineStr">
        <is>
          <t>ISHAN RAO</t>
        </is>
      </c>
      <c r="C662" s="30" t="n">
        <v>45698</v>
      </c>
      <c r="D662" s="1" t="inlineStr">
        <is>
          <t>WONTHAGGI</t>
        </is>
      </c>
      <c r="E662" s="12" t="inlineStr">
        <is>
          <t>IND/MEL/00661</t>
        </is>
      </c>
      <c r="F662" s="1" t="inlineStr">
        <is>
          <t>M</t>
        </is>
      </c>
      <c r="G662" s="1" t="inlineStr">
        <is>
          <t>Aren Sharma</t>
        </is>
      </c>
      <c r="H662" s="1" t="inlineStr">
        <is>
          <t>Tara Sharma</t>
        </is>
      </c>
      <c r="I662" s="30" t="n">
        <v>45746</v>
      </c>
      <c r="J662" s="1" t="inlineStr">
        <is>
          <t>49 Birchwood Lane</t>
        </is>
      </c>
      <c r="K662" s="1" t="inlineStr">
        <is>
          <t>Emerald Road</t>
        </is>
      </c>
      <c r="L662" s="1" t="inlineStr">
        <is>
          <t>PIN:481640 WONTHAGGI</t>
        </is>
      </c>
      <c r="M662" s="2" t="inlineStr">
        <is>
          <t>MHA/IND/00665</t>
        </is>
      </c>
      <c r="N662" s="30" t="n">
        <v>45884</v>
      </c>
    </row>
    <row r="663">
      <c r="A663" s="28" t="n">
        <v>662</v>
      </c>
      <c r="B663" s="1" t="inlineStr">
        <is>
          <t>DIYA SHARMA</t>
        </is>
      </c>
      <c r="C663" s="30" t="n">
        <v>45786</v>
      </c>
      <c r="D663" s="1" t="inlineStr">
        <is>
          <t>BELCONNEN</t>
        </is>
      </c>
      <c r="E663" s="12" t="inlineStr">
        <is>
          <t>IND/MEL/00662</t>
        </is>
      </c>
      <c r="F663" s="1" t="inlineStr">
        <is>
          <t>F</t>
        </is>
      </c>
      <c r="G663" s="1" t="inlineStr">
        <is>
          <t>Neil Rao</t>
        </is>
      </c>
      <c r="H663" s="1" t="inlineStr">
        <is>
          <t>Anya Rao</t>
        </is>
      </c>
      <c r="I663" s="30" t="n">
        <v>45815</v>
      </c>
      <c r="J663" s="1" t="inlineStr">
        <is>
          <t>139 Birchwood Lane</t>
        </is>
      </c>
      <c r="K663" s="1" t="inlineStr">
        <is>
          <t>Emerald Road</t>
        </is>
      </c>
      <c r="L663" s="1" t="inlineStr">
        <is>
          <t>PIN:562907 BELCONNEN</t>
        </is>
      </c>
      <c r="M663" s="2" t="inlineStr">
        <is>
          <t>MHA/IND/00666</t>
        </is>
      </c>
      <c r="N663" s="30" t="n">
        <v>45872</v>
      </c>
    </row>
    <row r="664">
      <c r="A664" s="28" t="n">
        <v>663</v>
      </c>
      <c r="B664" s="1" t="inlineStr">
        <is>
          <t>SARA KALEON</t>
        </is>
      </c>
      <c r="C664" s="30" t="n">
        <v>45828</v>
      </c>
      <c r="D664" s="1" t="inlineStr">
        <is>
          <t>ST ALBANS</t>
        </is>
      </c>
      <c r="E664" s="12" t="inlineStr">
        <is>
          <t>IND/MEL/00663</t>
        </is>
      </c>
      <c r="F664" s="1" t="inlineStr">
        <is>
          <t>F</t>
        </is>
      </c>
      <c r="G664" s="1" t="inlineStr">
        <is>
          <t>Dev Valzari</t>
        </is>
      </c>
      <c r="H664" s="1" t="inlineStr">
        <is>
          <t>Tara Valzari</t>
        </is>
      </c>
      <c r="I664" s="30" t="n">
        <v>45852</v>
      </c>
      <c r="J664" s="1" t="inlineStr">
        <is>
          <t>121 Birchwood Lane</t>
        </is>
      </c>
      <c r="K664" s="1" t="inlineStr">
        <is>
          <t>Emerald Road</t>
        </is>
      </c>
      <c r="L664" s="1" t="inlineStr">
        <is>
          <t>PIN:447933 ST ALBANS</t>
        </is>
      </c>
      <c r="M664" s="2" t="inlineStr">
        <is>
          <t>MHA/IND/00667</t>
        </is>
      </c>
      <c r="N664" s="30" t="n">
        <v>45841</v>
      </c>
    </row>
    <row r="665">
      <c r="A665" s="28" t="n">
        <v>664</v>
      </c>
      <c r="B665" s="1" t="inlineStr">
        <is>
          <t>KABIR RAO</t>
        </is>
      </c>
      <c r="C665" s="30" t="n">
        <v>45699</v>
      </c>
      <c r="D665" s="1" t="inlineStr">
        <is>
          <t>TOWNSVILLE</t>
        </is>
      </c>
      <c r="E665" s="12" t="inlineStr">
        <is>
          <t>IND/MEL/00664</t>
        </is>
      </c>
      <c r="F665" s="1" t="inlineStr">
        <is>
          <t>F</t>
        </is>
      </c>
      <c r="G665" s="1" t="inlineStr">
        <is>
          <t>Rohit Rishkan</t>
        </is>
      </c>
      <c r="H665" s="1" t="inlineStr">
        <is>
          <t>Diya Rishkan</t>
        </is>
      </c>
      <c r="I665" s="30" t="n">
        <v>45809</v>
      </c>
      <c r="J665" s="1" t="inlineStr">
        <is>
          <t>13 Birchwood Lane</t>
        </is>
      </c>
      <c r="K665" s="1" t="inlineStr">
        <is>
          <t>Emerald Road</t>
        </is>
      </c>
      <c r="L665" s="1" t="inlineStr">
        <is>
          <t>PIN:803740 TOWNSVILLE</t>
        </is>
      </c>
      <c r="M665" s="2" t="inlineStr">
        <is>
          <t>MHA/IND/00668</t>
        </is>
      </c>
      <c r="N665" s="30" t="n">
        <v>45845</v>
      </c>
    </row>
    <row r="666">
      <c r="A666" s="28" t="n">
        <v>665</v>
      </c>
      <c r="B666" s="1" t="inlineStr">
        <is>
          <t>NEIL SHARMA</t>
        </is>
      </c>
      <c r="C666" s="30" t="n">
        <v>45703</v>
      </c>
      <c r="D666" s="1" t="inlineStr">
        <is>
          <t>WOLLONGONG</t>
        </is>
      </c>
      <c r="E666" s="12" t="inlineStr">
        <is>
          <t>IND/MEL/00665</t>
        </is>
      </c>
      <c r="F666" s="1" t="inlineStr">
        <is>
          <t>F</t>
        </is>
      </c>
      <c r="G666" s="1" t="inlineStr">
        <is>
          <t>Kabir Kaleon</t>
        </is>
      </c>
      <c r="H666" s="1" t="inlineStr">
        <is>
          <t>Riya Kaleon</t>
        </is>
      </c>
      <c r="I666" s="30" t="n">
        <v>45820</v>
      </c>
      <c r="J666" s="1" t="inlineStr">
        <is>
          <t>31 Birchwood Lane</t>
        </is>
      </c>
      <c r="K666" s="1" t="inlineStr">
        <is>
          <t>Emerald Road</t>
        </is>
      </c>
      <c r="L666" s="1" t="inlineStr">
        <is>
          <t>PIN:595547 WOLLONGONG</t>
        </is>
      </c>
      <c r="M666" s="2" t="inlineStr">
        <is>
          <t>MHA/IND/00669</t>
        </is>
      </c>
      <c r="N666" s="30" t="n">
        <v>45876</v>
      </c>
    </row>
    <row r="667">
      <c r="A667" s="28" t="n">
        <v>666</v>
      </c>
      <c r="B667" s="1" t="inlineStr">
        <is>
          <t>NINA RAO</t>
        </is>
      </c>
      <c r="C667" s="30" t="n">
        <v>45737</v>
      </c>
      <c r="D667" s="1" t="inlineStr">
        <is>
          <t>CAMPBELLTOWN</t>
        </is>
      </c>
      <c r="E667" s="12" t="inlineStr">
        <is>
          <t>IND/MEL/00666</t>
        </is>
      </c>
      <c r="F667" s="1" t="inlineStr">
        <is>
          <t>M</t>
        </is>
      </c>
      <c r="G667" s="1" t="inlineStr">
        <is>
          <t>Rohit Myrthos</t>
        </is>
      </c>
      <c r="H667" s="1" t="inlineStr">
        <is>
          <t>Alya Myrthos</t>
        </is>
      </c>
      <c r="I667" s="30" t="n">
        <v>45800</v>
      </c>
      <c r="J667" s="1" t="inlineStr">
        <is>
          <t>59 Birchwood Lane</t>
        </is>
      </c>
      <c r="K667" s="1" t="inlineStr">
        <is>
          <t>Emerald Road</t>
        </is>
      </c>
      <c r="L667" s="1" t="inlineStr">
        <is>
          <t>PIN:475285 CAMPBELLTOWN</t>
        </is>
      </c>
      <c r="M667" s="2" t="inlineStr">
        <is>
          <t>MHA/IND/00670</t>
        </is>
      </c>
      <c r="N667" s="30" t="n">
        <v>45890</v>
      </c>
    </row>
    <row r="668">
      <c r="A668" s="28" t="n">
        <v>667</v>
      </c>
      <c r="B668" s="1" t="inlineStr">
        <is>
          <t>ANYA VALZARI</t>
        </is>
      </c>
      <c r="C668" s="30" t="n">
        <v>45955</v>
      </c>
      <c r="D668" s="1" t="inlineStr">
        <is>
          <t>LENAH VALLEY</t>
        </is>
      </c>
      <c r="E668" s="12" t="inlineStr">
        <is>
          <t>IND/MEL/00667</t>
        </is>
      </c>
      <c r="F668" s="1" t="inlineStr">
        <is>
          <t>M</t>
        </is>
      </c>
      <c r="G668" s="1" t="inlineStr">
        <is>
          <t>Dev Sharma</t>
        </is>
      </c>
      <c r="H668" s="1" t="inlineStr">
        <is>
          <t>Riya Sharma</t>
        </is>
      </c>
      <c r="I668" s="30" t="n">
        <v>45983</v>
      </c>
      <c r="J668" s="1" t="inlineStr">
        <is>
          <t>55 Birchwood Lane</t>
        </is>
      </c>
      <c r="K668" s="1" t="inlineStr">
        <is>
          <t>Emerald Road</t>
        </is>
      </c>
      <c r="L668" s="1" t="inlineStr">
        <is>
          <t>PIN:883192 LENAH VALLEY</t>
        </is>
      </c>
      <c r="M668" s="2" t="inlineStr">
        <is>
          <t>MHA/IND/00671</t>
        </is>
      </c>
      <c r="N668" s="30" t="n">
        <v>45898</v>
      </c>
    </row>
    <row r="669">
      <c r="A669" s="28" t="n">
        <v>668</v>
      </c>
      <c r="B669" s="1" t="inlineStr">
        <is>
          <t>NINA RISHKAN</t>
        </is>
      </c>
      <c r="C669" s="30" t="n">
        <v>45826</v>
      </c>
      <c r="D669" s="1" t="inlineStr">
        <is>
          <t>PARRAMATTA</t>
        </is>
      </c>
      <c r="E669" s="12" t="inlineStr">
        <is>
          <t>IND/MEL/00668</t>
        </is>
      </c>
      <c r="F669" s="1" t="inlineStr">
        <is>
          <t>M</t>
        </is>
      </c>
      <c r="G669" s="1" t="inlineStr">
        <is>
          <t>Kabir Valzari</t>
        </is>
      </c>
      <c r="H669" s="1" t="inlineStr">
        <is>
          <t>Anya Valzari</t>
        </is>
      </c>
      <c r="I669" s="30" t="n">
        <v>45840</v>
      </c>
      <c r="J669" s="1" t="inlineStr">
        <is>
          <t>18 Birchwood Lane</t>
        </is>
      </c>
      <c r="K669" s="1" t="inlineStr">
        <is>
          <t>Emerald Road</t>
        </is>
      </c>
      <c r="L669" s="1" t="inlineStr">
        <is>
          <t>PIN:623840 PARRAMATTA</t>
        </is>
      </c>
      <c r="M669" s="2" t="inlineStr">
        <is>
          <t>MHA/IND/00672</t>
        </is>
      </c>
      <c r="N669" s="30" t="n">
        <v>45866</v>
      </c>
    </row>
    <row r="670">
      <c r="A670" s="28" t="n">
        <v>669</v>
      </c>
      <c r="B670" s="1" t="inlineStr">
        <is>
          <t>MIRA KALEON</t>
        </is>
      </c>
      <c r="C670" s="30" t="n">
        <v>45782</v>
      </c>
      <c r="D670" s="1" t="inlineStr">
        <is>
          <t>GEELONG</t>
        </is>
      </c>
      <c r="E670" s="12" t="inlineStr">
        <is>
          <t>IND/MEL/00669</t>
        </is>
      </c>
      <c r="F670" s="1" t="inlineStr">
        <is>
          <t>F</t>
        </is>
      </c>
      <c r="G670" s="1" t="inlineStr">
        <is>
          <t>Rohit Rao</t>
        </is>
      </c>
      <c r="H670" s="1" t="inlineStr">
        <is>
          <t>Alya Rao</t>
        </is>
      </c>
      <c r="I670" s="30" t="n">
        <v>45787</v>
      </c>
      <c r="J670" s="1" t="inlineStr">
        <is>
          <t>112 Birchwood Lane</t>
        </is>
      </c>
      <c r="K670" s="1" t="inlineStr">
        <is>
          <t>Emerald Road</t>
        </is>
      </c>
      <c r="L670" s="1" t="inlineStr">
        <is>
          <t>PIN:153426 GEELONG</t>
        </is>
      </c>
      <c r="M670" s="2" t="inlineStr">
        <is>
          <t>MHA/IND/00673</t>
        </is>
      </c>
      <c r="N670" s="30" t="n">
        <v>45897</v>
      </c>
    </row>
    <row r="671">
      <c r="A671" s="28" t="n">
        <v>670</v>
      </c>
      <c r="B671" s="1" t="inlineStr">
        <is>
          <t>ROHIT MYRTHOS</t>
        </is>
      </c>
      <c r="C671" s="30" t="n">
        <v>45754</v>
      </c>
      <c r="D671" s="1" t="inlineStr">
        <is>
          <t>PALMERSTON</t>
        </is>
      </c>
      <c r="E671" s="12" t="inlineStr">
        <is>
          <t>IND/MEL/00670</t>
        </is>
      </c>
      <c r="F671" s="1" t="inlineStr">
        <is>
          <t>M</t>
        </is>
      </c>
      <c r="G671" s="1" t="inlineStr">
        <is>
          <t>Aren Valzari</t>
        </is>
      </c>
      <c r="H671" s="1" t="inlineStr">
        <is>
          <t>Anya Valzari</t>
        </is>
      </c>
      <c r="I671" s="30" t="n">
        <v>45765</v>
      </c>
      <c r="J671" s="1" t="inlineStr">
        <is>
          <t>20 Birchwood Lane</t>
        </is>
      </c>
      <c r="K671" s="1" t="inlineStr">
        <is>
          <t>Emerald Road</t>
        </is>
      </c>
      <c r="L671" s="1" t="inlineStr">
        <is>
          <t>PIN:548726 PALMERSTON</t>
        </is>
      </c>
      <c r="M671" s="2" t="inlineStr">
        <is>
          <t>MHA/IND/00674</t>
        </is>
      </c>
      <c r="N671" s="30" t="n">
        <v>45885</v>
      </c>
    </row>
    <row r="672">
      <c r="A672" s="28" t="n">
        <v>671</v>
      </c>
      <c r="B672" s="1" t="inlineStr">
        <is>
          <t>ISHAN SHARMA</t>
        </is>
      </c>
      <c r="C672" s="30" t="n">
        <v>45951</v>
      </c>
      <c r="D672" s="1" t="inlineStr">
        <is>
          <t>LENAH VALLEY</t>
        </is>
      </c>
      <c r="E672" s="12" t="inlineStr">
        <is>
          <t>IND/MEL/00671</t>
        </is>
      </c>
      <c r="F672" s="1" t="inlineStr">
        <is>
          <t>M</t>
        </is>
      </c>
      <c r="G672" s="1" t="inlineStr">
        <is>
          <t>Kabir Kaleon</t>
        </is>
      </c>
      <c r="H672" s="1" t="inlineStr">
        <is>
          <t>Riya Kaleon</t>
        </is>
      </c>
      <c r="I672" s="30" t="n">
        <v>46031</v>
      </c>
      <c r="J672" s="1" t="inlineStr">
        <is>
          <t>163 Birchwood Lane</t>
        </is>
      </c>
      <c r="K672" s="1" t="inlineStr">
        <is>
          <t>Emerald Road</t>
        </is>
      </c>
      <c r="L672" s="1" t="inlineStr">
        <is>
          <t>PIN:398774 LENAH VALLEY</t>
        </is>
      </c>
      <c r="M672" s="2" t="inlineStr">
        <is>
          <t>MHA/IND/00675</t>
        </is>
      </c>
      <c r="N672" s="30" t="n">
        <v>45868</v>
      </c>
    </row>
    <row r="673">
      <c r="A673" s="28" t="n">
        <v>672</v>
      </c>
      <c r="B673" s="1" t="inlineStr">
        <is>
          <t>DEV VALZARI</t>
        </is>
      </c>
      <c r="C673" s="30" t="n">
        <v>45804</v>
      </c>
      <c r="D673" s="1" t="inlineStr">
        <is>
          <t>MIDLAND</t>
        </is>
      </c>
      <c r="E673" s="12" t="inlineStr">
        <is>
          <t>IND/MEL/00672</t>
        </is>
      </c>
      <c r="F673" s="1" t="inlineStr">
        <is>
          <t>M</t>
        </is>
      </c>
      <c r="G673" s="1" t="inlineStr">
        <is>
          <t>Kabir Myrthos</t>
        </is>
      </c>
      <c r="H673" s="1" t="inlineStr">
        <is>
          <t>Nina Myrthos</t>
        </is>
      </c>
      <c r="I673" s="30" t="n">
        <v>45918</v>
      </c>
      <c r="J673" s="1" t="inlineStr">
        <is>
          <t>179 Birchwood Lane</t>
        </is>
      </c>
      <c r="K673" s="1" t="inlineStr">
        <is>
          <t>Emerald Road</t>
        </is>
      </c>
      <c r="L673" s="1" t="inlineStr">
        <is>
          <t>PIN:688803 MIDLAND</t>
        </is>
      </c>
      <c r="M673" s="2" t="inlineStr">
        <is>
          <t>MHA/IND/00676</t>
        </is>
      </c>
      <c r="N673" s="30" t="n">
        <v>45858</v>
      </c>
    </row>
    <row r="674">
      <c r="A674" s="28" t="n">
        <v>673</v>
      </c>
      <c r="B674" s="1" t="inlineStr">
        <is>
          <t>ANYA RAO</t>
        </is>
      </c>
      <c r="C674" s="30" t="n">
        <v>45908</v>
      </c>
      <c r="D674" s="1" t="inlineStr">
        <is>
          <t>ROCKHAMPTON</t>
        </is>
      </c>
      <c r="E674" s="12" t="inlineStr">
        <is>
          <t>IND/MEL/00673</t>
        </is>
      </c>
      <c r="F674" s="1" t="inlineStr">
        <is>
          <t>F</t>
        </is>
      </c>
      <c r="G674" s="1" t="inlineStr">
        <is>
          <t>Ishan Sindale</t>
        </is>
      </c>
      <c r="H674" s="1" t="inlineStr">
        <is>
          <t>Anya Sindale</t>
        </is>
      </c>
      <c r="I674" s="30" t="n">
        <v>45915</v>
      </c>
      <c r="J674" s="1" t="inlineStr">
        <is>
          <t>11 Birchwood Lane</t>
        </is>
      </c>
      <c r="K674" s="1" t="inlineStr">
        <is>
          <t>Emerald Road</t>
        </is>
      </c>
      <c r="L674" s="1" t="inlineStr">
        <is>
          <t>PIN:572879 ROCKHAMPTON</t>
        </is>
      </c>
      <c r="M674" s="2" t="inlineStr">
        <is>
          <t>MHA/IND/00677</t>
        </is>
      </c>
      <c r="N674" s="30" t="n">
        <v>45852</v>
      </c>
    </row>
    <row r="675">
      <c r="A675" s="28" t="n">
        <v>674</v>
      </c>
      <c r="B675" s="1" t="inlineStr">
        <is>
          <t>ROHIT VALZARI</t>
        </is>
      </c>
      <c r="C675" s="30" t="n">
        <v>45692</v>
      </c>
      <c r="D675" s="1" t="inlineStr">
        <is>
          <t>MANDURAH</t>
        </is>
      </c>
      <c r="E675" s="12" t="inlineStr">
        <is>
          <t>IND/MEL/00674</t>
        </is>
      </c>
      <c r="F675" s="1" t="inlineStr">
        <is>
          <t>F</t>
        </is>
      </c>
      <c r="G675" s="1" t="inlineStr">
        <is>
          <t>Dev Valzari</t>
        </is>
      </c>
      <c r="H675" s="1" t="inlineStr">
        <is>
          <t>Alya Valzari</t>
        </is>
      </c>
      <c r="I675" s="30" t="n">
        <v>45717</v>
      </c>
      <c r="J675" s="1" t="inlineStr">
        <is>
          <t>69 Birchwood Lane</t>
        </is>
      </c>
      <c r="K675" s="1" t="inlineStr">
        <is>
          <t>Emerald Road</t>
        </is>
      </c>
      <c r="L675" s="1" t="inlineStr">
        <is>
          <t>PIN:775685 MANDURAH</t>
        </is>
      </c>
      <c r="M675" s="2" t="inlineStr">
        <is>
          <t>MHA/IND/00678</t>
        </is>
      </c>
      <c r="N675" s="30" t="n">
        <v>45855</v>
      </c>
    </row>
    <row r="676">
      <c r="A676" s="28" t="n">
        <v>675</v>
      </c>
      <c r="B676" s="1" t="inlineStr">
        <is>
          <t>ARJUN KALEON</t>
        </is>
      </c>
      <c r="C676" s="30" t="n">
        <v>45695</v>
      </c>
      <c r="D676" s="1" t="inlineStr">
        <is>
          <t>DALBY</t>
        </is>
      </c>
      <c r="E676" s="12" t="inlineStr">
        <is>
          <t>IND/MEL/00675</t>
        </is>
      </c>
      <c r="F676" s="1" t="inlineStr">
        <is>
          <t>M</t>
        </is>
      </c>
      <c r="G676" s="1" t="inlineStr">
        <is>
          <t>Arjun Rishkan</t>
        </is>
      </c>
      <c r="H676" s="1" t="inlineStr">
        <is>
          <t>Riya Rishkan</t>
        </is>
      </c>
      <c r="I676" s="30" t="n">
        <v>45747</v>
      </c>
      <c r="J676" s="1" t="inlineStr">
        <is>
          <t>16 Birchwood Lane</t>
        </is>
      </c>
      <c r="K676" s="1" t="inlineStr">
        <is>
          <t>Emerald Road</t>
        </is>
      </c>
      <c r="L676" s="1" t="inlineStr">
        <is>
          <t>PIN:294333 DALBY</t>
        </is>
      </c>
      <c r="M676" s="2" t="inlineStr">
        <is>
          <t>MHA/IND/00679</t>
        </is>
      </c>
      <c r="N676" s="30" t="n">
        <v>45880</v>
      </c>
    </row>
    <row r="677">
      <c r="A677" s="28" t="n">
        <v>676</v>
      </c>
      <c r="B677" s="1" t="inlineStr">
        <is>
          <t>AREN MYRTHOS</t>
        </is>
      </c>
      <c r="C677" s="30" t="n">
        <v>45833</v>
      </c>
      <c r="D677" s="1" t="inlineStr">
        <is>
          <t>PARKVILLE</t>
        </is>
      </c>
      <c r="E677" s="12" t="inlineStr">
        <is>
          <t>IND/MEL/00676</t>
        </is>
      </c>
      <c r="F677" s="1" t="inlineStr">
        <is>
          <t>F</t>
        </is>
      </c>
      <c r="G677" s="1" t="inlineStr">
        <is>
          <t>Ishan Rao</t>
        </is>
      </c>
      <c r="H677" s="1" t="inlineStr">
        <is>
          <t>Riya Rao</t>
        </is>
      </c>
      <c r="I677" s="30" t="n">
        <v>45856</v>
      </c>
      <c r="J677" s="1" t="inlineStr">
        <is>
          <t>89 Birchwood Lane</t>
        </is>
      </c>
      <c r="K677" s="1" t="inlineStr">
        <is>
          <t>Emerald Road</t>
        </is>
      </c>
      <c r="L677" s="1" t="inlineStr">
        <is>
          <t>PIN:778480 PARKVILLE</t>
        </is>
      </c>
      <c r="M677" s="2" t="inlineStr">
        <is>
          <t>MHA/IND/00680</t>
        </is>
      </c>
      <c r="N677" s="30" t="n">
        <v>45859</v>
      </c>
    </row>
    <row r="678">
      <c r="A678" s="28" t="n">
        <v>677</v>
      </c>
      <c r="B678" s="1" t="inlineStr">
        <is>
          <t>MIRA SINDALE</t>
        </is>
      </c>
      <c r="C678" s="30" t="n">
        <v>45812</v>
      </c>
      <c r="D678" s="1" t="inlineStr">
        <is>
          <t>ADELAIDE</t>
        </is>
      </c>
      <c r="E678" s="12" t="inlineStr">
        <is>
          <t>IND/MEL/00677</t>
        </is>
      </c>
      <c r="F678" s="1" t="inlineStr">
        <is>
          <t>F</t>
        </is>
      </c>
      <c r="G678" s="1" t="inlineStr">
        <is>
          <t>Kabir Rishkan</t>
        </is>
      </c>
      <c r="H678" s="1" t="inlineStr">
        <is>
          <t>Sara Rishkan</t>
        </is>
      </c>
      <c r="I678" s="30" t="n">
        <v>45931</v>
      </c>
      <c r="J678" s="1" t="inlineStr">
        <is>
          <t>77 Birchwood Lane</t>
        </is>
      </c>
      <c r="K678" s="1" t="inlineStr">
        <is>
          <t>Emerald Road</t>
        </is>
      </c>
      <c r="L678" s="1" t="inlineStr">
        <is>
          <t>PIN:952963 ADELAIDE</t>
        </is>
      </c>
      <c r="M678" s="2" t="inlineStr">
        <is>
          <t>MHA/IND/00681</t>
        </is>
      </c>
      <c r="N678" s="30" t="n">
        <v>45842</v>
      </c>
    </row>
    <row r="679">
      <c r="A679" s="28" t="n">
        <v>678</v>
      </c>
      <c r="B679" s="1" t="inlineStr">
        <is>
          <t>ALYA VALZARI</t>
        </is>
      </c>
      <c r="C679" s="30" t="n">
        <v>45833</v>
      </c>
      <c r="D679" s="1" t="inlineStr">
        <is>
          <t>LOGAN</t>
        </is>
      </c>
      <c r="E679" s="12" t="inlineStr">
        <is>
          <t>IND/MEL/00678</t>
        </is>
      </c>
      <c r="F679" s="1" t="inlineStr">
        <is>
          <t>M</t>
        </is>
      </c>
      <c r="G679" s="1" t="inlineStr">
        <is>
          <t>Arjun Rao</t>
        </is>
      </c>
      <c r="H679" s="1" t="inlineStr">
        <is>
          <t>Nina Rao</t>
        </is>
      </c>
      <c r="I679" s="30" t="n">
        <v>45935</v>
      </c>
      <c r="J679" s="1" t="inlineStr">
        <is>
          <t>190 Birchwood Lane</t>
        </is>
      </c>
      <c r="K679" s="1" t="inlineStr">
        <is>
          <t>Emerald Road</t>
        </is>
      </c>
      <c r="L679" s="1" t="inlineStr">
        <is>
          <t>PIN:921501 LOGAN</t>
        </is>
      </c>
      <c r="M679" s="2" t="inlineStr">
        <is>
          <t>MHA/IND/00682</t>
        </is>
      </c>
      <c r="N679" s="30" t="n">
        <v>45886</v>
      </c>
    </row>
    <row r="680">
      <c r="A680" s="28" t="n">
        <v>679</v>
      </c>
      <c r="B680" s="1" t="inlineStr">
        <is>
          <t>ARJUN RISHKAN</t>
        </is>
      </c>
      <c r="C680" s="30" t="n">
        <v>45834</v>
      </c>
      <c r="D680" s="1" t="inlineStr">
        <is>
          <t>FRANKSTON</t>
        </is>
      </c>
      <c r="E680" s="12" t="inlineStr">
        <is>
          <t>IND/MEL/00679</t>
        </is>
      </c>
      <c r="F680" s="1" t="inlineStr">
        <is>
          <t>M</t>
        </is>
      </c>
      <c r="G680" s="1" t="inlineStr">
        <is>
          <t>Neil Rishkan</t>
        </is>
      </c>
      <c r="H680" s="1" t="inlineStr">
        <is>
          <t>Tara Rishkan</t>
        </is>
      </c>
      <c r="I680" s="30" t="n">
        <v>45866</v>
      </c>
      <c r="J680" s="1" t="inlineStr">
        <is>
          <t>135 Birchwood Lane</t>
        </is>
      </c>
      <c r="K680" s="1" t="inlineStr">
        <is>
          <t>Emerald Road</t>
        </is>
      </c>
      <c r="L680" s="1" t="inlineStr">
        <is>
          <t>PIN:461997 FRANKSTON</t>
        </is>
      </c>
      <c r="M680" s="2" t="inlineStr">
        <is>
          <t>MHA/IND/00683</t>
        </is>
      </c>
      <c r="N680" s="30" t="n">
        <v>45892</v>
      </c>
    </row>
    <row r="681">
      <c r="A681" s="28" t="n">
        <v>680</v>
      </c>
      <c r="B681" s="1" t="inlineStr">
        <is>
          <t>ANYA RAO</t>
        </is>
      </c>
      <c r="C681" s="30" t="n">
        <v>45787</v>
      </c>
      <c r="D681" s="1" t="inlineStr">
        <is>
          <t>ST ALBANS</t>
        </is>
      </c>
      <c r="E681" s="12" t="inlineStr">
        <is>
          <t>IND/MEL/00680</t>
        </is>
      </c>
      <c r="F681" s="1" t="inlineStr">
        <is>
          <t>M</t>
        </is>
      </c>
      <c r="G681" s="1" t="inlineStr">
        <is>
          <t>Arjun Myrthos</t>
        </is>
      </c>
      <c r="H681" s="1" t="inlineStr">
        <is>
          <t>Sara Myrthos</t>
        </is>
      </c>
      <c r="I681" s="30" t="n">
        <v>45833</v>
      </c>
      <c r="J681" s="1" t="inlineStr">
        <is>
          <t>118 Birchwood Lane</t>
        </is>
      </c>
      <c r="K681" s="1" t="inlineStr">
        <is>
          <t>Emerald Road</t>
        </is>
      </c>
      <c r="L681" s="1" t="inlineStr">
        <is>
          <t>PIN:541304 ST ALBANS</t>
        </is>
      </c>
      <c r="M681" s="2" t="inlineStr">
        <is>
          <t>MHA/IND/00684</t>
        </is>
      </c>
      <c r="N681" s="30" t="n">
        <v>45893</v>
      </c>
    </row>
    <row r="682">
      <c r="A682" s="28" t="n">
        <v>681</v>
      </c>
      <c r="B682" s="1" t="inlineStr">
        <is>
          <t>TARA RISHKAN</t>
        </is>
      </c>
      <c r="C682" s="30" t="n">
        <v>45667</v>
      </c>
      <c r="D682" s="1" t="inlineStr">
        <is>
          <t>MANDURAH</t>
        </is>
      </c>
      <c r="E682" s="12" t="inlineStr">
        <is>
          <t>IND/MEL/00681</t>
        </is>
      </c>
      <c r="F682" s="1" t="inlineStr">
        <is>
          <t>M</t>
        </is>
      </c>
      <c r="G682" s="1" t="inlineStr">
        <is>
          <t>Arjun Rishkan</t>
        </is>
      </c>
      <c r="H682" s="1" t="inlineStr">
        <is>
          <t>Sara Rishkan</t>
        </is>
      </c>
      <c r="I682" s="30" t="n">
        <v>45721</v>
      </c>
      <c r="J682" s="1" t="inlineStr">
        <is>
          <t>10 Birchwood Lane</t>
        </is>
      </c>
      <c r="K682" s="1" t="inlineStr">
        <is>
          <t>Emerald Road</t>
        </is>
      </c>
      <c r="L682" s="1" t="inlineStr">
        <is>
          <t>PIN:613365 MANDURAH</t>
        </is>
      </c>
      <c r="M682" s="2" t="inlineStr">
        <is>
          <t>MHA/IND/00685</t>
        </is>
      </c>
      <c r="N682" s="30" t="n">
        <v>45877</v>
      </c>
    </row>
    <row r="683">
      <c r="A683" s="28" t="n">
        <v>682</v>
      </c>
      <c r="B683" s="1" t="inlineStr">
        <is>
          <t>ISHAN RAO</t>
        </is>
      </c>
      <c r="C683" s="30" t="n">
        <v>45956</v>
      </c>
      <c r="D683" s="1" t="inlineStr">
        <is>
          <t>BEDFORD PARK</t>
        </is>
      </c>
      <c r="E683" s="12" t="inlineStr">
        <is>
          <t>IND/MEL/00682</t>
        </is>
      </c>
      <c r="F683" s="1" t="inlineStr">
        <is>
          <t>F</t>
        </is>
      </c>
      <c r="G683" s="1" t="inlineStr">
        <is>
          <t>Arjun Valzari</t>
        </is>
      </c>
      <c r="H683" s="1" t="inlineStr">
        <is>
          <t>Diya Valzari</t>
        </is>
      </c>
      <c r="I683" s="30" t="n">
        <v>45962</v>
      </c>
      <c r="J683" s="1" t="inlineStr">
        <is>
          <t>184 Birchwood Lane</t>
        </is>
      </c>
      <c r="K683" s="1" t="inlineStr">
        <is>
          <t>Emerald Road</t>
        </is>
      </c>
      <c r="L683" s="1" t="inlineStr">
        <is>
          <t>PIN:462170 BEDFORD PARK</t>
        </is>
      </c>
      <c r="M683" s="2" t="inlineStr">
        <is>
          <t>MHA/IND/00686</t>
        </is>
      </c>
      <c r="N683" s="30" t="n">
        <v>45848</v>
      </c>
    </row>
    <row r="684">
      <c r="A684" s="28" t="n">
        <v>683</v>
      </c>
      <c r="B684" s="1" t="inlineStr">
        <is>
          <t>NEIL RISHKAN</t>
        </is>
      </c>
      <c r="C684" s="30" t="n">
        <v>45901</v>
      </c>
      <c r="D684" s="1" t="inlineStr">
        <is>
          <t>WERRIBEE</t>
        </is>
      </c>
      <c r="E684" s="12" t="inlineStr">
        <is>
          <t>IND/MEL/00683</t>
        </is>
      </c>
      <c r="F684" s="1" t="inlineStr">
        <is>
          <t>M</t>
        </is>
      </c>
      <c r="G684" s="1" t="inlineStr">
        <is>
          <t>Arjun Myrthos</t>
        </is>
      </c>
      <c r="H684" s="1" t="inlineStr">
        <is>
          <t>Nina Myrthos</t>
        </is>
      </c>
      <c r="I684" s="30" t="n">
        <v>45941</v>
      </c>
      <c r="J684" s="1" t="inlineStr">
        <is>
          <t>35 Birchwood Lane</t>
        </is>
      </c>
      <c r="K684" s="1" t="inlineStr">
        <is>
          <t>Emerald Road</t>
        </is>
      </c>
      <c r="L684" s="1" t="inlineStr">
        <is>
          <t>PIN:345085 WERRIBEE</t>
        </is>
      </c>
      <c r="M684" s="2" t="inlineStr">
        <is>
          <t>MHA/IND/00687</t>
        </is>
      </c>
      <c r="N684" s="30" t="n">
        <v>45881</v>
      </c>
    </row>
    <row r="685">
      <c r="A685" s="28" t="n">
        <v>684</v>
      </c>
      <c r="B685" s="1" t="inlineStr">
        <is>
          <t>KIRAN MYRTHOS</t>
        </is>
      </c>
      <c r="C685" s="30" t="n">
        <v>45860</v>
      </c>
      <c r="D685" s="1" t="inlineStr">
        <is>
          <t>BUNDABERG</t>
        </is>
      </c>
      <c r="E685" s="12" t="inlineStr">
        <is>
          <t>IND/MEL/00684</t>
        </is>
      </c>
      <c r="F685" s="1" t="inlineStr">
        <is>
          <t>M</t>
        </is>
      </c>
      <c r="G685" s="1" t="inlineStr">
        <is>
          <t>Neil Rao</t>
        </is>
      </c>
      <c r="H685" s="1" t="inlineStr">
        <is>
          <t>Sara Rao</t>
        </is>
      </c>
      <c r="I685" s="30" t="n">
        <v>45905</v>
      </c>
      <c r="J685" s="1" t="inlineStr">
        <is>
          <t>131 Birchwood Lane</t>
        </is>
      </c>
      <c r="K685" s="1" t="inlineStr">
        <is>
          <t>Emerald Road</t>
        </is>
      </c>
      <c r="L685" s="1" t="inlineStr">
        <is>
          <t>PIN:834366 BUNDABERG</t>
        </is>
      </c>
      <c r="M685" s="2" t="inlineStr">
        <is>
          <t>MHA/IND/00688</t>
        </is>
      </c>
      <c r="N685" s="30" t="n">
        <v>45878</v>
      </c>
    </row>
    <row r="686">
      <c r="A686" s="28" t="n">
        <v>685</v>
      </c>
      <c r="B686" s="1" t="inlineStr">
        <is>
          <t>DEV RISHKAN</t>
        </is>
      </c>
      <c r="C686" s="30" t="n">
        <v>45828</v>
      </c>
      <c r="D686" s="1" t="inlineStr">
        <is>
          <t>PERTH</t>
        </is>
      </c>
      <c r="E686" s="12" t="inlineStr">
        <is>
          <t>IND/MEL/00685</t>
        </is>
      </c>
      <c r="F686" s="1" t="inlineStr">
        <is>
          <t>F</t>
        </is>
      </c>
      <c r="G686" s="1" t="inlineStr">
        <is>
          <t>Neil Rao</t>
        </is>
      </c>
      <c r="H686" s="1" t="inlineStr">
        <is>
          <t>Riya Rao</t>
        </is>
      </c>
      <c r="I686" s="30" t="n">
        <v>45872</v>
      </c>
      <c r="J686" s="1" t="inlineStr">
        <is>
          <t>32 Birchwood Lane</t>
        </is>
      </c>
      <c r="K686" s="1" t="inlineStr">
        <is>
          <t>Emerald Road</t>
        </is>
      </c>
      <c r="L686" s="1" t="inlineStr">
        <is>
          <t>PIN:127602 PERTH</t>
        </is>
      </c>
      <c r="M686" s="2" t="inlineStr">
        <is>
          <t>MHA/IND/00689</t>
        </is>
      </c>
      <c r="N686" s="30" t="n">
        <v>45877</v>
      </c>
    </row>
    <row r="687">
      <c r="A687" s="28" t="n">
        <v>686</v>
      </c>
      <c r="B687" s="1" t="inlineStr">
        <is>
          <t>SARA VALZARI</t>
        </is>
      </c>
      <c r="C687" s="30" t="n">
        <v>45775</v>
      </c>
      <c r="D687" s="1" t="inlineStr">
        <is>
          <t>NEWCASTLE</t>
        </is>
      </c>
      <c r="E687" s="12" t="inlineStr">
        <is>
          <t>IND/MEL/00686</t>
        </is>
      </c>
      <c r="F687" s="1" t="inlineStr">
        <is>
          <t>M</t>
        </is>
      </c>
      <c r="G687" s="1" t="inlineStr">
        <is>
          <t>Ishan Myrthos</t>
        </is>
      </c>
      <c r="H687" s="1" t="inlineStr">
        <is>
          <t>Anya Myrthos</t>
        </is>
      </c>
      <c r="I687" s="30" t="n">
        <v>45873</v>
      </c>
      <c r="J687" s="1" t="inlineStr">
        <is>
          <t>139 Birchwood Lane</t>
        </is>
      </c>
      <c r="K687" s="1" t="inlineStr">
        <is>
          <t>Emerald Road</t>
        </is>
      </c>
      <c r="L687" s="1" t="inlineStr">
        <is>
          <t>PIN:884260 NEWCASTLE</t>
        </is>
      </c>
      <c r="M687" s="2" t="inlineStr">
        <is>
          <t>MHA/IND/00690</t>
        </is>
      </c>
      <c r="N687" s="30" t="n">
        <v>45864</v>
      </c>
    </row>
    <row r="688">
      <c r="A688" s="28" t="n">
        <v>687</v>
      </c>
      <c r="B688" s="1" t="inlineStr">
        <is>
          <t>ROHIT MYRTHOS</t>
        </is>
      </c>
      <c r="C688" s="30" t="n">
        <v>45733</v>
      </c>
      <c r="D688" s="1" t="inlineStr">
        <is>
          <t>PARKVILLE</t>
        </is>
      </c>
      <c r="E688" s="12" t="inlineStr">
        <is>
          <t>IND/MEL/00687</t>
        </is>
      </c>
      <c r="F688" s="1" t="inlineStr">
        <is>
          <t>M</t>
        </is>
      </c>
      <c r="G688" s="1" t="inlineStr">
        <is>
          <t>Kabir Sindale</t>
        </is>
      </c>
      <c r="H688" s="1" t="inlineStr">
        <is>
          <t>Sara Sindale</t>
        </is>
      </c>
      <c r="I688" s="30" t="n">
        <v>45786</v>
      </c>
      <c r="J688" s="1" t="inlineStr">
        <is>
          <t>164 Birchwood Lane</t>
        </is>
      </c>
      <c r="K688" s="1" t="inlineStr">
        <is>
          <t>Emerald Road</t>
        </is>
      </c>
      <c r="L688" s="1" t="inlineStr">
        <is>
          <t>PIN:603548 PARKVILLE</t>
        </is>
      </c>
      <c r="M688" s="2" t="inlineStr">
        <is>
          <t>MHA/IND/00691</t>
        </is>
      </c>
      <c r="N688" s="30" t="n">
        <v>45857</v>
      </c>
    </row>
    <row r="689">
      <c r="A689" s="28" t="n">
        <v>688</v>
      </c>
      <c r="B689" s="1" t="inlineStr">
        <is>
          <t>KABIR RAO</t>
        </is>
      </c>
      <c r="C689" s="30" t="n">
        <v>45813</v>
      </c>
      <c r="D689" s="1" t="inlineStr">
        <is>
          <t>CLAYTON</t>
        </is>
      </c>
      <c r="E689" s="12" t="inlineStr">
        <is>
          <t>IND/MEL/00688</t>
        </is>
      </c>
      <c r="F689" s="1" t="inlineStr">
        <is>
          <t>F</t>
        </is>
      </c>
      <c r="G689" s="1" t="inlineStr">
        <is>
          <t>Arjun Rishkan</t>
        </is>
      </c>
      <c r="H689" s="1" t="inlineStr">
        <is>
          <t>Riya Rishkan</t>
        </is>
      </c>
      <c r="I689" s="30" t="n">
        <v>45881</v>
      </c>
      <c r="J689" s="1" t="inlineStr">
        <is>
          <t>115 Birchwood Lane</t>
        </is>
      </c>
      <c r="K689" s="1" t="inlineStr">
        <is>
          <t>Emerald Road</t>
        </is>
      </c>
      <c r="L689" s="1" t="inlineStr">
        <is>
          <t>PIN:420167 CLAYTON</t>
        </is>
      </c>
      <c r="M689" s="2" t="inlineStr">
        <is>
          <t>MHA/IND/00692</t>
        </is>
      </c>
      <c r="N689" s="30" t="n">
        <v>45844</v>
      </c>
    </row>
    <row r="690">
      <c r="A690" s="28" t="n">
        <v>689</v>
      </c>
      <c r="B690" s="1" t="inlineStr">
        <is>
          <t>DIYA RAO</t>
        </is>
      </c>
      <c r="C690" s="30" t="n">
        <v>45884</v>
      </c>
      <c r="D690" s="1" t="inlineStr">
        <is>
          <t>SYDNEY</t>
        </is>
      </c>
      <c r="E690" s="12" t="inlineStr">
        <is>
          <t>IND/MEL/00689</t>
        </is>
      </c>
      <c r="F690" s="1" t="inlineStr">
        <is>
          <t>M</t>
        </is>
      </c>
      <c r="G690" s="1" t="inlineStr">
        <is>
          <t>Rohit Myrthos</t>
        </is>
      </c>
      <c r="H690" s="1" t="inlineStr">
        <is>
          <t>Sara Myrthos</t>
        </is>
      </c>
      <c r="I690" s="30" t="n">
        <v>45929</v>
      </c>
      <c r="J690" s="1" t="inlineStr">
        <is>
          <t>87 Birchwood Lane</t>
        </is>
      </c>
      <c r="K690" s="1" t="inlineStr">
        <is>
          <t>Emerald Road</t>
        </is>
      </c>
      <c r="L690" s="1" t="inlineStr">
        <is>
          <t>PIN:467770 SYDNEY</t>
        </is>
      </c>
      <c r="M690" s="2" t="inlineStr">
        <is>
          <t>MHA/IND/00693</t>
        </is>
      </c>
      <c r="N690" s="30" t="n">
        <v>45864</v>
      </c>
    </row>
    <row r="691">
      <c r="A691" s="28" t="n">
        <v>690</v>
      </c>
      <c r="B691" s="1" t="inlineStr">
        <is>
          <t>KIRAN MYRTHOS</t>
        </is>
      </c>
      <c r="C691" s="30" t="n">
        <v>45922</v>
      </c>
      <c r="D691" s="1" t="inlineStr">
        <is>
          <t>SHEPPARTON</t>
        </is>
      </c>
      <c r="E691" s="12" t="inlineStr">
        <is>
          <t>IND/MEL/00690</t>
        </is>
      </c>
      <c r="F691" s="1" t="inlineStr">
        <is>
          <t>M</t>
        </is>
      </c>
      <c r="G691" s="1" t="inlineStr">
        <is>
          <t>Arjun Kaleon</t>
        </is>
      </c>
      <c r="H691" s="1" t="inlineStr">
        <is>
          <t>Nina Kaleon</t>
        </is>
      </c>
      <c r="I691" s="30" t="n">
        <v>46024</v>
      </c>
      <c r="J691" s="1" t="inlineStr">
        <is>
          <t>77 Birchwood Lane</t>
        </is>
      </c>
      <c r="K691" s="1" t="inlineStr">
        <is>
          <t>Emerald Road</t>
        </is>
      </c>
      <c r="L691" s="1" t="inlineStr">
        <is>
          <t>PIN:757926 SHEPPARTON</t>
        </is>
      </c>
      <c r="M691" s="2" t="inlineStr">
        <is>
          <t>MHA/IND/00694</t>
        </is>
      </c>
      <c r="N691" s="30" t="n">
        <v>45840</v>
      </c>
    </row>
    <row r="692">
      <c r="A692" s="28" t="n">
        <v>691</v>
      </c>
      <c r="B692" s="1" t="inlineStr">
        <is>
          <t>NEIL SINDALE</t>
        </is>
      </c>
      <c r="C692" s="30" t="n">
        <v>45768</v>
      </c>
      <c r="D692" s="1" t="inlineStr">
        <is>
          <t>WERRIBEE</t>
        </is>
      </c>
      <c r="E692" s="12" t="inlineStr">
        <is>
          <t>IND/MEL/00691</t>
        </is>
      </c>
      <c r="F692" s="1" t="inlineStr">
        <is>
          <t>M</t>
        </is>
      </c>
      <c r="G692" s="1" t="inlineStr">
        <is>
          <t>Rohit Kaleon</t>
        </is>
      </c>
      <c r="H692" s="1" t="inlineStr">
        <is>
          <t>Diya Kaleon</t>
        </is>
      </c>
      <c r="I692" s="30" t="n">
        <v>45776</v>
      </c>
      <c r="J692" s="1" t="inlineStr">
        <is>
          <t>59 Birchwood Lane</t>
        </is>
      </c>
      <c r="K692" s="1" t="inlineStr">
        <is>
          <t>Emerald Road</t>
        </is>
      </c>
      <c r="L692" s="1" t="inlineStr">
        <is>
          <t>PIN:445229 WERRIBEE</t>
        </is>
      </c>
      <c r="M692" s="2" t="inlineStr">
        <is>
          <t>MHA/IND/00695</t>
        </is>
      </c>
      <c r="N692" s="30" t="n">
        <v>45868</v>
      </c>
    </row>
    <row r="693">
      <c r="A693" s="28" t="n">
        <v>692</v>
      </c>
      <c r="B693" s="1" t="inlineStr">
        <is>
          <t>ANYA RISHKAN</t>
        </is>
      </c>
      <c r="C693" s="30" t="n">
        <v>45957</v>
      </c>
      <c r="D693" s="1" t="inlineStr">
        <is>
          <t>MOUNT WAVERLEY</t>
        </is>
      </c>
      <c r="E693" s="12" t="inlineStr">
        <is>
          <t>IND/MEL/00692</t>
        </is>
      </c>
      <c r="F693" s="1" t="inlineStr">
        <is>
          <t>F</t>
        </is>
      </c>
      <c r="G693" s="1" t="inlineStr">
        <is>
          <t>Arjun Kaleon</t>
        </is>
      </c>
      <c r="H693" s="1" t="inlineStr">
        <is>
          <t>Diya Kaleon</t>
        </is>
      </c>
      <c r="I693" s="30" t="n">
        <v>45976</v>
      </c>
      <c r="J693" s="1" t="inlineStr">
        <is>
          <t>97 Birchwood Lane</t>
        </is>
      </c>
      <c r="K693" s="1" t="inlineStr">
        <is>
          <t>Emerald Road</t>
        </is>
      </c>
      <c r="L693" s="1" t="inlineStr">
        <is>
          <t>PIN:563405 MOUNT WAVERLEY</t>
        </is>
      </c>
      <c r="M693" s="2" t="inlineStr">
        <is>
          <t>MHA/IND/00696</t>
        </is>
      </c>
      <c r="N693" s="30" t="n">
        <v>45849</v>
      </c>
    </row>
    <row r="694">
      <c r="A694" s="28" t="n">
        <v>693</v>
      </c>
      <c r="B694" s="1" t="inlineStr">
        <is>
          <t>ISHAN MYRTHOS</t>
        </is>
      </c>
      <c r="C694" s="30" t="n">
        <v>45849</v>
      </c>
      <c r="D694" s="1" t="inlineStr">
        <is>
          <t>BRISBANE</t>
        </is>
      </c>
      <c r="E694" s="12" t="inlineStr">
        <is>
          <t>IND/MEL/00693</t>
        </is>
      </c>
      <c r="F694" s="1" t="inlineStr">
        <is>
          <t>F</t>
        </is>
      </c>
      <c r="G694" s="1" t="inlineStr">
        <is>
          <t>Dev Kaleon</t>
        </is>
      </c>
      <c r="H694" s="1" t="inlineStr">
        <is>
          <t>Anya Kaleon</t>
        </is>
      </c>
      <c r="I694" s="30" t="n">
        <v>45956</v>
      </c>
      <c r="J694" s="1" t="inlineStr">
        <is>
          <t>27 Birchwood Lane</t>
        </is>
      </c>
      <c r="K694" s="1" t="inlineStr">
        <is>
          <t>Emerald Road</t>
        </is>
      </c>
      <c r="L694" s="1" t="inlineStr">
        <is>
          <t>PIN:220650 BRISBANE</t>
        </is>
      </c>
      <c r="M694" s="2" t="inlineStr">
        <is>
          <t>MHA/IND/00697</t>
        </is>
      </c>
      <c r="N694" s="30" t="n">
        <v>45855</v>
      </c>
    </row>
    <row r="695">
      <c r="A695" s="28" t="n">
        <v>694</v>
      </c>
      <c r="B695" s="1" t="inlineStr">
        <is>
          <t>ROHIT KALEON</t>
        </is>
      </c>
      <c r="C695" s="30" t="n">
        <v>45704</v>
      </c>
      <c r="D695" s="1" t="inlineStr">
        <is>
          <t>MILDURA</t>
        </is>
      </c>
      <c r="E695" s="12" t="inlineStr">
        <is>
          <t>IND/MEL/00694</t>
        </is>
      </c>
      <c r="F695" s="1" t="inlineStr">
        <is>
          <t>M</t>
        </is>
      </c>
      <c r="G695" s="1" t="inlineStr">
        <is>
          <t>Kiran Myrthos</t>
        </is>
      </c>
      <c r="H695" s="1" t="inlineStr">
        <is>
          <t>Sara Myrthos</t>
        </is>
      </c>
      <c r="I695" s="30" t="n">
        <v>45773</v>
      </c>
      <c r="J695" s="1" t="inlineStr">
        <is>
          <t>198 Birchwood Lane</t>
        </is>
      </c>
      <c r="K695" s="1" t="inlineStr">
        <is>
          <t>Emerald Road</t>
        </is>
      </c>
      <c r="L695" s="1" t="inlineStr">
        <is>
          <t>PIN:462004 MILDURA</t>
        </is>
      </c>
      <c r="M695" s="2" t="inlineStr">
        <is>
          <t>MHA/IND/00698</t>
        </is>
      </c>
      <c r="N695" s="30" t="n">
        <v>45879</v>
      </c>
    </row>
    <row r="696">
      <c r="A696" s="28" t="n">
        <v>695</v>
      </c>
      <c r="B696" s="1" t="inlineStr">
        <is>
          <t>NEIL KALEON</t>
        </is>
      </c>
      <c r="C696" s="30" t="n">
        <v>45702</v>
      </c>
      <c r="D696" s="1" t="inlineStr">
        <is>
          <t>KINGSWOOD</t>
        </is>
      </c>
      <c r="E696" s="12" t="inlineStr">
        <is>
          <t>IND/MEL/00695</t>
        </is>
      </c>
      <c r="F696" s="1" t="inlineStr">
        <is>
          <t>M</t>
        </is>
      </c>
      <c r="G696" s="1" t="inlineStr">
        <is>
          <t>Arjun Rishkan</t>
        </is>
      </c>
      <c r="H696" s="1" t="inlineStr">
        <is>
          <t>Anya Rishkan</t>
        </is>
      </c>
      <c r="I696" s="30" t="n">
        <v>45741</v>
      </c>
      <c r="J696" s="1" t="inlineStr">
        <is>
          <t>83 Birchwood Lane</t>
        </is>
      </c>
      <c r="K696" s="1" t="inlineStr">
        <is>
          <t>Emerald Road</t>
        </is>
      </c>
      <c r="L696" s="1" t="inlineStr">
        <is>
          <t>PIN:270087 KINGSWOOD</t>
        </is>
      </c>
      <c r="M696" s="2" t="inlineStr">
        <is>
          <t>MHA/IND/00699</t>
        </is>
      </c>
      <c r="N696" s="30" t="n">
        <v>45897</v>
      </c>
    </row>
    <row r="697">
      <c r="A697" s="28" t="n">
        <v>696</v>
      </c>
      <c r="B697" s="1" t="inlineStr">
        <is>
          <t>MIRA KALEON</t>
        </is>
      </c>
      <c r="C697" s="30" t="n">
        <v>45917</v>
      </c>
      <c r="D697" s="1" t="inlineStr">
        <is>
          <t>TUGGERANONG</t>
        </is>
      </c>
      <c r="E697" s="12" t="inlineStr">
        <is>
          <t>IND/MEL/00696</t>
        </is>
      </c>
      <c r="F697" s="1" t="inlineStr">
        <is>
          <t>M</t>
        </is>
      </c>
      <c r="G697" s="1" t="inlineStr">
        <is>
          <t>Neil Myrthos</t>
        </is>
      </c>
      <c r="H697" s="1" t="inlineStr">
        <is>
          <t>Riya Myrthos</t>
        </is>
      </c>
      <c r="I697" s="30" t="n">
        <v>45969</v>
      </c>
      <c r="J697" s="1" t="inlineStr">
        <is>
          <t>97 Birchwood Lane</t>
        </is>
      </c>
      <c r="K697" s="1" t="inlineStr">
        <is>
          <t>Emerald Road</t>
        </is>
      </c>
      <c r="L697" s="1" t="inlineStr">
        <is>
          <t>PIN:639992 TUGGERANONG</t>
        </is>
      </c>
      <c r="M697" s="2" t="inlineStr">
        <is>
          <t>MHA/IND/00700</t>
        </is>
      </c>
      <c r="N697" s="30" t="n">
        <v>45839</v>
      </c>
    </row>
    <row r="698">
      <c r="A698" s="28" t="n">
        <v>697</v>
      </c>
      <c r="B698" s="1" t="inlineStr">
        <is>
          <t>DIYA KALEON</t>
        </is>
      </c>
      <c r="C698" s="30" t="n">
        <v>45671</v>
      </c>
      <c r="D698" s="1" t="inlineStr">
        <is>
          <t>HEIDELBERG</t>
        </is>
      </c>
      <c r="E698" s="12" t="inlineStr">
        <is>
          <t>IND/MEL/00697</t>
        </is>
      </c>
      <c r="F698" s="1" t="inlineStr">
        <is>
          <t>F</t>
        </is>
      </c>
      <c r="G698" s="1" t="inlineStr">
        <is>
          <t>Rohit Rao</t>
        </is>
      </c>
      <c r="H698" s="1" t="inlineStr">
        <is>
          <t>Alya Rao</t>
        </is>
      </c>
      <c r="I698" s="30" t="n">
        <v>45780</v>
      </c>
      <c r="J698" s="1" t="inlineStr">
        <is>
          <t>140 Birchwood Lane</t>
        </is>
      </c>
      <c r="K698" s="1" t="inlineStr">
        <is>
          <t>Emerald Road</t>
        </is>
      </c>
      <c r="L698" s="1" t="inlineStr">
        <is>
          <t>PIN:499471 HEIDELBERG</t>
        </is>
      </c>
      <c r="M698" s="2" t="inlineStr">
        <is>
          <t>MHA/IND/00701</t>
        </is>
      </c>
      <c r="N698" s="30" t="n">
        <v>45893</v>
      </c>
    </row>
    <row r="699">
      <c r="A699" s="28" t="n">
        <v>698</v>
      </c>
      <c r="B699" s="1" t="inlineStr">
        <is>
          <t>KABIR MYRTHOS</t>
        </is>
      </c>
      <c r="C699" s="30" t="n">
        <v>45800</v>
      </c>
      <c r="D699" s="1" t="inlineStr">
        <is>
          <t>BALLARAT CENTRAL</t>
        </is>
      </c>
      <c r="E699" s="12" t="inlineStr">
        <is>
          <t>IND/MEL/00698</t>
        </is>
      </c>
      <c r="F699" s="1" t="inlineStr">
        <is>
          <t>M</t>
        </is>
      </c>
      <c r="G699" s="1" t="inlineStr">
        <is>
          <t>Neil Rishkan</t>
        </is>
      </c>
      <c r="H699" s="1" t="inlineStr">
        <is>
          <t>Nina Rishkan</t>
        </is>
      </c>
      <c r="I699" s="30" t="n">
        <v>45822</v>
      </c>
      <c r="J699" s="1" t="inlineStr">
        <is>
          <t>80 Birchwood Lane</t>
        </is>
      </c>
      <c r="K699" s="1" t="inlineStr">
        <is>
          <t>Emerald Road</t>
        </is>
      </c>
      <c r="L699" s="1" t="inlineStr">
        <is>
          <t>PIN:295625 BALLARAT CENTRAL</t>
        </is>
      </c>
      <c r="M699" s="2" t="inlineStr">
        <is>
          <t>MHA/IND/00702</t>
        </is>
      </c>
      <c r="N699" s="30" t="n">
        <v>45881</v>
      </c>
    </row>
    <row r="700">
      <c r="A700" s="28" t="n">
        <v>699</v>
      </c>
      <c r="B700" s="1" t="inlineStr">
        <is>
          <t>ROHIT RISHKAN</t>
        </is>
      </c>
      <c r="C700" s="30" t="n">
        <v>45932</v>
      </c>
      <c r="D700" s="1" t="inlineStr">
        <is>
          <t>BUNDABERG</t>
        </is>
      </c>
      <c r="E700" s="12" t="inlineStr">
        <is>
          <t>IND/MEL/00699</t>
        </is>
      </c>
      <c r="F700" s="1" t="inlineStr">
        <is>
          <t>F</t>
        </is>
      </c>
      <c r="G700" s="1" t="inlineStr">
        <is>
          <t>Kabir Sharma</t>
        </is>
      </c>
      <c r="H700" s="1" t="inlineStr">
        <is>
          <t>Alya Sharma</t>
        </is>
      </c>
      <c r="I700" s="30" t="n">
        <v>45950</v>
      </c>
      <c r="J700" s="1" t="inlineStr">
        <is>
          <t>164 Birchwood Lane</t>
        </is>
      </c>
      <c r="K700" s="1" t="inlineStr">
        <is>
          <t>Emerald Road</t>
        </is>
      </c>
      <c r="L700" s="1" t="inlineStr">
        <is>
          <t>PIN:842372 BUNDABERG</t>
        </is>
      </c>
      <c r="M700" s="2" t="inlineStr">
        <is>
          <t>MHA/IND/00703</t>
        </is>
      </c>
      <c r="N700" s="30" t="n">
        <v>45862</v>
      </c>
    </row>
    <row r="701">
      <c r="A701" s="28" t="n">
        <v>700</v>
      </c>
      <c r="B701" s="1" t="inlineStr">
        <is>
          <t>ROHIT MYRTHOS</t>
        </is>
      </c>
      <c r="C701" s="30" t="n">
        <v>45775</v>
      </c>
      <c r="D701" s="1" t="inlineStr">
        <is>
          <t>LAUNCESTON</t>
        </is>
      </c>
      <c r="E701" s="12" t="inlineStr">
        <is>
          <t>IND/MEL/00700</t>
        </is>
      </c>
      <c r="F701" s="1" t="inlineStr">
        <is>
          <t>F</t>
        </is>
      </c>
      <c r="G701" s="1" t="inlineStr">
        <is>
          <t>Kabir Sharma</t>
        </is>
      </c>
      <c r="H701" s="1" t="inlineStr">
        <is>
          <t>Alya Sharma</t>
        </is>
      </c>
      <c r="I701" s="30" t="n">
        <v>45864</v>
      </c>
      <c r="J701" s="1" t="inlineStr">
        <is>
          <t>15 Birchwood Lane</t>
        </is>
      </c>
      <c r="K701" s="1" t="inlineStr">
        <is>
          <t>Emerald Road</t>
        </is>
      </c>
      <c r="L701" s="1" t="inlineStr">
        <is>
          <t>PIN:931268 LAUNCESTON</t>
        </is>
      </c>
      <c r="M701" s="2" t="inlineStr">
        <is>
          <t>MHA/IND/00704</t>
        </is>
      </c>
      <c r="N701" s="30" t="n">
        <v>45886</v>
      </c>
    </row>
    <row r="702">
      <c r="A702" s="28" t="n">
        <v>701</v>
      </c>
      <c r="B702" s="1" t="inlineStr">
        <is>
          <t>ALYA RAO</t>
        </is>
      </c>
      <c r="C702" s="30" t="n">
        <v>45942</v>
      </c>
      <c r="D702" s="1" t="inlineStr">
        <is>
          <t>BUNDOORA</t>
        </is>
      </c>
      <c r="E702" s="12" t="inlineStr">
        <is>
          <t>IND/MEL/00701</t>
        </is>
      </c>
      <c r="F702" s="1" t="inlineStr">
        <is>
          <t>F</t>
        </is>
      </c>
      <c r="G702" s="1" t="inlineStr">
        <is>
          <t>Kabir Kaleon</t>
        </is>
      </c>
      <c r="H702" s="1" t="inlineStr">
        <is>
          <t>Mira Kaleon</t>
        </is>
      </c>
      <c r="I702" s="30" t="n">
        <v>45975</v>
      </c>
      <c r="J702" s="1" t="inlineStr">
        <is>
          <t>100 Birchwood Lane</t>
        </is>
      </c>
      <c r="K702" s="1" t="inlineStr">
        <is>
          <t>Emerald Road</t>
        </is>
      </c>
      <c r="L702" s="1" t="inlineStr">
        <is>
          <t>PIN:115514 BUNDOORA</t>
        </is>
      </c>
      <c r="M702" s="2" t="inlineStr">
        <is>
          <t>MHA/IND/00705</t>
        </is>
      </c>
      <c r="N702" s="30" t="n">
        <v>45866</v>
      </c>
    </row>
    <row r="703">
      <c r="A703" s="28" t="n">
        <v>702</v>
      </c>
      <c r="B703" s="1" t="inlineStr">
        <is>
          <t>NEIL RISHKAN</t>
        </is>
      </c>
      <c r="C703" s="30" t="n">
        <v>45664</v>
      </c>
      <c r="D703" s="1" t="inlineStr">
        <is>
          <t>ST ALBANS</t>
        </is>
      </c>
      <c r="E703" s="12" t="inlineStr">
        <is>
          <t>IND/MEL/00702</t>
        </is>
      </c>
      <c r="F703" s="1" t="inlineStr">
        <is>
          <t>M</t>
        </is>
      </c>
      <c r="G703" s="1" t="inlineStr">
        <is>
          <t>Arjun Valzari</t>
        </is>
      </c>
      <c r="H703" s="1" t="inlineStr">
        <is>
          <t>Alya Valzari</t>
        </is>
      </c>
      <c r="I703" s="30" t="n">
        <v>45725</v>
      </c>
      <c r="J703" s="1" t="inlineStr">
        <is>
          <t>140 Birchwood Lane</t>
        </is>
      </c>
      <c r="K703" s="1" t="inlineStr">
        <is>
          <t>Emerald Road</t>
        </is>
      </c>
      <c r="L703" s="1" t="inlineStr">
        <is>
          <t>PIN:979619 ST ALBANS</t>
        </is>
      </c>
      <c r="M703" s="2" t="inlineStr">
        <is>
          <t>MHA/IND/00706</t>
        </is>
      </c>
      <c r="N703" s="30" t="n">
        <v>45851</v>
      </c>
    </row>
    <row r="704">
      <c r="A704" s="28" t="n">
        <v>703</v>
      </c>
      <c r="B704" s="1" t="inlineStr">
        <is>
          <t>RIYA SHARMA</t>
        </is>
      </c>
      <c r="C704" s="30" t="n">
        <v>45894</v>
      </c>
      <c r="D704" s="1" t="inlineStr">
        <is>
          <t>BLACKTOWN</t>
        </is>
      </c>
      <c r="E704" s="12" t="inlineStr">
        <is>
          <t>IND/MEL/00703</t>
        </is>
      </c>
      <c r="F704" s="1" t="inlineStr">
        <is>
          <t>M</t>
        </is>
      </c>
      <c r="G704" s="1" t="inlineStr">
        <is>
          <t>Ishan Valzari</t>
        </is>
      </c>
      <c r="H704" s="1" t="inlineStr">
        <is>
          <t>Sara Valzari</t>
        </is>
      </c>
      <c r="I704" s="30" t="n">
        <v>45951</v>
      </c>
      <c r="J704" s="1" t="inlineStr">
        <is>
          <t>59 Birchwood Lane</t>
        </is>
      </c>
      <c r="K704" s="1" t="inlineStr">
        <is>
          <t>Emerald Road</t>
        </is>
      </c>
      <c r="L704" s="1" t="inlineStr">
        <is>
          <t>PIN:338900 BLACKTOWN</t>
        </is>
      </c>
      <c r="M704" s="2" t="inlineStr">
        <is>
          <t>MHA/IND/00707</t>
        </is>
      </c>
      <c r="N704" s="30" t="n">
        <v>45885</v>
      </c>
    </row>
    <row r="705">
      <c r="A705" s="28" t="n">
        <v>704</v>
      </c>
      <c r="B705" s="1" t="inlineStr">
        <is>
          <t>ALYA SHARMA</t>
        </is>
      </c>
      <c r="C705" s="30" t="n">
        <v>45891</v>
      </c>
      <c r="D705" s="1" t="inlineStr">
        <is>
          <t>DARWIN</t>
        </is>
      </c>
      <c r="E705" s="12" t="inlineStr">
        <is>
          <t>IND/MEL/00704</t>
        </is>
      </c>
      <c r="F705" s="1" t="inlineStr">
        <is>
          <t>F</t>
        </is>
      </c>
      <c r="G705" s="1" t="inlineStr">
        <is>
          <t>Rohit Rishkan</t>
        </is>
      </c>
      <c r="H705" s="1" t="inlineStr">
        <is>
          <t>Mira Rishkan</t>
        </is>
      </c>
      <c r="I705" s="30" t="n">
        <v>45934</v>
      </c>
      <c r="J705" s="1" t="inlineStr">
        <is>
          <t>125 Birchwood Lane</t>
        </is>
      </c>
      <c r="K705" s="1" t="inlineStr">
        <is>
          <t>Emerald Road</t>
        </is>
      </c>
      <c r="L705" s="1" t="inlineStr">
        <is>
          <t>PIN:311709 DARWIN</t>
        </is>
      </c>
      <c r="M705" s="2" t="inlineStr">
        <is>
          <t>MHA/IND/00708</t>
        </is>
      </c>
      <c r="N705" s="30" t="n">
        <v>45897</v>
      </c>
    </row>
    <row r="706">
      <c r="A706" s="28" t="n">
        <v>705</v>
      </c>
      <c r="B706" s="1" t="inlineStr">
        <is>
          <t>SARA KALEON</t>
        </is>
      </c>
      <c r="C706" s="30" t="n">
        <v>45681</v>
      </c>
      <c r="D706" s="1" t="inlineStr">
        <is>
          <t>TOWNSVILLE</t>
        </is>
      </c>
      <c r="E706" s="12" t="inlineStr">
        <is>
          <t>IND/MEL/00705</t>
        </is>
      </c>
      <c r="F706" s="1" t="inlineStr">
        <is>
          <t>F</t>
        </is>
      </c>
      <c r="G706" s="1" t="inlineStr">
        <is>
          <t>Kiran Valzari</t>
        </is>
      </c>
      <c r="H706" s="1" t="inlineStr">
        <is>
          <t>Riya Valzari</t>
        </is>
      </c>
      <c r="I706" s="30" t="n">
        <v>45731</v>
      </c>
      <c r="J706" s="1" t="inlineStr">
        <is>
          <t>66 Birchwood Lane</t>
        </is>
      </c>
      <c r="K706" s="1" t="inlineStr">
        <is>
          <t>Emerald Road</t>
        </is>
      </c>
      <c r="L706" s="1" t="inlineStr">
        <is>
          <t>PIN:614427 TOWNSVILLE</t>
        </is>
      </c>
      <c r="M706" s="2" t="inlineStr">
        <is>
          <t>MHA/IND/00709</t>
        </is>
      </c>
      <c r="N706" s="30" t="n">
        <v>45858</v>
      </c>
    </row>
    <row r="707">
      <c r="A707" s="28" t="n">
        <v>706</v>
      </c>
      <c r="B707" s="1" t="inlineStr">
        <is>
          <t>ARJUN VALZARI</t>
        </is>
      </c>
      <c r="C707" s="30" t="n">
        <v>45792</v>
      </c>
      <c r="D707" s="1" t="inlineStr">
        <is>
          <t>MANDURAH</t>
        </is>
      </c>
      <c r="E707" s="12" t="inlineStr">
        <is>
          <t>IND/MEL/00706</t>
        </is>
      </c>
      <c r="F707" s="1" t="inlineStr">
        <is>
          <t>F</t>
        </is>
      </c>
      <c r="G707" s="1" t="inlineStr">
        <is>
          <t>Neil Myrthos</t>
        </is>
      </c>
      <c r="H707" s="1" t="inlineStr">
        <is>
          <t>Mira Myrthos</t>
        </is>
      </c>
      <c r="I707" s="30" t="n">
        <v>45804</v>
      </c>
      <c r="J707" s="1" t="inlineStr">
        <is>
          <t>141 Birchwood Lane</t>
        </is>
      </c>
      <c r="K707" s="1" t="inlineStr">
        <is>
          <t>Emerald Road</t>
        </is>
      </c>
      <c r="L707" s="1" t="inlineStr">
        <is>
          <t>PIN:221704 MANDURAH</t>
        </is>
      </c>
      <c r="M707" s="2" t="inlineStr">
        <is>
          <t>MHA/IND/00710</t>
        </is>
      </c>
      <c r="N707" s="30" t="n">
        <v>45859</v>
      </c>
    </row>
    <row r="708">
      <c r="A708" s="28" t="n">
        <v>707</v>
      </c>
      <c r="B708" s="1" t="inlineStr">
        <is>
          <t>NEIL VALZARI</t>
        </is>
      </c>
      <c r="C708" s="30" t="n">
        <v>45720</v>
      </c>
      <c r="D708" s="1" t="inlineStr">
        <is>
          <t>CLAYTON</t>
        </is>
      </c>
      <c r="E708" s="12" t="inlineStr">
        <is>
          <t>IND/MEL/00707</t>
        </is>
      </c>
      <c r="F708" s="1" t="inlineStr">
        <is>
          <t>M</t>
        </is>
      </c>
      <c r="G708" s="1" t="inlineStr">
        <is>
          <t>Kabir Kaleon</t>
        </is>
      </c>
      <c r="H708" s="1" t="inlineStr">
        <is>
          <t>Tara Kaleon</t>
        </is>
      </c>
      <c r="I708" s="30" t="n">
        <v>45828</v>
      </c>
      <c r="J708" s="1" t="inlineStr">
        <is>
          <t>185 Birchwood Lane</t>
        </is>
      </c>
      <c r="K708" s="1" t="inlineStr">
        <is>
          <t>Emerald Road</t>
        </is>
      </c>
      <c r="L708" s="1" t="inlineStr">
        <is>
          <t>PIN:746995 CLAYTON</t>
        </is>
      </c>
      <c r="M708" s="2" t="inlineStr">
        <is>
          <t>MHA/IND/00711</t>
        </is>
      </c>
      <c r="N708" s="30" t="n">
        <v>45895</v>
      </c>
    </row>
    <row r="709">
      <c r="A709" s="28" t="n">
        <v>708</v>
      </c>
      <c r="B709" s="1" t="inlineStr">
        <is>
          <t>ANYA RISHKAN</t>
        </is>
      </c>
      <c r="C709" s="30" t="n">
        <v>45902</v>
      </c>
      <c r="D709" s="1" t="inlineStr">
        <is>
          <t>WAGGA WAGGA</t>
        </is>
      </c>
      <c r="E709" s="12" t="inlineStr">
        <is>
          <t>IND/MEL/00708</t>
        </is>
      </c>
      <c r="F709" s="1" t="inlineStr">
        <is>
          <t>F</t>
        </is>
      </c>
      <c r="G709" s="1" t="inlineStr">
        <is>
          <t>Kiran Myrthos</t>
        </is>
      </c>
      <c r="H709" s="1" t="inlineStr">
        <is>
          <t>Sara Myrthos</t>
        </is>
      </c>
      <c r="I709" s="30" t="n">
        <v>45948</v>
      </c>
      <c r="J709" s="1" t="inlineStr">
        <is>
          <t>91 Birchwood Lane</t>
        </is>
      </c>
      <c r="K709" s="1" t="inlineStr">
        <is>
          <t>Emerald Road</t>
        </is>
      </c>
      <c r="L709" s="1" t="inlineStr">
        <is>
          <t>PIN:224333 WAGGA WAGGA</t>
        </is>
      </c>
      <c r="M709" s="2" t="inlineStr">
        <is>
          <t>MHA/IND/00712</t>
        </is>
      </c>
      <c r="N709" s="30" t="n">
        <v>45884</v>
      </c>
    </row>
    <row r="710">
      <c r="A710" s="28" t="n">
        <v>709</v>
      </c>
      <c r="B710" s="1" t="inlineStr">
        <is>
          <t>RIYA VALZARI</t>
        </is>
      </c>
      <c r="C710" s="30" t="n">
        <v>45772</v>
      </c>
      <c r="D710" s="1" t="inlineStr">
        <is>
          <t>BOX HILL</t>
        </is>
      </c>
      <c r="E710" s="12" t="inlineStr">
        <is>
          <t>IND/MEL/00709</t>
        </is>
      </c>
      <c r="F710" s="1" t="inlineStr">
        <is>
          <t>M</t>
        </is>
      </c>
      <c r="G710" s="1" t="inlineStr">
        <is>
          <t>Rohit Sharma</t>
        </is>
      </c>
      <c r="H710" s="1" t="inlineStr">
        <is>
          <t>Anya Sharma</t>
        </is>
      </c>
      <c r="I710" s="30" t="n">
        <v>45866</v>
      </c>
      <c r="J710" s="1" t="inlineStr">
        <is>
          <t>177 Birchwood Lane</t>
        </is>
      </c>
      <c r="K710" s="1" t="inlineStr">
        <is>
          <t>Emerald Road</t>
        </is>
      </c>
      <c r="L710" s="1" t="inlineStr">
        <is>
          <t>PIN:240679 BOX HILL</t>
        </is>
      </c>
      <c r="M710" s="2" t="inlineStr">
        <is>
          <t>MHA/IND/00713</t>
        </is>
      </c>
      <c r="N710" s="30" t="n">
        <v>45857</v>
      </c>
    </row>
    <row r="711">
      <c r="A711" s="28" t="n">
        <v>710</v>
      </c>
      <c r="B711" s="1" t="inlineStr">
        <is>
          <t>NINA MYRTHOS</t>
        </is>
      </c>
      <c r="C711" s="30" t="n">
        <v>45877</v>
      </c>
      <c r="D711" s="1" t="inlineStr">
        <is>
          <t>ARMADALE</t>
        </is>
      </c>
      <c r="E711" s="12" t="inlineStr">
        <is>
          <t>IND/MEL/00710</t>
        </is>
      </c>
      <c r="F711" s="1" t="inlineStr">
        <is>
          <t>M</t>
        </is>
      </c>
      <c r="G711" s="1" t="inlineStr">
        <is>
          <t>Neil Kaleon</t>
        </is>
      </c>
      <c r="H711" s="1" t="inlineStr">
        <is>
          <t>Alya Kaleon</t>
        </is>
      </c>
      <c r="I711" s="30" t="n">
        <v>45911</v>
      </c>
      <c r="J711" s="1" t="inlineStr">
        <is>
          <t>129 Birchwood Lane</t>
        </is>
      </c>
      <c r="K711" s="1" t="inlineStr">
        <is>
          <t>Emerald Road</t>
        </is>
      </c>
      <c r="L711" s="1" t="inlineStr">
        <is>
          <t>PIN:586924 ARMADALE</t>
        </is>
      </c>
      <c r="M711" s="2" t="inlineStr">
        <is>
          <t>MHA/IND/00714</t>
        </is>
      </c>
      <c r="N711" s="30" t="n">
        <v>45856</v>
      </c>
    </row>
    <row r="712">
      <c r="A712" s="28" t="n">
        <v>711</v>
      </c>
      <c r="B712" s="1" t="inlineStr">
        <is>
          <t>KABIR KALEON</t>
        </is>
      </c>
      <c r="C712" s="30" t="n">
        <v>45719</v>
      </c>
      <c r="D712" s="1" t="inlineStr">
        <is>
          <t>BUNDABERG</t>
        </is>
      </c>
      <c r="E712" s="12" t="inlineStr">
        <is>
          <t>IND/MEL/00711</t>
        </is>
      </c>
      <c r="F712" s="1" t="inlineStr">
        <is>
          <t>F</t>
        </is>
      </c>
      <c r="G712" s="1" t="inlineStr">
        <is>
          <t>Kiran Sindale</t>
        </is>
      </c>
      <c r="H712" s="1" t="inlineStr">
        <is>
          <t>Riya Sindale</t>
        </is>
      </c>
      <c r="I712" s="30" t="n">
        <v>45770</v>
      </c>
      <c r="J712" s="1" t="inlineStr">
        <is>
          <t>16 Birchwood Lane</t>
        </is>
      </c>
      <c r="K712" s="1" t="inlineStr">
        <is>
          <t>Emerald Road</t>
        </is>
      </c>
      <c r="L712" s="1" t="inlineStr">
        <is>
          <t>PIN:282096 BUNDABERG</t>
        </is>
      </c>
      <c r="M712" s="2" t="inlineStr">
        <is>
          <t>MHA/IND/00715</t>
        </is>
      </c>
      <c r="N712" s="30" t="n">
        <v>45870</v>
      </c>
    </row>
    <row r="713">
      <c r="A713" s="28" t="n">
        <v>712</v>
      </c>
      <c r="B713" s="1" t="inlineStr">
        <is>
          <t>MIRA MYRTHOS</t>
        </is>
      </c>
      <c r="C713" s="30" t="n">
        <v>45744</v>
      </c>
      <c r="D713" s="1" t="inlineStr">
        <is>
          <t>CANBERRA</t>
        </is>
      </c>
      <c r="E713" s="12" t="inlineStr">
        <is>
          <t>IND/MEL/00712</t>
        </is>
      </c>
      <c r="F713" s="1" t="inlineStr">
        <is>
          <t>M</t>
        </is>
      </c>
      <c r="G713" s="1" t="inlineStr">
        <is>
          <t>Arjun Rao</t>
        </is>
      </c>
      <c r="H713" s="1" t="inlineStr">
        <is>
          <t>Sara Rao</t>
        </is>
      </c>
      <c r="I713" s="30" t="n">
        <v>45788</v>
      </c>
      <c r="J713" s="1" t="inlineStr">
        <is>
          <t>41 Birchwood Lane</t>
        </is>
      </c>
      <c r="K713" s="1" t="inlineStr">
        <is>
          <t>Emerald Road</t>
        </is>
      </c>
      <c r="L713" s="1" t="inlineStr">
        <is>
          <t>PIN:342753 CANBERRA</t>
        </is>
      </c>
      <c r="M713" s="2" t="inlineStr">
        <is>
          <t>MHA/IND/00716</t>
        </is>
      </c>
      <c r="N713" s="30" t="n">
        <v>45885</v>
      </c>
    </row>
    <row r="714">
      <c r="A714" s="28" t="n">
        <v>713</v>
      </c>
      <c r="B714" s="1" t="inlineStr">
        <is>
          <t>KIRAN SHARMA</t>
        </is>
      </c>
      <c r="C714" s="30" t="n">
        <v>45825</v>
      </c>
      <c r="D714" s="1" t="inlineStr">
        <is>
          <t>DALBY</t>
        </is>
      </c>
      <c r="E714" s="12" t="inlineStr">
        <is>
          <t>IND/MEL/00713</t>
        </is>
      </c>
      <c r="F714" s="1" t="inlineStr">
        <is>
          <t>M</t>
        </is>
      </c>
      <c r="G714" s="1" t="inlineStr">
        <is>
          <t>Arjun Rishkan</t>
        </is>
      </c>
      <c r="H714" s="1" t="inlineStr">
        <is>
          <t>Sara Rishkan</t>
        </is>
      </c>
      <c r="I714" s="30" t="n">
        <v>45852</v>
      </c>
      <c r="J714" s="1" t="inlineStr">
        <is>
          <t>153 Birchwood Lane</t>
        </is>
      </c>
      <c r="K714" s="1" t="inlineStr">
        <is>
          <t>Emerald Road</t>
        </is>
      </c>
      <c r="L714" s="1" t="inlineStr">
        <is>
          <t>PIN:321233 DALBY</t>
        </is>
      </c>
      <c r="M714" s="2" t="inlineStr">
        <is>
          <t>MHA/IND/00717</t>
        </is>
      </c>
      <c r="N714" s="30" t="n">
        <v>45871</v>
      </c>
    </row>
    <row r="715">
      <c r="A715" s="28" t="n">
        <v>714</v>
      </c>
      <c r="B715" s="1" t="inlineStr">
        <is>
          <t>KIRAN KALEON</t>
        </is>
      </c>
      <c r="C715" s="30" t="n">
        <v>45917</v>
      </c>
      <c r="D715" s="1" t="inlineStr">
        <is>
          <t>FREMANTLE</t>
        </is>
      </c>
      <c r="E715" s="12" t="inlineStr">
        <is>
          <t>IND/MEL/00714</t>
        </is>
      </c>
      <c r="F715" s="1" t="inlineStr">
        <is>
          <t>M</t>
        </is>
      </c>
      <c r="G715" s="1" t="inlineStr">
        <is>
          <t>Dev Sindale</t>
        </is>
      </c>
      <c r="H715" s="1" t="inlineStr">
        <is>
          <t>Mira Sindale</t>
        </is>
      </c>
      <c r="I715" s="30" t="n">
        <v>46021</v>
      </c>
      <c r="J715" s="1" t="inlineStr">
        <is>
          <t>85 Birchwood Lane</t>
        </is>
      </c>
      <c r="K715" s="1" t="inlineStr">
        <is>
          <t>Emerald Road</t>
        </is>
      </c>
      <c r="L715" s="1" t="inlineStr">
        <is>
          <t>PIN:895271 FREMANTLE</t>
        </is>
      </c>
      <c r="M715" s="2" t="inlineStr">
        <is>
          <t>MHA/IND/00718</t>
        </is>
      </c>
      <c r="N715" s="30" t="n">
        <v>45861</v>
      </c>
    </row>
    <row r="716">
      <c r="A716" s="28" t="n">
        <v>715</v>
      </c>
      <c r="B716" s="1" t="inlineStr">
        <is>
          <t>TARA SINDALE</t>
        </is>
      </c>
      <c r="C716" s="30" t="n">
        <v>45872</v>
      </c>
      <c r="D716" s="1" t="inlineStr">
        <is>
          <t>MILDURA</t>
        </is>
      </c>
      <c r="E716" s="12" t="inlineStr">
        <is>
          <t>IND/MEL/00715</t>
        </is>
      </c>
      <c r="F716" s="1" t="inlineStr">
        <is>
          <t>M</t>
        </is>
      </c>
      <c r="G716" s="1" t="inlineStr">
        <is>
          <t>Rohit Sindale</t>
        </is>
      </c>
      <c r="H716" s="1" t="inlineStr">
        <is>
          <t>Riya Sindale</t>
        </is>
      </c>
      <c r="I716" s="30" t="n">
        <v>45939</v>
      </c>
      <c r="J716" s="1" t="inlineStr">
        <is>
          <t>79 Birchwood Lane</t>
        </is>
      </c>
      <c r="K716" s="1" t="inlineStr">
        <is>
          <t>Emerald Road</t>
        </is>
      </c>
      <c r="L716" s="1" t="inlineStr">
        <is>
          <t>PIN:922144 MILDURA</t>
        </is>
      </c>
      <c r="M716" s="2" t="inlineStr">
        <is>
          <t>MHA/IND/00719</t>
        </is>
      </c>
      <c r="N716" s="30" t="n">
        <v>45873</v>
      </c>
    </row>
    <row r="717">
      <c r="A717" s="28" t="n">
        <v>716</v>
      </c>
      <c r="B717" s="1" t="inlineStr">
        <is>
          <t>DEV RAO</t>
        </is>
      </c>
      <c r="C717" s="30" t="n">
        <v>45678</v>
      </c>
      <c r="D717" s="1" t="inlineStr">
        <is>
          <t>BENDIGO</t>
        </is>
      </c>
      <c r="E717" s="12" t="inlineStr">
        <is>
          <t>IND/MEL/00716</t>
        </is>
      </c>
      <c r="F717" s="1" t="inlineStr">
        <is>
          <t>M</t>
        </is>
      </c>
      <c r="G717" s="1" t="inlineStr">
        <is>
          <t>Rohit Rao</t>
        </is>
      </c>
      <c r="H717" s="1" t="inlineStr">
        <is>
          <t>Alya Rao</t>
        </is>
      </c>
      <c r="I717" s="30" t="n">
        <v>45741</v>
      </c>
      <c r="J717" s="1" t="inlineStr">
        <is>
          <t>196 Birchwood Lane</t>
        </is>
      </c>
      <c r="K717" s="1" t="inlineStr">
        <is>
          <t>Emerald Road</t>
        </is>
      </c>
      <c r="L717" s="1" t="inlineStr">
        <is>
          <t>PIN:670585 BENDIGO</t>
        </is>
      </c>
      <c r="M717" s="2" t="inlineStr">
        <is>
          <t>MHA/IND/00720</t>
        </is>
      </c>
      <c r="N717" s="30" t="n">
        <v>45853</v>
      </c>
    </row>
    <row r="718">
      <c r="A718" s="28" t="n">
        <v>717</v>
      </c>
      <c r="B718" s="1" t="inlineStr">
        <is>
          <t>ISHAN RISHKAN</t>
        </is>
      </c>
      <c r="C718" s="30" t="n">
        <v>45871</v>
      </c>
      <c r="D718" s="1" t="inlineStr">
        <is>
          <t>ELIZABETH VALE</t>
        </is>
      </c>
      <c r="E718" s="12" t="inlineStr">
        <is>
          <t>IND/MEL/00717</t>
        </is>
      </c>
      <c r="F718" s="1" t="inlineStr">
        <is>
          <t>F</t>
        </is>
      </c>
      <c r="G718" s="1" t="inlineStr">
        <is>
          <t>Arjun Kaleon</t>
        </is>
      </c>
      <c r="H718" s="1" t="inlineStr">
        <is>
          <t>Diya Kaleon</t>
        </is>
      </c>
      <c r="I718" s="30" t="n">
        <v>45877</v>
      </c>
      <c r="J718" s="1" t="inlineStr">
        <is>
          <t>21 Birchwood Lane</t>
        </is>
      </c>
      <c r="K718" s="1" t="inlineStr">
        <is>
          <t>Emerald Road</t>
        </is>
      </c>
      <c r="L718" s="1" t="inlineStr">
        <is>
          <t>PIN:270043 ELIZABETH VALE</t>
        </is>
      </c>
      <c r="M718" s="2" t="inlineStr">
        <is>
          <t>MHA/IND/00721</t>
        </is>
      </c>
      <c r="N718" s="30" t="n">
        <v>45865</v>
      </c>
    </row>
    <row r="719">
      <c r="A719" s="28" t="n">
        <v>718</v>
      </c>
      <c r="B719" s="1" t="inlineStr">
        <is>
          <t>KABIR SINDALE</t>
        </is>
      </c>
      <c r="C719" s="30" t="n">
        <v>45678</v>
      </c>
      <c r="D719" s="1" t="inlineStr">
        <is>
          <t>ROCKHAMPTON</t>
        </is>
      </c>
      <c r="E719" s="12" t="inlineStr">
        <is>
          <t>IND/MEL/00718</t>
        </is>
      </c>
      <c r="F719" s="1" t="inlineStr">
        <is>
          <t>F</t>
        </is>
      </c>
      <c r="G719" s="1" t="inlineStr">
        <is>
          <t>Ishan Sharma</t>
        </is>
      </c>
      <c r="H719" s="1" t="inlineStr">
        <is>
          <t>Alya Sharma</t>
        </is>
      </c>
      <c r="I719" s="30" t="n">
        <v>45723</v>
      </c>
      <c r="J719" s="1" t="inlineStr">
        <is>
          <t>18 Birchwood Lane</t>
        </is>
      </c>
      <c r="K719" s="1" t="inlineStr">
        <is>
          <t>Emerald Road</t>
        </is>
      </c>
      <c r="L719" s="1" t="inlineStr">
        <is>
          <t>PIN:303591 ROCKHAMPTON</t>
        </is>
      </c>
      <c r="M719" s="2" t="inlineStr">
        <is>
          <t>MHA/IND/00722</t>
        </is>
      </c>
      <c r="N719" s="30" t="n">
        <v>45840</v>
      </c>
    </row>
    <row r="720">
      <c r="A720" s="28" t="n">
        <v>719</v>
      </c>
      <c r="B720" s="1" t="inlineStr">
        <is>
          <t>KABIR SINDALE</t>
        </is>
      </c>
      <c r="C720" s="30" t="n">
        <v>45759</v>
      </c>
      <c r="D720" s="1" t="inlineStr">
        <is>
          <t>PENRITH</t>
        </is>
      </c>
      <c r="E720" s="12" t="inlineStr">
        <is>
          <t>IND/MEL/00719</t>
        </is>
      </c>
      <c r="F720" s="1" t="inlineStr">
        <is>
          <t>F</t>
        </is>
      </c>
      <c r="G720" s="1" t="inlineStr">
        <is>
          <t>Rohit Rishkan</t>
        </is>
      </c>
      <c r="H720" s="1" t="inlineStr">
        <is>
          <t>Diya Rishkan</t>
        </is>
      </c>
      <c r="I720" s="30" t="n">
        <v>45784</v>
      </c>
      <c r="J720" s="1" t="inlineStr">
        <is>
          <t>15 Birchwood Lane</t>
        </is>
      </c>
      <c r="K720" s="1" t="inlineStr">
        <is>
          <t>Emerald Road</t>
        </is>
      </c>
      <c r="L720" s="1" t="inlineStr">
        <is>
          <t>PIN:224030 PENRITH</t>
        </is>
      </c>
      <c r="M720" s="2" t="inlineStr">
        <is>
          <t>MHA/IND/00723</t>
        </is>
      </c>
      <c r="N720" s="30" t="n">
        <v>45878</v>
      </c>
    </row>
    <row r="721">
      <c r="A721" s="28" t="n">
        <v>720</v>
      </c>
      <c r="B721" s="1" t="inlineStr">
        <is>
          <t>AREN RAO</t>
        </is>
      </c>
      <c r="C721" s="30" t="n">
        <v>45922</v>
      </c>
      <c r="D721" s="1" t="inlineStr">
        <is>
          <t>SHEPPARTON</t>
        </is>
      </c>
      <c r="E721" s="12" t="inlineStr">
        <is>
          <t>IND/MEL/00720</t>
        </is>
      </c>
      <c r="F721" s="1" t="inlineStr">
        <is>
          <t>M</t>
        </is>
      </c>
      <c r="G721" s="1" t="inlineStr">
        <is>
          <t>Kiran Sharma</t>
        </is>
      </c>
      <c r="H721" s="1" t="inlineStr">
        <is>
          <t>Anya Sharma</t>
        </is>
      </c>
      <c r="I721" s="30" t="n">
        <v>46001</v>
      </c>
      <c r="J721" s="1" t="inlineStr">
        <is>
          <t>80 Birchwood Lane</t>
        </is>
      </c>
      <c r="K721" s="1" t="inlineStr">
        <is>
          <t>Emerald Road</t>
        </is>
      </c>
      <c r="L721" s="1" t="inlineStr">
        <is>
          <t>PIN:482859 SHEPPARTON</t>
        </is>
      </c>
      <c r="M721" s="2" t="inlineStr">
        <is>
          <t>MHA/IND/00724</t>
        </is>
      </c>
      <c r="N721" s="30" t="n">
        <v>45845</v>
      </c>
    </row>
    <row r="722">
      <c r="A722" s="28" t="n">
        <v>721</v>
      </c>
      <c r="B722" s="1" t="inlineStr">
        <is>
          <t>ANYA KALEON</t>
        </is>
      </c>
      <c r="C722" s="30" t="n">
        <v>45951</v>
      </c>
      <c r="D722" s="1" t="inlineStr">
        <is>
          <t>CANBERRA</t>
        </is>
      </c>
      <c r="E722" s="12" t="inlineStr">
        <is>
          <t>IND/MEL/00721</t>
        </is>
      </c>
      <c r="F722" s="1" t="inlineStr">
        <is>
          <t>F</t>
        </is>
      </c>
      <c r="G722" s="1" t="inlineStr">
        <is>
          <t>Rohit Kaleon</t>
        </is>
      </c>
      <c r="H722" s="1" t="inlineStr">
        <is>
          <t>Tara Kaleon</t>
        </is>
      </c>
      <c r="I722" s="30" t="n">
        <v>45996</v>
      </c>
      <c r="J722" s="1" t="inlineStr">
        <is>
          <t>125 Birchwood Lane</t>
        </is>
      </c>
      <c r="K722" s="1" t="inlineStr">
        <is>
          <t>Emerald Road</t>
        </is>
      </c>
      <c r="L722" s="1" t="inlineStr">
        <is>
          <t>PIN:924013 CANBERRA</t>
        </is>
      </c>
      <c r="M722" s="2" t="inlineStr">
        <is>
          <t>MHA/IND/00725</t>
        </is>
      </c>
      <c r="N722" s="30" t="n">
        <v>45858</v>
      </c>
    </row>
    <row r="723">
      <c r="A723" s="28" t="n">
        <v>722</v>
      </c>
      <c r="B723" s="1" t="inlineStr">
        <is>
          <t>TARA SHARMA</t>
        </is>
      </c>
      <c r="C723" s="30" t="n">
        <v>45810</v>
      </c>
      <c r="D723" s="1" t="inlineStr">
        <is>
          <t>KINGSWOOD</t>
        </is>
      </c>
      <c r="E723" s="12" t="inlineStr">
        <is>
          <t>IND/MEL/00722</t>
        </is>
      </c>
      <c r="F723" s="1" t="inlineStr">
        <is>
          <t>F</t>
        </is>
      </c>
      <c r="G723" s="1" t="inlineStr">
        <is>
          <t>Dev Sindale</t>
        </is>
      </c>
      <c r="H723" s="1" t="inlineStr">
        <is>
          <t>Sara Sindale</t>
        </is>
      </c>
      <c r="I723" s="30" t="n">
        <v>45883</v>
      </c>
      <c r="J723" s="1" t="inlineStr">
        <is>
          <t>41 Birchwood Lane</t>
        </is>
      </c>
      <c r="K723" s="1" t="inlineStr">
        <is>
          <t>Emerald Road</t>
        </is>
      </c>
      <c r="L723" s="1" t="inlineStr">
        <is>
          <t>PIN:781777 KINGSWOOD</t>
        </is>
      </c>
      <c r="M723" s="2" t="inlineStr">
        <is>
          <t>MHA/IND/00726</t>
        </is>
      </c>
      <c r="N723" s="30" t="n">
        <v>45865</v>
      </c>
    </row>
    <row r="724">
      <c r="A724" s="28" t="n">
        <v>723</v>
      </c>
      <c r="B724" s="1" t="inlineStr">
        <is>
          <t>NINA RISHKAN</t>
        </is>
      </c>
      <c r="C724" s="30" t="n">
        <v>45803</v>
      </c>
      <c r="D724" s="1" t="inlineStr">
        <is>
          <t>LOGAN</t>
        </is>
      </c>
      <c r="E724" s="12" t="inlineStr">
        <is>
          <t>IND/MEL/00723</t>
        </is>
      </c>
      <c r="F724" s="1" t="inlineStr">
        <is>
          <t>F</t>
        </is>
      </c>
      <c r="G724" s="1" t="inlineStr">
        <is>
          <t>Ishan Rishkan</t>
        </is>
      </c>
      <c r="H724" s="1" t="inlineStr">
        <is>
          <t>Nina Rishkan</t>
        </is>
      </c>
      <c r="I724" s="30" t="n">
        <v>45810</v>
      </c>
      <c r="J724" s="1" t="inlineStr">
        <is>
          <t>185 Birchwood Lane</t>
        </is>
      </c>
      <c r="K724" s="1" t="inlineStr">
        <is>
          <t>Emerald Road</t>
        </is>
      </c>
      <c r="L724" s="1" t="inlineStr">
        <is>
          <t>PIN:787279 LOGAN</t>
        </is>
      </c>
      <c r="M724" s="2" t="inlineStr">
        <is>
          <t>MHA/IND/00727</t>
        </is>
      </c>
      <c r="N724" s="30" t="n">
        <v>45885</v>
      </c>
    </row>
    <row r="725">
      <c r="A725" s="28" t="n">
        <v>724</v>
      </c>
      <c r="B725" s="1" t="inlineStr">
        <is>
          <t>ISHAN SHARMA</t>
        </is>
      </c>
      <c r="C725" s="30" t="n">
        <v>45745</v>
      </c>
      <c r="D725" s="1" t="inlineStr">
        <is>
          <t>WOLLONGONG</t>
        </is>
      </c>
      <c r="E725" s="12" t="inlineStr">
        <is>
          <t>IND/MEL/00724</t>
        </is>
      </c>
      <c r="F725" s="1" t="inlineStr">
        <is>
          <t>M</t>
        </is>
      </c>
      <c r="G725" s="1" t="inlineStr">
        <is>
          <t>Rohit Valzari</t>
        </is>
      </c>
      <c r="H725" s="1" t="inlineStr">
        <is>
          <t>Anya Valzari</t>
        </is>
      </c>
      <c r="I725" s="30" t="n">
        <v>45765</v>
      </c>
      <c r="J725" s="1" t="inlineStr">
        <is>
          <t>164 Birchwood Lane</t>
        </is>
      </c>
      <c r="K725" s="1" t="inlineStr">
        <is>
          <t>Emerald Road</t>
        </is>
      </c>
      <c r="L725" s="1" t="inlineStr">
        <is>
          <t>PIN:587534 WOLLONGONG</t>
        </is>
      </c>
      <c r="M725" s="2" t="inlineStr">
        <is>
          <t>MHA/IND/00728</t>
        </is>
      </c>
      <c r="N725" s="30" t="n">
        <v>45867</v>
      </c>
    </row>
    <row r="726">
      <c r="A726" s="28" t="n">
        <v>725</v>
      </c>
      <c r="B726" s="1" t="inlineStr">
        <is>
          <t>DIYA KALEON</t>
        </is>
      </c>
      <c r="C726" s="30" t="n">
        <v>45710</v>
      </c>
      <c r="D726" s="1" t="inlineStr">
        <is>
          <t>LENAH VALLEY</t>
        </is>
      </c>
      <c r="E726" s="12" t="inlineStr">
        <is>
          <t>IND/MEL/00725</t>
        </is>
      </c>
      <c r="F726" s="1" t="inlineStr">
        <is>
          <t>F</t>
        </is>
      </c>
      <c r="G726" s="1" t="inlineStr">
        <is>
          <t>Ishan Sharma</t>
        </is>
      </c>
      <c r="H726" s="1" t="inlineStr">
        <is>
          <t>Mira Sharma</t>
        </is>
      </c>
      <c r="I726" s="30" t="n">
        <v>45826</v>
      </c>
      <c r="J726" s="1" t="inlineStr">
        <is>
          <t>173 Birchwood Lane</t>
        </is>
      </c>
      <c r="K726" s="1" t="inlineStr">
        <is>
          <t>Emerald Road</t>
        </is>
      </c>
      <c r="L726" s="1" t="inlineStr">
        <is>
          <t>PIN:603275 LENAH VALLEY</t>
        </is>
      </c>
      <c r="M726" s="2" t="inlineStr">
        <is>
          <t>MHA/IND/00729</t>
        </is>
      </c>
      <c r="N726" s="30" t="n">
        <v>45895</v>
      </c>
    </row>
    <row r="727">
      <c r="A727" s="28" t="n">
        <v>726</v>
      </c>
      <c r="B727" s="1" t="inlineStr">
        <is>
          <t>SARA SINDALE</t>
        </is>
      </c>
      <c r="C727" s="30" t="n">
        <v>45924</v>
      </c>
      <c r="D727" s="1" t="inlineStr">
        <is>
          <t>ST ALBANS</t>
        </is>
      </c>
      <c r="E727" s="12" t="inlineStr">
        <is>
          <t>IND/MEL/00726</t>
        </is>
      </c>
      <c r="F727" s="1" t="inlineStr">
        <is>
          <t>M</t>
        </is>
      </c>
      <c r="G727" s="1" t="inlineStr">
        <is>
          <t>Ishan Sharma</t>
        </is>
      </c>
      <c r="H727" s="1" t="inlineStr">
        <is>
          <t>Sara Sharma</t>
        </is>
      </c>
      <c r="I727" s="30" t="n">
        <v>45978</v>
      </c>
      <c r="J727" s="1" t="inlineStr">
        <is>
          <t>185 Birchwood Lane</t>
        </is>
      </c>
      <c r="K727" s="1" t="inlineStr">
        <is>
          <t>Emerald Road</t>
        </is>
      </c>
      <c r="L727" s="1" t="inlineStr">
        <is>
          <t>PIN:267223 ST ALBANS</t>
        </is>
      </c>
      <c r="M727" s="2" t="inlineStr">
        <is>
          <t>MHA/IND/00730</t>
        </is>
      </c>
      <c r="N727" s="30" t="n">
        <v>45847</v>
      </c>
    </row>
    <row r="728">
      <c r="A728" s="28" t="n">
        <v>727</v>
      </c>
      <c r="B728" s="1" t="inlineStr">
        <is>
          <t>ANYA RISHKAN</t>
        </is>
      </c>
      <c r="C728" s="30" t="n">
        <v>45884</v>
      </c>
      <c r="D728" s="1" t="inlineStr">
        <is>
          <t>MOUNT BARKER</t>
        </is>
      </c>
      <c r="E728" s="12" t="inlineStr">
        <is>
          <t>IND/MEL/00727</t>
        </is>
      </c>
      <c r="F728" s="1" t="inlineStr">
        <is>
          <t>M</t>
        </is>
      </c>
      <c r="G728" s="1" t="inlineStr">
        <is>
          <t>Arjun Rao</t>
        </is>
      </c>
      <c r="H728" s="1" t="inlineStr">
        <is>
          <t>Nina Rao</t>
        </is>
      </c>
      <c r="I728" s="30" t="n">
        <v>45993</v>
      </c>
      <c r="J728" s="1" t="inlineStr">
        <is>
          <t>34 Birchwood Lane</t>
        </is>
      </c>
      <c r="K728" s="1" t="inlineStr">
        <is>
          <t>Emerald Road</t>
        </is>
      </c>
      <c r="L728" s="1" t="inlineStr">
        <is>
          <t>PIN:714417 MOUNT BARKER</t>
        </is>
      </c>
      <c r="M728" s="2" t="inlineStr">
        <is>
          <t>MHA/IND/00731</t>
        </is>
      </c>
      <c r="N728" s="30" t="n">
        <v>45896</v>
      </c>
    </row>
    <row r="729">
      <c r="A729" s="28" t="n">
        <v>728</v>
      </c>
      <c r="B729" s="1" t="inlineStr">
        <is>
          <t>ISHAN VALZARI</t>
        </is>
      </c>
      <c r="C729" s="30" t="n">
        <v>45849</v>
      </c>
      <c r="D729" s="1" t="inlineStr">
        <is>
          <t>WAGGA WAGGA</t>
        </is>
      </c>
      <c r="E729" s="12" t="inlineStr">
        <is>
          <t>IND/MEL/00728</t>
        </is>
      </c>
      <c r="F729" s="1" t="inlineStr">
        <is>
          <t>F</t>
        </is>
      </c>
      <c r="G729" s="1" t="inlineStr">
        <is>
          <t>Dev Myrthos</t>
        </is>
      </c>
      <c r="H729" s="1" t="inlineStr">
        <is>
          <t>Anya Myrthos</t>
        </is>
      </c>
      <c r="I729" s="30" t="n">
        <v>45947</v>
      </c>
      <c r="J729" s="1" t="inlineStr">
        <is>
          <t>180 Birchwood Lane</t>
        </is>
      </c>
      <c r="K729" s="1" t="inlineStr">
        <is>
          <t>Emerald Road</t>
        </is>
      </c>
      <c r="L729" s="1" t="inlineStr">
        <is>
          <t>PIN:547163 WAGGA WAGGA</t>
        </is>
      </c>
      <c r="M729" s="2" t="inlineStr">
        <is>
          <t>MHA/IND/00732</t>
        </is>
      </c>
      <c r="N729" s="30" t="n">
        <v>45858</v>
      </c>
    </row>
    <row r="730">
      <c r="A730" s="28" t="n">
        <v>729</v>
      </c>
      <c r="B730" s="1" t="inlineStr">
        <is>
          <t>ANYA SHARMA</t>
        </is>
      </c>
      <c r="C730" s="30" t="n">
        <v>45828</v>
      </c>
      <c r="D730" s="1" t="inlineStr">
        <is>
          <t>MANDURAH</t>
        </is>
      </c>
      <c r="E730" s="12" t="inlineStr">
        <is>
          <t>IND/MEL/00729</t>
        </is>
      </c>
      <c r="F730" s="1" t="inlineStr">
        <is>
          <t>F</t>
        </is>
      </c>
      <c r="G730" s="1" t="inlineStr">
        <is>
          <t>Kiran Kaleon</t>
        </is>
      </c>
      <c r="H730" s="1" t="inlineStr">
        <is>
          <t>Diya Kaleon</t>
        </is>
      </c>
      <c r="I730" s="30" t="n">
        <v>45920</v>
      </c>
      <c r="J730" s="1" t="inlineStr">
        <is>
          <t>175 Birchwood Lane</t>
        </is>
      </c>
      <c r="K730" s="1" t="inlineStr">
        <is>
          <t>Emerald Road</t>
        </is>
      </c>
      <c r="L730" s="1" t="inlineStr">
        <is>
          <t>PIN:580720 MANDURAH</t>
        </is>
      </c>
      <c r="M730" s="2" t="inlineStr">
        <is>
          <t>MHA/IND/00733</t>
        </is>
      </c>
      <c r="N730" s="30" t="n">
        <v>45869</v>
      </c>
    </row>
    <row r="731">
      <c r="A731" s="28" t="n">
        <v>730</v>
      </c>
      <c r="B731" s="1" t="inlineStr">
        <is>
          <t>AREN SHARMA</t>
        </is>
      </c>
      <c r="C731" s="30" t="n">
        <v>45846</v>
      </c>
      <c r="D731" s="1" t="inlineStr">
        <is>
          <t>BERWICK</t>
        </is>
      </c>
      <c r="E731" s="12" t="inlineStr">
        <is>
          <t>IND/MEL/00730</t>
        </is>
      </c>
      <c r="F731" s="1" t="inlineStr">
        <is>
          <t>M</t>
        </is>
      </c>
      <c r="G731" s="1" t="inlineStr">
        <is>
          <t>Kabir Valzari</t>
        </is>
      </c>
      <c r="H731" s="1" t="inlineStr">
        <is>
          <t>Anya Valzari</t>
        </is>
      </c>
      <c r="I731" s="30" t="n">
        <v>45910</v>
      </c>
      <c r="J731" s="1" t="inlineStr">
        <is>
          <t>172 Birchwood Lane</t>
        </is>
      </c>
      <c r="K731" s="1" t="inlineStr">
        <is>
          <t>Emerald Road</t>
        </is>
      </c>
      <c r="L731" s="1" t="inlineStr">
        <is>
          <t>PIN:562388 BERWICK</t>
        </is>
      </c>
      <c r="M731" s="2" t="inlineStr">
        <is>
          <t>MHA/IND/00734</t>
        </is>
      </c>
      <c r="N731" s="30" t="n">
        <v>45853</v>
      </c>
    </row>
    <row r="732">
      <c r="A732" s="28" t="n">
        <v>731</v>
      </c>
      <c r="B732" s="1" t="inlineStr">
        <is>
          <t>KIRAN RAO</t>
        </is>
      </c>
      <c r="C732" s="30" t="n">
        <v>45841</v>
      </c>
      <c r="D732" s="1" t="inlineStr">
        <is>
          <t>BERWICK</t>
        </is>
      </c>
      <c r="E732" s="12" t="inlineStr">
        <is>
          <t>IND/MEL/00731</t>
        </is>
      </c>
      <c r="F732" s="1" t="inlineStr">
        <is>
          <t>F</t>
        </is>
      </c>
      <c r="G732" s="1" t="inlineStr">
        <is>
          <t>Arjun Valzari</t>
        </is>
      </c>
      <c r="H732" s="1" t="inlineStr">
        <is>
          <t>Riya Valzari</t>
        </is>
      </c>
      <c r="I732" s="30" t="n">
        <v>45873</v>
      </c>
      <c r="J732" s="1" t="inlineStr">
        <is>
          <t>82 Birchwood Lane</t>
        </is>
      </c>
      <c r="K732" s="1" t="inlineStr">
        <is>
          <t>Emerald Road</t>
        </is>
      </c>
      <c r="L732" s="1" t="inlineStr">
        <is>
          <t>PIN:894635 BERWICK</t>
        </is>
      </c>
      <c r="M732" s="2" t="inlineStr">
        <is>
          <t>MHA/IND/00735</t>
        </is>
      </c>
      <c r="N732" s="30" t="n">
        <v>45893</v>
      </c>
    </row>
    <row r="733">
      <c r="A733" s="28" t="n">
        <v>732</v>
      </c>
      <c r="B733" s="1" t="inlineStr">
        <is>
          <t>DIYA MYRTHOS</t>
        </is>
      </c>
      <c r="C733" s="30" t="n">
        <v>45922</v>
      </c>
      <c r="D733" s="1" t="inlineStr">
        <is>
          <t>LIVERPOOL</t>
        </is>
      </c>
      <c r="E733" s="12" t="inlineStr">
        <is>
          <t>IND/MEL/00732</t>
        </is>
      </c>
      <c r="F733" s="1" t="inlineStr">
        <is>
          <t>M</t>
        </is>
      </c>
      <c r="G733" s="1" t="inlineStr">
        <is>
          <t>Dev Myrthos</t>
        </is>
      </c>
      <c r="H733" s="1" t="inlineStr">
        <is>
          <t>Riya Myrthos</t>
        </is>
      </c>
      <c r="I733" s="30" t="n">
        <v>45983</v>
      </c>
      <c r="J733" s="1" t="inlineStr">
        <is>
          <t>164 Birchwood Lane</t>
        </is>
      </c>
      <c r="K733" s="1" t="inlineStr">
        <is>
          <t>Emerald Road</t>
        </is>
      </c>
      <c r="L733" s="1" t="inlineStr">
        <is>
          <t>PIN:165275 LIVERPOOL</t>
        </is>
      </c>
      <c r="M733" s="2" t="inlineStr">
        <is>
          <t>MHA/IND/00736</t>
        </is>
      </c>
      <c r="N733" s="30" t="n">
        <v>45868</v>
      </c>
    </row>
    <row r="734">
      <c r="A734" s="28" t="n">
        <v>733</v>
      </c>
      <c r="B734" s="1" t="inlineStr">
        <is>
          <t>RIYA KALEON</t>
        </is>
      </c>
      <c r="C734" s="30" t="n">
        <v>45721</v>
      </c>
      <c r="D734" s="1" t="inlineStr">
        <is>
          <t>NEWCASTLE</t>
        </is>
      </c>
      <c r="E734" s="12" t="inlineStr">
        <is>
          <t>IND/MEL/00733</t>
        </is>
      </c>
      <c r="F734" s="1" t="inlineStr">
        <is>
          <t>M</t>
        </is>
      </c>
      <c r="G734" s="1" t="inlineStr">
        <is>
          <t>Aren Sharma</t>
        </is>
      </c>
      <c r="H734" s="1" t="inlineStr">
        <is>
          <t>Diya Sharma</t>
        </is>
      </c>
      <c r="I734" s="30" t="n">
        <v>45744</v>
      </c>
      <c r="J734" s="1" t="inlineStr">
        <is>
          <t>151 Birchwood Lane</t>
        </is>
      </c>
      <c r="K734" s="1" t="inlineStr">
        <is>
          <t>Emerald Road</t>
        </is>
      </c>
      <c r="L734" s="1" t="inlineStr">
        <is>
          <t>PIN:313133 NEWCASTLE</t>
        </is>
      </c>
      <c r="M734" s="2" t="inlineStr">
        <is>
          <t>MHA/IND/00737</t>
        </is>
      </c>
      <c r="N734" s="30" t="n">
        <v>45885</v>
      </c>
    </row>
    <row r="735">
      <c r="A735" s="28" t="n">
        <v>734</v>
      </c>
      <c r="B735" s="1" t="inlineStr">
        <is>
          <t>AREN VALZARI</t>
        </is>
      </c>
      <c r="C735" s="30" t="n">
        <v>45751</v>
      </c>
      <c r="D735" s="1" t="inlineStr">
        <is>
          <t>LIVERPOOL</t>
        </is>
      </c>
      <c r="E735" s="12" t="inlineStr">
        <is>
          <t>IND/MEL/00734</t>
        </is>
      </c>
      <c r="F735" s="1" t="inlineStr">
        <is>
          <t>F</t>
        </is>
      </c>
      <c r="G735" s="1" t="inlineStr">
        <is>
          <t>Aren Sindale</t>
        </is>
      </c>
      <c r="H735" s="1" t="inlineStr">
        <is>
          <t>Riya Sindale</t>
        </is>
      </c>
      <c r="I735" s="30" t="n">
        <v>45763</v>
      </c>
      <c r="J735" s="1" t="inlineStr">
        <is>
          <t>29 Birchwood Lane</t>
        </is>
      </c>
      <c r="K735" s="1" t="inlineStr">
        <is>
          <t>Emerald Road</t>
        </is>
      </c>
      <c r="L735" s="1" t="inlineStr">
        <is>
          <t>PIN:978049 LIVERPOOL</t>
        </is>
      </c>
      <c r="M735" s="2" t="inlineStr">
        <is>
          <t>MHA/IND/00738</t>
        </is>
      </c>
      <c r="N735" s="30" t="n">
        <v>45878</v>
      </c>
    </row>
    <row r="736">
      <c r="A736" s="28" t="n">
        <v>735</v>
      </c>
      <c r="B736" s="1" t="inlineStr">
        <is>
          <t>SARA VALZARI</t>
        </is>
      </c>
      <c r="C736" s="30" t="n">
        <v>45863</v>
      </c>
      <c r="D736" s="1" t="inlineStr">
        <is>
          <t>NEWCASTLE</t>
        </is>
      </c>
      <c r="E736" s="12" t="inlineStr">
        <is>
          <t>IND/MEL/00735</t>
        </is>
      </c>
      <c r="F736" s="1" t="inlineStr">
        <is>
          <t>M</t>
        </is>
      </c>
      <c r="G736" s="1" t="inlineStr">
        <is>
          <t>Arjun Kaleon</t>
        </is>
      </c>
      <c r="H736" s="1" t="inlineStr">
        <is>
          <t>Alya Kaleon</t>
        </is>
      </c>
      <c r="I736" s="30" t="n">
        <v>45879</v>
      </c>
      <c r="J736" s="1" t="inlineStr">
        <is>
          <t>62 Birchwood Lane</t>
        </is>
      </c>
      <c r="K736" s="1" t="inlineStr">
        <is>
          <t>Emerald Road</t>
        </is>
      </c>
      <c r="L736" s="1" t="inlineStr">
        <is>
          <t>PIN:759250 NEWCASTLE</t>
        </is>
      </c>
      <c r="M736" s="2" t="inlineStr">
        <is>
          <t>MHA/IND/00739</t>
        </is>
      </c>
      <c r="N736" s="30" t="n">
        <v>45854</v>
      </c>
    </row>
    <row r="737">
      <c r="A737" s="28" t="n">
        <v>736</v>
      </c>
      <c r="B737" s="1" t="inlineStr">
        <is>
          <t>KABIR MYRTHOS</t>
        </is>
      </c>
      <c r="C737" s="30" t="n">
        <v>45678</v>
      </c>
      <c r="D737" s="1" t="inlineStr">
        <is>
          <t>LIVERPOOL</t>
        </is>
      </c>
      <c r="E737" s="12" t="inlineStr">
        <is>
          <t>IND/MEL/00736</t>
        </is>
      </c>
      <c r="F737" s="1" t="inlineStr">
        <is>
          <t>M</t>
        </is>
      </c>
      <c r="G737" s="1" t="inlineStr">
        <is>
          <t>Rohit Sharma</t>
        </is>
      </c>
      <c r="H737" s="1" t="inlineStr">
        <is>
          <t>Alya Sharma</t>
        </is>
      </c>
      <c r="I737" s="30" t="n">
        <v>45709</v>
      </c>
      <c r="J737" s="1" t="inlineStr">
        <is>
          <t>136 Birchwood Lane</t>
        </is>
      </c>
      <c r="K737" s="1" t="inlineStr">
        <is>
          <t>Emerald Road</t>
        </is>
      </c>
      <c r="L737" s="1" t="inlineStr">
        <is>
          <t>PIN:265684 LIVERPOOL</t>
        </is>
      </c>
      <c r="M737" s="2" t="inlineStr">
        <is>
          <t>MHA/IND/00740</t>
        </is>
      </c>
      <c r="N737" s="30" t="n">
        <v>45844</v>
      </c>
    </row>
    <row r="738">
      <c r="A738" s="28" t="n">
        <v>737</v>
      </c>
      <c r="B738" s="1" t="inlineStr">
        <is>
          <t>KIRAN SHARMA</t>
        </is>
      </c>
      <c r="C738" s="30" t="n">
        <v>45815</v>
      </c>
      <c r="D738" s="1" t="inlineStr">
        <is>
          <t>BENDIGO</t>
        </is>
      </c>
      <c r="E738" s="12" t="inlineStr">
        <is>
          <t>IND/MEL/00737</t>
        </is>
      </c>
      <c r="F738" s="1" t="inlineStr">
        <is>
          <t>M</t>
        </is>
      </c>
      <c r="G738" s="1" t="inlineStr">
        <is>
          <t>Dev Kaleon</t>
        </is>
      </c>
      <c r="H738" s="1" t="inlineStr">
        <is>
          <t>Tara Kaleon</t>
        </is>
      </c>
      <c r="I738" s="30" t="n">
        <v>45869</v>
      </c>
      <c r="J738" s="1" t="inlineStr">
        <is>
          <t>70 Birchwood Lane</t>
        </is>
      </c>
      <c r="K738" s="1" t="inlineStr">
        <is>
          <t>Emerald Road</t>
        </is>
      </c>
      <c r="L738" s="1" t="inlineStr">
        <is>
          <t>PIN:669525 BENDIGO</t>
        </is>
      </c>
      <c r="M738" s="2" t="inlineStr">
        <is>
          <t>MHA/IND/00741</t>
        </is>
      </c>
      <c r="N738" s="30" t="n">
        <v>45885</v>
      </c>
    </row>
    <row r="739">
      <c r="A739" s="28" t="n">
        <v>738</v>
      </c>
      <c r="B739" s="1" t="inlineStr">
        <is>
          <t>TARA SINDALE</t>
        </is>
      </c>
      <c r="C739" s="30" t="n">
        <v>45851</v>
      </c>
      <c r="D739" s="1" t="inlineStr">
        <is>
          <t>WOLLONGONG</t>
        </is>
      </c>
      <c r="E739" s="12" t="inlineStr">
        <is>
          <t>IND/MEL/00738</t>
        </is>
      </c>
      <c r="F739" s="1" t="inlineStr">
        <is>
          <t>F</t>
        </is>
      </c>
      <c r="G739" s="1" t="inlineStr">
        <is>
          <t>Rohit Sindale</t>
        </is>
      </c>
      <c r="H739" s="1" t="inlineStr">
        <is>
          <t>Nina Sindale</t>
        </is>
      </c>
      <c r="I739" s="30" t="n">
        <v>45889</v>
      </c>
      <c r="J739" s="1" t="inlineStr">
        <is>
          <t>71 Birchwood Lane</t>
        </is>
      </c>
      <c r="K739" s="1" t="inlineStr">
        <is>
          <t>Emerald Road</t>
        </is>
      </c>
      <c r="L739" s="1" t="inlineStr">
        <is>
          <t>PIN:806096 WOLLONGONG</t>
        </is>
      </c>
      <c r="M739" s="2" t="inlineStr">
        <is>
          <t>MHA/IND/00742</t>
        </is>
      </c>
      <c r="N739" s="30" t="n">
        <v>45891</v>
      </c>
    </row>
    <row r="740">
      <c r="A740" s="28" t="n">
        <v>739</v>
      </c>
      <c r="B740" s="1" t="inlineStr">
        <is>
          <t>ARJUN KALEON</t>
        </is>
      </c>
      <c r="C740" s="30" t="n">
        <v>45825</v>
      </c>
      <c r="D740" s="1" t="inlineStr">
        <is>
          <t>DALBY</t>
        </is>
      </c>
      <c r="E740" s="12" t="inlineStr">
        <is>
          <t>IND/MEL/00739</t>
        </is>
      </c>
      <c r="F740" s="1" t="inlineStr">
        <is>
          <t>F</t>
        </is>
      </c>
      <c r="G740" s="1" t="inlineStr">
        <is>
          <t>Kabir Kaleon</t>
        </is>
      </c>
      <c r="H740" s="1" t="inlineStr">
        <is>
          <t>Alya Kaleon</t>
        </is>
      </c>
      <c r="I740" s="30" t="n">
        <v>45844</v>
      </c>
      <c r="J740" s="1" t="inlineStr">
        <is>
          <t>123 Birchwood Lane</t>
        </is>
      </c>
      <c r="K740" s="1" t="inlineStr">
        <is>
          <t>Emerald Road</t>
        </is>
      </c>
      <c r="L740" s="1" t="inlineStr">
        <is>
          <t>PIN:836079 DALBY</t>
        </is>
      </c>
      <c r="M740" s="2" t="inlineStr">
        <is>
          <t>MHA/IND/00743</t>
        </is>
      </c>
      <c r="N740" s="30" t="n">
        <v>45847</v>
      </c>
    </row>
    <row r="741">
      <c r="A741" s="28" t="n">
        <v>740</v>
      </c>
      <c r="B741" s="1" t="inlineStr">
        <is>
          <t>DEV SHARMA</t>
        </is>
      </c>
      <c r="C741" s="30" t="n">
        <v>45685</v>
      </c>
      <c r="D741" s="1" t="inlineStr">
        <is>
          <t>CLAYTON</t>
        </is>
      </c>
      <c r="E741" s="12" t="inlineStr">
        <is>
          <t>IND/MEL/00740</t>
        </is>
      </c>
      <c r="F741" s="1" t="inlineStr">
        <is>
          <t>M</t>
        </is>
      </c>
      <c r="G741" s="1" t="inlineStr">
        <is>
          <t>Kabir Myrthos</t>
        </is>
      </c>
      <c r="H741" s="1" t="inlineStr">
        <is>
          <t>Mira Myrthos</t>
        </is>
      </c>
      <c r="I741" s="30" t="n">
        <v>45709</v>
      </c>
      <c r="J741" s="1" t="inlineStr">
        <is>
          <t>106 Birchwood Lane</t>
        </is>
      </c>
      <c r="K741" s="1" t="inlineStr">
        <is>
          <t>Emerald Road</t>
        </is>
      </c>
      <c r="L741" s="1" t="inlineStr">
        <is>
          <t>PIN:528267 CLAYTON</t>
        </is>
      </c>
      <c r="M741" s="2" t="inlineStr">
        <is>
          <t>MHA/IND/00744</t>
        </is>
      </c>
      <c r="N741" s="30" t="n">
        <v>45884</v>
      </c>
    </row>
    <row r="742">
      <c r="A742" s="28" t="n">
        <v>741</v>
      </c>
      <c r="B742" s="1" t="inlineStr">
        <is>
          <t>KABIR KALEON</t>
        </is>
      </c>
      <c r="C742" s="30" t="n">
        <v>45841</v>
      </c>
      <c r="D742" s="1" t="inlineStr">
        <is>
          <t>MANDURAH</t>
        </is>
      </c>
      <c r="E742" s="12" t="inlineStr">
        <is>
          <t>IND/MEL/00741</t>
        </is>
      </c>
      <c r="F742" s="1" t="inlineStr">
        <is>
          <t>F</t>
        </is>
      </c>
      <c r="G742" s="1" t="inlineStr">
        <is>
          <t>Dev Sindale</t>
        </is>
      </c>
      <c r="H742" s="1" t="inlineStr">
        <is>
          <t>Nina Sindale</t>
        </is>
      </c>
      <c r="I742" s="30" t="n">
        <v>45884</v>
      </c>
      <c r="J742" s="1" t="inlineStr">
        <is>
          <t>163 Birchwood Lane</t>
        </is>
      </c>
      <c r="K742" s="1" t="inlineStr">
        <is>
          <t>Emerald Road</t>
        </is>
      </c>
      <c r="L742" s="1" t="inlineStr">
        <is>
          <t>PIN:587920 MANDURAH</t>
        </is>
      </c>
      <c r="M742" s="2" t="inlineStr">
        <is>
          <t>MHA/IND/00745</t>
        </is>
      </c>
      <c r="N742" s="30" t="n">
        <v>45873</v>
      </c>
    </row>
    <row r="743">
      <c r="A743" s="28" t="n">
        <v>742</v>
      </c>
      <c r="B743" s="1" t="inlineStr">
        <is>
          <t>ALYA SINDALE</t>
        </is>
      </c>
      <c r="C743" s="30" t="n">
        <v>45815</v>
      </c>
      <c r="D743" s="1" t="inlineStr">
        <is>
          <t>BUNDOORA</t>
        </is>
      </c>
      <c r="E743" s="12" t="inlineStr">
        <is>
          <t>IND/MEL/00742</t>
        </is>
      </c>
      <c r="F743" s="1" t="inlineStr">
        <is>
          <t>F</t>
        </is>
      </c>
      <c r="G743" s="1" t="inlineStr">
        <is>
          <t>Kiran Rao</t>
        </is>
      </c>
      <c r="H743" s="1" t="inlineStr">
        <is>
          <t>Tara Rao</t>
        </is>
      </c>
      <c r="I743" s="30" t="n">
        <v>45833</v>
      </c>
      <c r="J743" s="1" t="inlineStr">
        <is>
          <t>166 Birchwood Lane</t>
        </is>
      </c>
      <c r="K743" s="1" t="inlineStr">
        <is>
          <t>Emerald Road</t>
        </is>
      </c>
      <c r="L743" s="1" t="inlineStr">
        <is>
          <t>PIN:443245 BUNDOORA</t>
        </is>
      </c>
      <c r="M743" s="2" t="inlineStr">
        <is>
          <t>MHA/IND/00746</t>
        </is>
      </c>
      <c r="N743" s="30" t="n">
        <v>45844</v>
      </c>
    </row>
    <row r="744">
      <c r="A744" s="28" t="n">
        <v>743</v>
      </c>
      <c r="B744" s="1" t="inlineStr">
        <is>
          <t>MIRA KALEON</t>
        </is>
      </c>
      <c r="C744" s="30" t="n">
        <v>45803</v>
      </c>
      <c r="D744" s="1" t="inlineStr">
        <is>
          <t>BRISBANE</t>
        </is>
      </c>
      <c r="E744" s="12" t="inlineStr">
        <is>
          <t>IND/MEL/00743</t>
        </is>
      </c>
      <c r="F744" s="1" t="inlineStr">
        <is>
          <t>F</t>
        </is>
      </c>
      <c r="G744" s="1" t="inlineStr">
        <is>
          <t>Rohit Rishkan</t>
        </is>
      </c>
      <c r="H744" s="1" t="inlineStr">
        <is>
          <t>Sara Rishkan</t>
        </is>
      </c>
      <c r="I744" s="30" t="n">
        <v>45882</v>
      </c>
      <c r="J744" s="1" t="inlineStr">
        <is>
          <t>130 Birchwood Lane</t>
        </is>
      </c>
      <c r="K744" s="1" t="inlineStr">
        <is>
          <t>Emerald Road</t>
        </is>
      </c>
      <c r="L744" s="1" t="inlineStr">
        <is>
          <t>PIN:854044 BRISBANE</t>
        </is>
      </c>
      <c r="M744" s="2" t="inlineStr">
        <is>
          <t>MHA/IND/00747</t>
        </is>
      </c>
      <c r="N744" s="30" t="n">
        <v>45887</v>
      </c>
    </row>
    <row r="745">
      <c r="A745" s="28" t="n">
        <v>744</v>
      </c>
      <c r="B745" s="1" t="inlineStr">
        <is>
          <t>ROHIT MYRTHOS</t>
        </is>
      </c>
      <c r="C745" s="30" t="n">
        <v>45729</v>
      </c>
      <c r="D745" s="1" t="inlineStr">
        <is>
          <t>BERWICK</t>
        </is>
      </c>
      <c r="E745" s="12" t="inlineStr">
        <is>
          <t>IND/MEL/00744</t>
        </is>
      </c>
      <c r="F745" s="1" t="inlineStr">
        <is>
          <t>M</t>
        </is>
      </c>
      <c r="G745" s="1" t="inlineStr">
        <is>
          <t>Neil Sindale</t>
        </is>
      </c>
      <c r="H745" s="1" t="inlineStr">
        <is>
          <t>Riya Sindale</t>
        </is>
      </c>
      <c r="I745" s="30" t="n">
        <v>45792</v>
      </c>
      <c r="J745" s="1" t="inlineStr">
        <is>
          <t>90 Birchwood Lane</t>
        </is>
      </c>
      <c r="K745" s="1" t="inlineStr">
        <is>
          <t>Emerald Road</t>
        </is>
      </c>
      <c r="L745" s="1" t="inlineStr">
        <is>
          <t>PIN:146112 BERWICK</t>
        </is>
      </c>
      <c r="M745" s="2" t="inlineStr">
        <is>
          <t>MHA/IND/00748</t>
        </is>
      </c>
      <c r="N745" s="30" t="n">
        <v>45858</v>
      </c>
    </row>
    <row r="746">
      <c r="A746" s="28" t="n">
        <v>745</v>
      </c>
      <c r="B746" s="1" t="inlineStr">
        <is>
          <t>TARA SINDALE</t>
        </is>
      </c>
      <c r="C746" s="30" t="n">
        <v>45794</v>
      </c>
      <c r="D746" s="1" t="inlineStr">
        <is>
          <t>GOSFORD</t>
        </is>
      </c>
      <c r="E746" s="12" t="inlineStr">
        <is>
          <t>IND/MEL/00745</t>
        </is>
      </c>
      <c r="F746" s="1" t="inlineStr">
        <is>
          <t>F</t>
        </is>
      </c>
      <c r="G746" s="1" t="inlineStr">
        <is>
          <t>Kiran Sharma</t>
        </is>
      </c>
      <c r="H746" s="1" t="inlineStr">
        <is>
          <t>Diya Sharma</t>
        </is>
      </c>
      <c r="I746" s="30" t="n">
        <v>45856</v>
      </c>
      <c r="J746" s="1" t="inlineStr">
        <is>
          <t>187 Birchwood Lane</t>
        </is>
      </c>
      <c r="K746" s="1" t="inlineStr">
        <is>
          <t>Emerald Road</t>
        </is>
      </c>
      <c r="L746" s="1" t="inlineStr">
        <is>
          <t>PIN:116116 GOSFORD</t>
        </is>
      </c>
      <c r="M746" s="2" t="inlineStr">
        <is>
          <t>MHA/IND/00749</t>
        </is>
      </c>
      <c r="N746" s="30" t="n">
        <v>45860</v>
      </c>
    </row>
    <row r="747">
      <c r="A747" s="28" t="n">
        <v>746</v>
      </c>
      <c r="B747" s="1" t="inlineStr">
        <is>
          <t>ANYA RAO</t>
        </is>
      </c>
      <c r="C747" s="30" t="n">
        <v>45942</v>
      </c>
      <c r="D747" s="1" t="inlineStr">
        <is>
          <t>ARMADALE</t>
        </is>
      </c>
      <c r="E747" s="12" t="inlineStr">
        <is>
          <t>IND/MEL/00746</t>
        </is>
      </c>
      <c r="F747" s="1" t="inlineStr">
        <is>
          <t>F</t>
        </is>
      </c>
      <c r="G747" s="1" t="inlineStr">
        <is>
          <t>Rohit Kaleon</t>
        </is>
      </c>
      <c r="H747" s="1" t="inlineStr">
        <is>
          <t>Tara Kaleon</t>
        </is>
      </c>
      <c r="I747" s="30" t="n">
        <v>45968</v>
      </c>
      <c r="J747" s="1" t="inlineStr">
        <is>
          <t>146 Birchwood Lane</t>
        </is>
      </c>
      <c r="K747" s="1" t="inlineStr">
        <is>
          <t>Emerald Road</t>
        </is>
      </c>
      <c r="L747" s="1" t="inlineStr">
        <is>
          <t>PIN:698609 ARMADALE</t>
        </is>
      </c>
      <c r="M747" s="2" t="inlineStr">
        <is>
          <t>MHA/IND/00750</t>
        </is>
      </c>
      <c r="N747" s="30" t="n">
        <v>45870</v>
      </c>
    </row>
    <row r="748">
      <c r="A748" s="28" t="n">
        <v>747</v>
      </c>
      <c r="B748" s="1" t="inlineStr">
        <is>
          <t>TARA RISHKAN</t>
        </is>
      </c>
      <c r="C748" s="30" t="n">
        <v>45910</v>
      </c>
      <c r="D748" s="1" t="inlineStr">
        <is>
          <t>PARKVILLE</t>
        </is>
      </c>
      <c r="E748" s="12" t="inlineStr">
        <is>
          <t>IND/MEL/00747</t>
        </is>
      </c>
      <c r="F748" s="1" t="inlineStr">
        <is>
          <t>F</t>
        </is>
      </c>
      <c r="G748" s="1" t="inlineStr">
        <is>
          <t>Ishan Kaleon</t>
        </is>
      </c>
      <c r="H748" s="1" t="inlineStr">
        <is>
          <t>Nina Kaleon</t>
        </is>
      </c>
      <c r="I748" s="30" t="n">
        <v>45999</v>
      </c>
      <c r="J748" s="1" t="inlineStr">
        <is>
          <t>94 Birchwood Lane</t>
        </is>
      </c>
      <c r="K748" s="1" t="inlineStr">
        <is>
          <t>Emerald Road</t>
        </is>
      </c>
      <c r="L748" s="1" t="inlineStr">
        <is>
          <t>PIN:243403 PARKVILLE</t>
        </is>
      </c>
      <c r="M748" s="2" t="inlineStr">
        <is>
          <t>MHA/IND/00751</t>
        </is>
      </c>
      <c r="N748" s="30" t="n">
        <v>45866</v>
      </c>
    </row>
    <row r="749">
      <c r="A749" s="28" t="n">
        <v>748</v>
      </c>
      <c r="B749" s="1" t="inlineStr">
        <is>
          <t>KABIR SINDALE</t>
        </is>
      </c>
      <c r="C749" s="30" t="n">
        <v>45912</v>
      </c>
      <c r="D749" s="1" t="inlineStr">
        <is>
          <t>LIVERPOOL</t>
        </is>
      </c>
      <c r="E749" s="12" t="inlineStr">
        <is>
          <t>IND/MEL/00748</t>
        </is>
      </c>
      <c r="F749" s="1" t="inlineStr">
        <is>
          <t>F</t>
        </is>
      </c>
      <c r="G749" s="1" t="inlineStr">
        <is>
          <t>Rohit Myrthos</t>
        </is>
      </c>
      <c r="H749" s="1" t="inlineStr">
        <is>
          <t>Mira Myrthos</t>
        </is>
      </c>
      <c r="I749" s="30" t="n">
        <v>45979</v>
      </c>
      <c r="J749" s="1" t="inlineStr">
        <is>
          <t>61 Birchwood Lane</t>
        </is>
      </c>
      <c r="K749" s="1" t="inlineStr">
        <is>
          <t>Emerald Road</t>
        </is>
      </c>
      <c r="L749" s="1" t="inlineStr">
        <is>
          <t>PIN:333036 LIVERPOOL</t>
        </is>
      </c>
      <c r="M749" s="2" t="inlineStr">
        <is>
          <t>MHA/IND/00752</t>
        </is>
      </c>
      <c r="N749" s="30" t="n">
        <v>45858</v>
      </c>
    </row>
    <row r="750">
      <c r="A750" s="28" t="n">
        <v>749</v>
      </c>
      <c r="B750" s="1" t="inlineStr">
        <is>
          <t>MIRA SHARMA</t>
        </is>
      </c>
      <c r="C750" s="30" t="n">
        <v>45743</v>
      </c>
      <c r="D750" s="1" t="inlineStr">
        <is>
          <t>BEDFORD PARK</t>
        </is>
      </c>
      <c r="E750" s="12" t="inlineStr">
        <is>
          <t>IND/MEL/00749</t>
        </is>
      </c>
      <c r="F750" s="1" t="inlineStr">
        <is>
          <t>M</t>
        </is>
      </c>
      <c r="G750" s="1" t="inlineStr">
        <is>
          <t>Aren Valzari</t>
        </is>
      </c>
      <c r="H750" s="1" t="inlineStr">
        <is>
          <t>Riya Valzari</t>
        </is>
      </c>
      <c r="I750" s="30" t="n">
        <v>45808</v>
      </c>
      <c r="J750" s="1" t="inlineStr">
        <is>
          <t>69 Birchwood Lane</t>
        </is>
      </c>
      <c r="K750" s="1" t="inlineStr">
        <is>
          <t>Emerald Road</t>
        </is>
      </c>
      <c r="L750" s="1" t="inlineStr">
        <is>
          <t>PIN:974106 BEDFORD PARK</t>
        </is>
      </c>
      <c r="M750" s="2" t="inlineStr">
        <is>
          <t>MHA/IND/00753</t>
        </is>
      </c>
      <c r="N750" s="30" t="n">
        <v>45880</v>
      </c>
    </row>
    <row r="751">
      <c r="A751" s="28" t="n">
        <v>750</v>
      </c>
      <c r="B751" s="1" t="inlineStr">
        <is>
          <t>ANYA KALEON</t>
        </is>
      </c>
      <c r="C751" s="30" t="n">
        <v>45749</v>
      </c>
      <c r="D751" s="1" t="inlineStr">
        <is>
          <t>WODONGA</t>
        </is>
      </c>
      <c r="E751" s="12" t="inlineStr">
        <is>
          <t>IND/MEL/00750</t>
        </is>
      </c>
      <c r="F751" s="1" t="inlineStr">
        <is>
          <t>M</t>
        </is>
      </c>
      <c r="G751" s="1" t="inlineStr">
        <is>
          <t>Rohit Valzari</t>
        </is>
      </c>
      <c r="H751" s="1" t="inlineStr">
        <is>
          <t>Alya Valzari</t>
        </is>
      </c>
      <c r="I751" s="30" t="n">
        <v>45786</v>
      </c>
      <c r="J751" s="1" t="inlineStr">
        <is>
          <t>130 Birchwood Lane</t>
        </is>
      </c>
      <c r="K751" s="1" t="inlineStr">
        <is>
          <t>Emerald Road</t>
        </is>
      </c>
      <c r="L751" s="1" t="inlineStr">
        <is>
          <t>PIN:903256 WODONGA</t>
        </is>
      </c>
      <c r="M751" s="2" t="inlineStr">
        <is>
          <t>MHA/IND/00754</t>
        </is>
      </c>
      <c r="N751" s="30" t="n">
        <v>45878</v>
      </c>
    </row>
    <row r="752">
      <c r="A752" s="28" t="n">
        <v>751</v>
      </c>
      <c r="B752" s="1" t="inlineStr">
        <is>
          <t>ALYA KALEON</t>
        </is>
      </c>
      <c r="C752" s="30" t="n">
        <v>45800</v>
      </c>
      <c r="D752" s="1" t="inlineStr">
        <is>
          <t>FRANKSTON</t>
        </is>
      </c>
      <c r="E752" s="12" t="inlineStr">
        <is>
          <t>IND/MEL/00751</t>
        </is>
      </c>
      <c r="F752" s="1" t="inlineStr">
        <is>
          <t>M</t>
        </is>
      </c>
      <c r="G752" s="1" t="inlineStr">
        <is>
          <t>Aren Sindale</t>
        </is>
      </c>
      <c r="H752" s="1" t="inlineStr">
        <is>
          <t>Riya Sindale</t>
        </is>
      </c>
      <c r="I752" s="30" t="n">
        <v>45873</v>
      </c>
      <c r="J752" s="1" t="inlineStr">
        <is>
          <t>161 Birchwood Lane</t>
        </is>
      </c>
      <c r="K752" s="1" t="inlineStr">
        <is>
          <t>Emerald Road</t>
        </is>
      </c>
      <c r="L752" s="1" t="inlineStr">
        <is>
          <t>PIN:724180 FRANKSTON</t>
        </is>
      </c>
      <c r="M752" s="2" t="inlineStr">
        <is>
          <t>MHA/IND/00755</t>
        </is>
      </c>
      <c r="N752" s="30" t="n">
        <v>45895</v>
      </c>
    </row>
    <row r="753">
      <c r="A753" s="28" t="n">
        <v>752</v>
      </c>
      <c r="B753" s="1" t="inlineStr">
        <is>
          <t>ANYA MYRTHOS</t>
        </is>
      </c>
      <c r="C753" s="30" t="n">
        <v>45819</v>
      </c>
      <c r="D753" s="1" t="inlineStr">
        <is>
          <t>TUGGERANONG</t>
        </is>
      </c>
      <c r="E753" s="12" t="inlineStr">
        <is>
          <t>IND/MEL/00752</t>
        </is>
      </c>
      <c r="F753" s="1" t="inlineStr">
        <is>
          <t>M</t>
        </is>
      </c>
      <c r="G753" s="1" t="inlineStr">
        <is>
          <t>Dev Sharma</t>
        </is>
      </c>
      <c r="H753" s="1" t="inlineStr">
        <is>
          <t>Nina Sharma</t>
        </is>
      </c>
      <c r="I753" s="30" t="n">
        <v>45937</v>
      </c>
      <c r="J753" s="1" t="inlineStr">
        <is>
          <t>29 Birchwood Lane</t>
        </is>
      </c>
      <c r="K753" s="1" t="inlineStr">
        <is>
          <t>Emerald Road</t>
        </is>
      </c>
      <c r="L753" s="1" t="inlineStr">
        <is>
          <t>PIN:696956 TUGGERANONG</t>
        </is>
      </c>
      <c r="M753" s="2" t="inlineStr">
        <is>
          <t>MHA/IND/00756</t>
        </is>
      </c>
      <c r="N753" s="30" t="n">
        <v>45894</v>
      </c>
    </row>
    <row r="754">
      <c r="A754" s="28" t="n">
        <v>753</v>
      </c>
      <c r="B754" s="1" t="inlineStr">
        <is>
          <t>ROHIT VALZARI</t>
        </is>
      </c>
      <c r="C754" s="30" t="n">
        <v>45778</v>
      </c>
      <c r="D754" s="1" t="inlineStr">
        <is>
          <t>LAUNCESTON</t>
        </is>
      </c>
      <c r="E754" s="12" t="inlineStr">
        <is>
          <t>IND/MEL/00753</t>
        </is>
      </c>
      <c r="F754" s="1" t="inlineStr">
        <is>
          <t>F</t>
        </is>
      </c>
      <c r="G754" s="1" t="inlineStr">
        <is>
          <t>Rohit Sharma</t>
        </is>
      </c>
      <c r="H754" s="1" t="inlineStr">
        <is>
          <t>Mira Sharma</t>
        </is>
      </c>
      <c r="I754" s="30" t="n">
        <v>45790</v>
      </c>
      <c r="J754" s="1" t="inlineStr">
        <is>
          <t>193 Birchwood Lane</t>
        </is>
      </c>
      <c r="K754" s="1" t="inlineStr">
        <is>
          <t>Emerald Road</t>
        </is>
      </c>
      <c r="L754" s="1" t="inlineStr">
        <is>
          <t>PIN:866652 LAUNCESTON</t>
        </is>
      </c>
      <c r="M754" s="2" t="inlineStr">
        <is>
          <t>MHA/IND/00757</t>
        </is>
      </c>
      <c r="N754" s="30" t="n">
        <v>45846</v>
      </c>
    </row>
    <row r="755">
      <c r="A755" s="28" t="n">
        <v>754</v>
      </c>
      <c r="B755" s="1" t="inlineStr">
        <is>
          <t>KIRAN VALZARI</t>
        </is>
      </c>
      <c r="C755" s="30" t="n">
        <v>45735</v>
      </c>
      <c r="D755" s="1" t="inlineStr">
        <is>
          <t>NORTH ADELAIDE</t>
        </is>
      </c>
      <c r="E755" s="12" t="inlineStr">
        <is>
          <t>IND/MEL/00754</t>
        </is>
      </c>
      <c r="F755" s="1" t="inlineStr">
        <is>
          <t>F</t>
        </is>
      </c>
      <c r="G755" s="1" t="inlineStr">
        <is>
          <t>Rohit Kaleon</t>
        </is>
      </c>
      <c r="H755" s="1" t="inlineStr">
        <is>
          <t>Anya Kaleon</t>
        </is>
      </c>
      <c r="I755" s="30" t="n">
        <v>45767</v>
      </c>
      <c r="J755" s="1" t="inlineStr">
        <is>
          <t>141 Birchwood Lane</t>
        </is>
      </c>
      <c r="K755" s="1" t="inlineStr">
        <is>
          <t>Emerald Road</t>
        </is>
      </c>
      <c r="L755" s="1" t="inlineStr">
        <is>
          <t>PIN:277862 NORTH ADELAIDE</t>
        </is>
      </c>
      <c r="M755" s="2" t="inlineStr">
        <is>
          <t>MHA/IND/00758</t>
        </is>
      </c>
      <c r="N755" s="30" t="n">
        <v>45862</v>
      </c>
    </row>
    <row r="756">
      <c r="A756" s="28" t="n">
        <v>755</v>
      </c>
      <c r="B756" s="1" t="inlineStr">
        <is>
          <t>DEV SINDALE</t>
        </is>
      </c>
      <c r="C756" s="30" t="n">
        <v>45865</v>
      </c>
      <c r="D756" s="1" t="inlineStr">
        <is>
          <t>TUGGERANONG</t>
        </is>
      </c>
      <c r="E756" s="12" t="inlineStr">
        <is>
          <t>IND/MEL/00755</t>
        </is>
      </c>
      <c r="F756" s="1" t="inlineStr">
        <is>
          <t>F</t>
        </is>
      </c>
      <c r="G756" s="1" t="inlineStr">
        <is>
          <t>Neil Rishkan</t>
        </is>
      </c>
      <c r="H756" s="1" t="inlineStr">
        <is>
          <t>Alya Rishkan</t>
        </is>
      </c>
      <c r="I756" s="30" t="n">
        <v>45873</v>
      </c>
      <c r="J756" s="1" t="inlineStr">
        <is>
          <t>57 Birchwood Lane</t>
        </is>
      </c>
      <c r="K756" s="1" t="inlineStr">
        <is>
          <t>Emerald Road</t>
        </is>
      </c>
      <c r="L756" s="1" t="inlineStr">
        <is>
          <t>PIN:771839 TUGGERANONG</t>
        </is>
      </c>
      <c r="M756" s="2" t="inlineStr">
        <is>
          <t>MHA/IND/00759</t>
        </is>
      </c>
      <c r="N756" s="30" t="n">
        <v>45878</v>
      </c>
    </row>
    <row r="757">
      <c r="A757" s="28" t="n">
        <v>756</v>
      </c>
      <c r="B757" s="1" t="inlineStr">
        <is>
          <t>KIRAN SHARMA</t>
        </is>
      </c>
      <c r="C757" s="30" t="n">
        <v>45874</v>
      </c>
      <c r="D757" s="1" t="inlineStr">
        <is>
          <t>LIVERPOOL</t>
        </is>
      </c>
      <c r="E757" s="12" t="inlineStr">
        <is>
          <t>IND/MEL/00756</t>
        </is>
      </c>
      <c r="F757" s="1" t="inlineStr">
        <is>
          <t>F</t>
        </is>
      </c>
      <c r="G757" s="1" t="inlineStr">
        <is>
          <t>Dev Sharma</t>
        </is>
      </c>
      <c r="H757" s="1" t="inlineStr">
        <is>
          <t>Anya Sharma</t>
        </is>
      </c>
      <c r="I757" s="30" t="n">
        <v>45926</v>
      </c>
      <c r="J757" s="1" t="inlineStr">
        <is>
          <t>65 Birchwood Lane</t>
        </is>
      </c>
      <c r="K757" s="1" t="inlineStr">
        <is>
          <t>Emerald Road</t>
        </is>
      </c>
      <c r="L757" s="1" t="inlineStr">
        <is>
          <t>PIN:587081 LIVERPOOL</t>
        </is>
      </c>
      <c r="M757" s="2" t="inlineStr">
        <is>
          <t>MHA/IND/00760</t>
        </is>
      </c>
      <c r="N757" s="30" t="n">
        <v>45895</v>
      </c>
    </row>
    <row r="758">
      <c r="A758" s="28" t="n">
        <v>757</v>
      </c>
      <c r="B758" s="1" t="inlineStr">
        <is>
          <t>MIRA SHARMA</t>
        </is>
      </c>
      <c r="C758" s="30" t="n">
        <v>45670</v>
      </c>
      <c r="D758" s="1" t="inlineStr">
        <is>
          <t>BALLARAT CENTRAL</t>
        </is>
      </c>
      <c r="E758" s="12" t="inlineStr">
        <is>
          <t>IND/MEL/00757</t>
        </is>
      </c>
      <c r="F758" s="1" t="inlineStr">
        <is>
          <t>F</t>
        </is>
      </c>
      <c r="G758" s="1" t="inlineStr">
        <is>
          <t>Aren Valzari</t>
        </is>
      </c>
      <c r="H758" s="1" t="inlineStr">
        <is>
          <t>Anya Valzari</t>
        </is>
      </c>
      <c r="I758" s="30" t="n">
        <v>45679</v>
      </c>
      <c r="J758" s="1" t="inlineStr">
        <is>
          <t>74 Birchwood Lane</t>
        </is>
      </c>
      <c r="K758" s="1" t="inlineStr">
        <is>
          <t>Emerald Road</t>
        </is>
      </c>
      <c r="L758" s="1" t="inlineStr">
        <is>
          <t>PIN:832571 BALLARAT CENTRAL</t>
        </is>
      </c>
      <c r="M758" s="2" t="inlineStr">
        <is>
          <t>MHA/IND/00761</t>
        </is>
      </c>
      <c r="N758" s="30" t="n">
        <v>45844</v>
      </c>
    </row>
    <row r="759">
      <c r="A759" s="28" t="n">
        <v>758</v>
      </c>
      <c r="B759" s="1" t="inlineStr">
        <is>
          <t>SARA KALEON</t>
        </is>
      </c>
      <c r="C759" s="30" t="n">
        <v>45874</v>
      </c>
      <c r="D759" s="1" t="inlineStr">
        <is>
          <t>FREMANTLE</t>
        </is>
      </c>
      <c r="E759" s="12" t="inlineStr">
        <is>
          <t>IND/MEL/00758</t>
        </is>
      </c>
      <c r="F759" s="1" t="inlineStr">
        <is>
          <t>M</t>
        </is>
      </c>
      <c r="G759" s="1" t="inlineStr">
        <is>
          <t>Ishan Sindale</t>
        </is>
      </c>
      <c r="H759" s="1" t="inlineStr">
        <is>
          <t>Nina Sindale</t>
        </is>
      </c>
      <c r="I759" s="30" t="n">
        <v>45982</v>
      </c>
      <c r="J759" s="1" t="inlineStr">
        <is>
          <t>26 Birchwood Lane</t>
        </is>
      </c>
      <c r="K759" s="1" t="inlineStr">
        <is>
          <t>Emerald Road</t>
        </is>
      </c>
      <c r="L759" s="1" t="inlineStr">
        <is>
          <t>PIN:919321 FREMANTLE</t>
        </is>
      </c>
      <c r="M759" s="2" t="inlineStr">
        <is>
          <t>MHA/IND/00762</t>
        </is>
      </c>
      <c r="N759" s="30" t="n">
        <v>45872</v>
      </c>
    </row>
    <row r="760">
      <c r="A760" s="28" t="n">
        <v>759</v>
      </c>
      <c r="B760" s="1" t="inlineStr">
        <is>
          <t>RIYA RISHKAN</t>
        </is>
      </c>
      <c r="C760" s="30" t="n">
        <v>45783</v>
      </c>
      <c r="D760" s="1" t="inlineStr">
        <is>
          <t>IPSWICH</t>
        </is>
      </c>
      <c r="E760" s="12" t="inlineStr">
        <is>
          <t>IND/MEL/00759</t>
        </is>
      </c>
      <c r="F760" s="1" t="inlineStr">
        <is>
          <t>F</t>
        </is>
      </c>
      <c r="G760" s="1" t="inlineStr">
        <is>
          <t>Rohit Kaleon</t>
        </is>
      </c>
      <c r="H760" s="1" t="inlineStr">
        <is>
          <t>Tara Kaleon</t>
        </is>
      </c>
      <c r="I760" s="30" t="n">
        <v>45863</v>
      </c>
      <c r="J760" s="1" t="inlineStr">
        <is>
          <t>109 Birchwood Lane</t>
        </is>
      </c>
      <c r="K760" s="1" t="inlineStr">
        <is>
          <t>Emerald Road</t>
        </is>
      </c>
      <c r="L760" s="1" t="inlineStr">
        <is>
          <t>PIN:713260 IPSWICH</t>
        </is>
      </c>
      <c r="M760" s="2" t="inlineStr">
        <is>
          <t>MHA/IND/00763</t>
        </is>
      </c>
      <c r="N760" s="30" t="n">
        <v>45852</v>
      </c>
    </row>
    <row r="761">
      <c r="A761" s="28" t="n">
        <v>760</v>
      </c>
      <c r="B761" s="1" t="inlineStr">
        <is>
          <t>ANYA SHARMA</t>
        </is>
      </c>
      <c r="C761" s="30" t="n">
        <v>45945</v>
      </c>
      <c r="D761" s="1" t="inlineStr">
        <is>
          <t>MILDURA</t>
        </is>
      </c>
      <c r="E761" s="12" t="inlineStr">
        <is>
          <t>IND/MEL/00760</t>
        </is>
      </c>
      <c r="F761" s="1" t="inlineStr">
        <is>
          <t>M</t>
        </is>
      </c>
      <c r="G761" s="1" t="inlineStr">
        <is>
          <t>Ishan Sharma</t>
        </is>
      </c>
      <c r="H761" s="1" t="inlineStr">
        <is>
          <t>Riya Sharma</t>
        </is>
      </c>
      <c r="I761" s="30" t="n">
        <v>45955</v>
      </c>
      <c r="J761" s="1" t="inlineStr">
        <is>
          <t>21 Birchwood Lane</t>
        </is>
      </c>
      <c r="K761" s="1" t="inlineStr">
        <is>
          <t>Emerald Road</t>
        </is>
      </c>
      <c r="L761" s="1" t="inlineStr">
        <is>
          <t>PIN:384008 MILDURA</t>
        </is>
      </c>
      <c r="M761" s="2" t="inlineStr">
        <is>
          <t>MHA/IND/00764</t>
        </is>
      </c>
      <c r="N761" s="30" t="n">
        <v>45873</v>
      </c>
    </row>
    <row r="762">
      <c r="A762" s="28" t="n">
        <v>761</v>
      </c>
      <c r="B762" s="1" t="inlineStr">
        <is>
          <t>ANYA VALZARI</t>
        </is>
      </c>
      <c r="C762" s="30" t="n">
        <v>45679</v>
      </c>
      <c r="D762" s="1" t="inlineStr">
        <is>
          <t>ST ALBANS</t>
        </is>
      </c>
      <c r="E762" s="12" t="inlineStr">
        <is>
          <t>IND/MEL/00761</t>
        </is>
      </c>
      <c r="F762" s="1" t="inlineStr">
        <is>
          <t>F</t>
        </is>
      </c>
      <c r="G762" s="1" t="inlineStr">
        <is>
          <t>Neil Rao</t>
        </is>
      </c>
      <c r="H762" s="1" t="inlineStr">
        <is>
          <t>Tara Rao</t>
        </is>
      </c>
      <c r="I762" s="30" t="n">
        <v>45704</v>
      </c>
      <c r="J762" s="1" t="inlineStr">
        <is>
          <t>198 Birchwood Lane</t>
        </is>
      </c>
      <c r="K762" s="1" t="inlineStr">
        <is>
          <t>Emerald Road</t>
        </is>
      </c>
      <c r="L762" s="1" t="inlineStr">
        <is>
          <t>PIN:435572 ST ALBANS</t>
        </is>
      </c>
      <c r="M762" s="2" t="inlineStr">
        <is>
          <t>MHA/IND/00765</t>
        </is>
      </c>
      <c r="N762" s="30" t="n">
        <v>45844</v>
      </c>
    </row>
    <row r="763">
      <c r="A763" s="28" t="n">
        <v>762</v>
      </c>
      <c r="B763" s="1" t="inlineStr">
        <is>
          <t>ARJUN SINDALE</t>
        </is>
      </c>
      <c r="C763" s="30" t="n">
        <v>45928</v>
      </c>
      <c r="D763" s="1" t="inlineStr">
        <is>
          <t>BENDIGO</t>
        </is>
      </c>
      <c r="E763" s="12" t="inlineStr">
        <is>
          <t>IND/MEL/00762</t>
        </is>
      </c>
      <c r="F763" s="1" t="inlineStr">
        <is>
          <t>F</t>
        </is>
      </c>
      <c r="G763" s="1" t="inlineStr">
        <is>
          <t>Rohit Myrthos</t>
        </is>
      </c>
      <c r="H763" s="1" t="inlineStr">
        <is>
          <t>Alya Myrthos</t>
        </is>
      </c>
      <c r="I763" s="30" t="n">
        <v>45960</v>
      </c>
      <c r="J763" s="1" t="inlineStr">
        <is>
          <t>157 Birchwood Lane</t>
        </is>
      </c>
      <c r="K763" s="1" t="inlineStr">
        <is>
          <t>Emerald Road</t>
        </is>
      </c>
      <c r="L763" s="1" t="inlineStr">
        <is>
          <t>PIN:557614 BENDIGO</t>
        </is>
      </c>
      <c r="M763" s="2" t="inlineStr">
        <is>
          <t>MHA/IND/00766</t>
        </is>
      </c>
      <c r="N763" s="30" t="n">
        <v>45897</v>
      </c>
    </row>
    <row r="764">
      <c r="A764" s="28" t="n">
        <v>763</v>
      </c>
      <c r="B764" s="1" t="inlineStr">
        <is>
          <t>TARA KALEON</t>
        </is>
      </c>
      <c r="C764" s="30" t="n">
        <v>45947</v>
      </c>
      <c r="D764" s="1" t="inlineStr">
        <is>
          <t>WOLLONGONG</t>
        </is>
      </c>
      <c r="E764" s="12" t="inlineStr">
        <is>
          <t>IND/MEL/00763</t>
        </is>
      </c>
      <c r="F764" s="1" t="inlineStr">
        <is>
          <t>F</t>
        </is>
      </c>
      <c r="G764" s="1" t="inlineStr">
        <is>
          <t>Kabir Rishkan</t>
        </is>
      </c>
      <c r="H764" s="1" t="inlineStr">
        <is>
          <t>Nina Rishkan</t>
        </is>
      </c>
      <c r="I764" s="30" t="n">
        <v>46053</v>
      </c>
      <c r="J764" s="1" t="inlineStr">
        <is>
          <t>77 Birchwood Lane</t>
        </is>
      </c>
      <c r="K764" s="1" t="inlineStr">
        <is>
          <t>Emerald Road</t>
        </is>
      </c>
      <c r="L764" s="1" t="inlineStr">
        <is>
          <t>PIN:990720 WOLLONGONG</t>
        </is>
      </c>
      <c r="M764" s="2" t="inlineStr">
        <is>
          <t>MHA/IND/00767</t>
        </is>
      </c>
      <c r="N764" s="30" t="n">
        <v>45862</v>
      </c>
    </row>
    <row r="765">
      <c r="A765" s="28" t="n">
        <v>764</v>
      </c>
      <c r="B765" s="1" t="inlineStr">
        <is>
          <t>KIRAN SHARMA</t>
        </is>
      </c>
      <c r="C765" s="30" t="n">
        <v>45765</v>
      </c>
      <c r="D765" s="1" t="inlineStr">
        <is>
          <t>WERRIBEE</t>
        </is>
      </c>
      <c r="E765" s="12" t="inlineStr">
        <is>
          <t>IND/MEL/00764</t>
        </is>
      </c>
      <c r="F765" s="1" t="inlineStr">
        <is>
          <t>F</t>
        </is>
      </c>
      <c r="G765" s="1" t="inlineStr">
        <is>
          <t>Neil Valzari</t>
        </is>
      </c>
      <c r="H765" s="1" t="inlineStr">
        <is>
          <t>Diya Valzari</t>
        </is>
      </c>
      <c r="I765" s="30" t="n">
        <v>45824</v>
      </c>
      <c r="J765" s="1" t="inlineStr">
        <is>
          <t>59 Birchwood Lane</t>
        </is>
      </c>
      <c r="K765" s="1" t="inlineStr">
        <is>
          <t>Emerald Road</t>
        </is>
      </c>
      <c r="L765" s="1" t="inlineStr">
        <is>
          <t>PIN:686666 WERRIBEE</t>
        </is>
      </c>
      <c r="M765" s="2" t="inlineStr">
        <is>
          <t>MHA/IND/00768</t>
        </is>
      </c>
      <c r="N765" s="30" t="n">
        <v>45850</v>
      </c>
    </row>
    <row r="766">
      <c r="A766" s="28" t="n">
        <v>765</v>
      </c>
      <c r="B766" s="1" t="inlineStr">
        <is>
          <t>ANYA RAO</t>
        </is>
      </c>
      <c r="C766" s="30" t="n">
        <v>45887</v>
      </c>
      <c r="D766" s="1" t="inlineStr">
        <is>
          <t>MIDLAND</t>
        </is>
      </c>
      <c r="E766" s="12" t="inlineStr">
        <is>
          <t>IND/MEL/00765</t>
        </is>
      </c>
      <c r="F766" s="1" t="inlineStr">
        <is>
          <t>M</t>
        </is>
      </c>
      <c r="G766" s="1" t="inlineStr">
        <is>
          <t>Kabir Myrthos</t>
        </is>
      </c>
      <c r="H766" s="1" t="inlineStr">
        <is>
          <t>Mira Myrthos</t>
        </is>
      </c>
      <c r="I766" s="30" t="n">
        <v>45936</v>
      </c>
      <c r="J766" s="1" t="inlineStr">
        <is>
          <t>68 Birchwood Lane</t>
        </is>
      </c>
      <c r="K766" s="1" t="inlineStr">
        <is>
          <t>Emerald Road</t>
        </is>
      </c>
      <c r="L766" s="1" t="inlineStr">
        <is>
          <t>PIN:921614 MIDLAND</t>
        </is>
      </c>
      <c r="M766" s="2" t="inlineStr">
        <is>
          <t>MHA/IND/00769</t>
        </is>
      </c>
      <c r="N766" s="30" t="n">
        <v>45888</v>
      </c>
    </row>
    <row r="767">
      <c r="A767" s="28" t="n">
        <v>766</v>
      </c>
      <c r="B767" s="1" t="inlineStr">
        <is>
          <t>DIYA MYRTHOS</t>
        </is>
      </c>
      <c r="C767" s="30" t="n">
        <v>45686</v>
      </c>
      <c r="D767" s="1" t="inlineStr">
        <is>
          <t>BUNDOORA</t>
        </is>
      </c>
      <c r="E767" s="12" t="inlineStr">
        <is>
          <t>IND/MEL/00766</t>
        </is>
      </c>
      <c r="F767" s="1" t="inlineStr">
        <is>
          <t>F</t>
        </is>
      </c>
      <c r="G767" s="1" t="inlineStr">
        <is>
          <t>Ishan Myrthos</t>
        </is>
      </c>
      <c r="H767" s="1" t="inlineStr">
        <is>
          <t>Alya Myrthos</t>
        </is>
      </c>
      <c r="I767" s="30" t="n">
        <v>45704</v>
      </c>
      <c r="J767" s="1" t="inlineStr">
        <is>
          <t>191 Birchwood Lane</t>
        </is>
      </c>
      <c r="K767" s="1" t="inlineStr">
        <is>
          <t>Emerald Road</t>
        </is>
      </c>
      <c r="L767" s="1" t="inlineStr">
        <is>
          <t>PIN:383372 BUNDOORA</t>
        </is>
      </c>
      <c r="M767" s="2" t="inlineStr">
        <is>
          <t>MHA/IND/00770</t>
        </is>
      </c>
      <c r="N767" s="30" t="n">
        <v>45881</v>
      </c>
    </row>
    <row r="768">
      <c r="A768" s="28" t="n">
        <v>767</v>
      </c>
      <c r="B768" s="1" t="inlineStr">
        <is>
          <t>DIYA RISHKAN</t>
        </is>
      </c>
      <c r="C768" s="30" t="n">
        <v>45768</v>
      </c>
      <c r="D768" s="1" t="inlineStr">
        <is>
          <t>ADELAIDE</t>
        </is>
      </c>
      <c r="E768" s="12" t="inlineStr">
        <is>
          <t>IND/MEL/00767</t>
        </is>
      </c>
      <c r="F768" s="1" t="inlineStr">
        <is>
          <t>M</t>
        </is>
      </c>
      <c r="G768" s="1" t="inlineStr">
        <is>
          <t>Aren Sindale</t>
        </is>
      </c>
      <c r="H768" s="1" t="inlineStr">
        <is>
          <t>Alya Sindale</t>
        </is>
      </c>
      <c r="I768" s="30" t="n">
        <v>45805</v>
      </c>
      <c r="J768" s="1" t="inlineStr">
        <is>
          <t>28 Birchwood Lane</t>
        </is>
      </c>
      <c r="K768" s="1" t="inlineStr">
        <is>
          <t>Emerald Road</t>
        </is>
      </c>
      <c r="L768" s="1" t="inlineStr">
        <is>
          <t>PIN:703922 ADELAIDE</t>
        </is>
      </c>
      <c r="M768" s="2" t="inlineStr">
        <is>
          <t>MHA/IND/00771</t>
        </is>
      </c>
      <c r="N768" s="30" t="n">
        <v>45870</v>
      </c>
    </row>
    <row r="769">
      <c r="A769" s="28" t="n">
        <v>768</v>
      </c>
      <c r="B769" s="1" t="inlineStr">
        <is>
          <t>ANYA VALZARI</t>
        </is>
      </c>
      <c r="C769" s="30" t="n">
        <v>45701</v>
      </c>
      <c r="D769" s="1" t="inlineStr">
        <is>
          <t>TOOWOOMBA</t>
        </is>
      </c>
      <c r="E769" s="12" t="inlineStr">
        <is>
          <t>IND/MEL/00768</t>
        </is>
      </c>
      <c r="F769" s="1" t="inlineStr">
        <is>
          <t>F</t>
        </is>
      </c>
      <c r="G769" s="1" t="inlineStr">
        <is>
          <t>Arjun Sharma</t>
        </is>
      </c>
      <c r="H769" s="1" t="inlineStr">
        <is>
          <t>Alya Sharma</t>
        </is>
      </c>
      <c r="I769" s="30" t="n">
        <v>45738</v>
      </c>
      <c r="J769" s="1" t="inlineStr">
        <is>
          <t>185 Birchwood Lane</t>
        </is>
      </c>
      <c r="K769" s="1" t="inlineStr">
        <is>
          <t>Emerald Road</t>
        </is>
      </c>
      <c r="L769" s="1" t="inlineStr">
        <is>
          <t>PIN:926264 TOOWOOMBA</t>
        </is>
      </c>
      <c r="M769" s="2" t="inlineStr">
        <is>
          <t>MHA/IND/00772</t>
        </is>
      </c>
      <c r="N769" s="30" t="n">
        <v>45879</v>
      </c>
    </row>
    <row r="770">
      <c r="A770" s="28" t="n">
        <v>769</v>
      </c>
      <c r="B770" s="1" t="inlineStr">
        <is>
          <t>DEV MYRTHOS</t>
        </is>
      </c>
      <c r="C770" s="30" t="n">
        <v>45709</v>
      </c>
      <c r="D770" s="1" t="inlineStr">
        <is>
          <t>PERTH</t>
        </is>
      </c>
      <c r="E770" s="12" t="inlineStr">
        <is>
          <t>IND/MEL/00769</t>
        </is>
      </c>
      <c r="F770" s="1" t="inlineStr">
        <is>
          <t>M</t>
        </is>
      </c>
      <c r="G770" s="1" t="inlineStr">
        <is>
          <t>Arjun Sindale</t>
        </is>
      </c>
      <c r="H770" s="1" t="inlineStr">
        <is>
          <t>Sara Sindale</t>
        </is>
      </c>
      <c r="I770" s="30" t="n">
        <v>45797</v>
      </c>
      <c r="J770" s="1" t="inlineStr">
        <is>
          <t>166 Birchwood Lane</t>
        </is>
      </c>
      <c r="K770" s="1" t="inlineStr">
        <is>
          <t>Emerald Road</t>
        </is>
      </c>
      <c r="L770" s="1" t="inlineStr">
        <is>
          <t>PIN:836568 PERTH</t>
        </is>
      </c>
      <c r="M770" s="2" t="inlineStr">
        <is>
          <t>MHA/IND/00773</t>
        </is>
      </c>
      <c r="N770" s="30" t="n">
        <v>45844</v>
      </c>
    </row>
    <row r="771">
      <c r="A771" s="28" t="n">
        <v>770</v>
      </c>
      <c r="B771" s="1" t="inlineStr">
        <is>
          <t>NINA MYRTHOS</t>
        </is>
      </c>
      <c r="C771" s="30" t="n">
        <v>45811</v>
      </c>
      <c r="D771" s="1" t="inlineStr">
        <is>
          <t>NEWCASTLE</t>
        </is>
      </c>
      <c r="E771" s="12" t="inlineStr">
        <is>
          <t>IND/MEL/00770</t>
        </is>
      </c>
      <c r="F771" s="1" t="inlineStr">
        <is>
          <t>F</t>
        </is>
      </c>
      <c r="G771" s="1" t="inlineStr">
        <is>
          <t>Ishan Rao</t>
        </is>
      </c>
      <c r="H771" s="1" t="inlineStr">
        <is>
          <t>Diya Rao</t>
        </is>
      </c>
      <c r="I771" s="30" t="n">
        <v>45898</v>
      </c>
      <c r="J771" s="1" t="inlineStr">
        <is>
          <t>190 Birchwood Lane</t>
        </is>
      </c>
      <c r="K771" s="1" t="inlineStr">
        <is>
          <t>Emerald Road</t>
        </is>
      </c>
      <c r="L771" s="1" t="inlineStr">
        <is>
          <t>PIN:596001 NEWCASTLE</t>
        </is>
      </c>
      <c r="M771" s="2" t="inlineStr">
        <is>
          <t>MHA/IND/00774</t>
        </is>
      </c>
      <c r="N771" s="30" t="n">
        <v>45898</v>
      </c>
    </row>
    <row r="772">
      <c r="A772" s="28" t="n">
        <v>771</v>
      </c>
      <c r="B772" s="1" t="inlineStr">
        <is>
          <t>ARJUN SINDALE</t>
        </is>
      </c>
      <c r="C772" s="30" t="n">
        <v>45699</v>
      </c>
      <c r="D772" s="1" t="inlineStr">
        <is>
          <t>SHEPPARTON</t>
        </is>
      </c>
      <c r="E772" s="12" t="inlineStr">
        <is>
          <t>IND/MEL/00771</t>
        </is>
      </c>
      <c r="F772" s="1" t="inlineStr">
        <is>
          <t>M</t>
        </is>
      </c>
      <c r="G772" s="1" t="inlineStr">
        <is>
          <t>Kabir Sindale</t>
        </is>
      </c>
      <c r="H772" s="1" t="inlineStr">
        <is>
          <t>Tara Sindale</t>
        </is>
      </c>
      <c r="I772" s="30" t="n">
        <v>45721</v>
      </c>
      <c r="J772" s="1" t="inlineStr">
        <is>
          <t>189 Birchwood Lane</t>
        </is>
      </c>
      <c r="K772" s="1" t="inlineStr">
        <is>
          <t>Emerald Road</t>
        </is>
      </c>
      <c r="L772" s="1" t="inlineStr">
        <is>
          <t>PIN:454480 SHEPPARTON</t>
        </is>
      </c>
      <c r="M772" s="2" t="inlineStr">
        <is>
          <t>MHA/IND/00775</t>
        </is>
      </c>
      <c r="N772" s="30" t="n">
        <v>45853</v>
      </c>
    </row>
    <row r="773">
      <c r="A773" s="28" t="n">
        <v>772</v>
      </c>
      <c r="B773" s="1" t="inlineStr">
        <is>
          <t>DIYA SHARMA</t>
        </is>
      </c>
      <c r="C773" s="30" t="n">
        <v>45945</v>
      </c>
      <c r="D773" s="1" t="inlineStr">
        <is>
          <t>MOUNT WAVERLEY</t>
        </is>
      </c>
      <c r="E773" s="12" t="inlineStr">
        <is>
          <t>IND/MEL/00772</t>
        </is>
      </c>
      <c r="F773" s="1" t="inlineStr">
        <is>
          <t>M</t>
        </is>
      </c>
      <c r="G773" s="1" t="inlineStr">
        <is>
          <t>Aren Kaleon</t>
        </is>
      </c>
      <c r="H773" s="1" t="inlineStr">
        <is>
          <t>Nina Kaleon</t>
        </is>
      </c>
      <c r="I773" s="30" t="n">
        <v>46061</v>
      </c>
      <c r="J773" s="1" t="inlineStr">
        <is>
          <t>137 Birchwood Lane</t>
        </is>
      </c>
      <c r="K773" s="1" t="inlineStr">
        <is>
          <t>Emerald Road</t>
        </is>
      </c>
      <c r="L773" s="1" t="inlineStr">
        <is>
          <t>PIN:600100 MOUNT WAVERLEY</t>
        </is>
      </c>
      <c r="M773" s="2" t="inlineStr">
        <is>
          <t>MHA/IND/00776</t>
        </is>
      </c>
      <c r="N773" s="30" t="n">
        <v>45841</v>
      </c>
    </row>
    <row r="774">
      <c r="A774" s="28" t="n">
        <v>773</v>
      </c>
      <c r="B774" s="1" t="inlineStr">
        <is>
          <t>ISHAN SINDALE</t>
        </is>
      </c>
      <c r="C774" s="30" t="n">
        <v>45736</v>
      </c>
      <c r="D774" s="1" t="inlineStr">
        <is>
          <t>DEVONPORT</t>
        </is>
      </c>
      <c r="E774" s="12" t="inlineStr">
        <is>
          <t>IND/MEL/00773</t>
        </is>
      </c>
      <c r="F774" s="1" t="inlineStr">
        <is>
          <t>M</t>
        </is>
      </c>
      <c r="G774" s="1" t="inlineStr">
        <is>
          <t>Arjun Myrthos</t>
        </is>
      </c>
      <c r="H774" s="1" t="inlineStr">
        <is>
          <t>Mira Myrthos</t>
        </is>
      </c>
      <c r="I774" s="30" t="n">
        <v>45837</v>
      </c>
      <c r="J774" s="1" t="inlineStr">
        <is>
          <t>125 Birchwood Lane</t>
        </is>
      </c>
      <c r="K774" s="1" t="inlineStr">
        <is>
          <t>Emerald Road</t>
        </is>
      </c>
      <c r="L774" s="1" t="inlineStr">
        <is>
          <t>PIN:206474 DEVONPORT</t>
        </is>
      </c>
      <c r="M774" s="2" t="inlineStr">
        <is>
          <t>MHA/IND/00777</t>
        </is>
      </c>
      <c r="N774" s="30" t="n">
        <v>45851</v>
      </c>
    </row>
    <row r="775">
      <c r="A775" s="28" t="n">
        <v>774</v>
      </c>
      <c r="B775" s="1" t="inlineStr">
        <is>
          <t>ALYA RAO</t>
        </is>
      </c>
      <c r="C775" s="30" t="n">
        <v>45828</v>
      </c>
      <c r="D775" s="1" t="inlineStr">
        <is>
          <t>BENDIGO</t>
        </is>
      </c>
      <c r="E775" s="12" t="inlineStr">
        <is>
          <t>IND/MEL/00774</t>
        </is>
      </c>
      <c r="F775" s="1" t="inlineStr">
        <is>
          <t>M</t>
        </is>
      </c>
      <c r="G775" s="1" t="inlineStr">
        <is>
          <t>Aren Myrthos</t>
        </is>
      </c>
      <c r="H775" s="1" t="inlineStr">
        <is>
          <t>Anya Myrthos</t>
        </is>
      </c>
      <c r="I775" s="30" t="n">
        <v>45844</v>
      </c>
      <c r="J775" s="1" t="inlineStr">
        <is>
          <t>153 Birchwood Lane</t>
        </is>
      </c>
      <c r="K775" s="1" t="inlineStr">
        <is>
          <t>Emerald Road</t>
        </is>
      </c>
      <c r="L775" s="1" t="inlineStr">
        <is>
          <t>PIN:734089 BENDIGO</t>
        </is>
      </c>
      <c r="M775" s="2" t="inlineStr">
        <is>
          <t>MHA/IND/00778</t>
        </is>
      </c>
      <c r="N775" s="30" t="n">
        <v>45849</v>
      </c>
    </row>
    <row r="776">
      <c r="A776" s="28" t="n">
        <v>775</v>
      </c>
      <c r="B776" s="1" t="inlineStr">
        <is>
          <t>ISHAN SINDALE</t>
        </is>
      </c>
      <c r="C776" s="30" t="n">
        <v>45838</v>
      </c>
      <c r="D776" s="1" t="inlineStr">
        <is>
          <t>SHEPPARTON</t>
        </is>
      </c>
      <c r="E776" s="12" t="inlineStr">
        <is>
          <t>IND/MEL/00775</t>
        </is>
      </c>
      <c r="F776" s="1" t="inlineStr">
        <is>
          <t>M</t>
        </is>
      </c>
      <c r="G776" s="1" t="inlineStr">
        <is>
          <t>Kiran Sindale</t>
        </is>
      </c>
      <c r="H776" s="1" t="inlineStr">
        <is>
          <t>Tara Sindale</t>
        </is>
      </c>
      <c r="I776" s="30" t="n">
        <v>45918</v>
      </c>
      <c r="J776" s="1" t="inlineStr">
        <is>
          <t>62 Birchwood Lane</t>
        </is>
      </c>
      <c r="K776" s="1" t="inlineStr">
        <is>
          <t>Emerald Road</t>
        </is>
      </c>
      <c r="L776" s="1" t="inlineStr">
        <is>
          <t>PIN:334715 SHEPPARTON</t>
        </is>
      </c>
      <c r="M776" s="2" t="inlineStr">
        <is>
          <t>MHA/IND/00779</t>
        </is>
      </c>
      <c r="N776" s="30" t="n">
        <v>45883</v>
      </c>
    </row>
    <row r="777">
      <c r="A777" s="28" t="n">
        <v>776</v>
      </c>
      <c r="B777" s="1" t="inlineStr">
        <is>
          <t>ISHAN KALEON</t>
        </is>
      </c>
      <c r="C777" s="30" t="n">
        <v>45900</v>
      </c>
      <c r="D777" s="1" t="inlineStr">
        <is>
          <t>WODONGA</t>
        </is>
      </c>
      <c r="E777" s="12" t="inlineStr">
        <is>
          <t>IND/MEL/00776</t>
        </is>
      </c>
      <c r="F777" s="1" t="inlineStr">
        <is>
          <t>M</t>
        </is>
      </c>
      <c r="G777" s="1" t="inlineStr">
        <is>
          <t>Dev Sharma</t>
        </is>
      </c>
      <c r="H777" s="1" t="inlineStr">
        <is>
          <t>Riya Sharma</t>
        </is>
      </c>
      <c r="I777" s="30" t="n">
        <v>45984</v>
      </c>
      <c r="J777" s="1" t="inlineStr">
        <is>
          <t>93 Birchwood Lane</t>
        </is>
      </c>
      <c r="K777" s="1" t="inlineStr">
        <is>
          <t>Emerald Road</t>
        </is>
      </c>
      <c r="L777" s="1" t="inlineStr">
        <is>
          <t>PIN:490957 WODONGA</t>
        </is>
      </c>
      <c r="M777" s="2" t="inlineStr">
        <is>
          <t>MHA/IND/00780</t>
        </is>
      </c>
      <c r="N777" s="30" t="n">
        <v>45843</v>
      </c>
    </row>
    <row r="778">
      <c r="A778" s="28" t="n">
        <v>777</v>
      </c>
      <c r="B778" s="1" t="inlineStr">
        <is>
          <t>KIRAN MYRTHOS</t>
        </is>
      </c>
      <c r="C778" s="30" t="n">
        <v>45953</v>
      </c>
      <c r="D778" s="1" t="inlineStr">
        <is>
          <t>PENRITH</t>
        </is>
      </c>
      <c r="E778" s="12" t="inlineStr">
        <is>
          <t>IND/MEL/00777</t>
        </is>
      </c>
      <c r="F778" s="1" t="inlineStr">
        <is>
          <t>F</t>
        </is>
      </c>
      <c r="G778" s="1" t="inlineStr">
        <is>
          <t>Neil Rao</t>
        </is>
      </c>
      <c r="H778" s="1" t="inlineStr">
        <is>
          <t>Mira Rao</t>
        </is>
      </c>
      <c r="I778" s="30" t="n">
        <v>45959</v>
      </c>
      <c r="J778" s="1" t="inlineStr">
        <is>
          <t>159 Birchwood Lane</t>
        </is>
      </c>
      <c r="K778" s="1" t="inlineStr">
        <is>
          <t>Emerald Road</t>
        </is>
      </c>
      <c r="L778" s="1" t="inlineStr">
        <is>
          <t>PIN:895389 PENRITH</t>
        </is>
      </c>
      <c r="M778" s="2" t="inlineStr">
        <is>
          <t>MHA/IND/00781</t>
        </is>
      </c>
      <c r="N778" s="30" t="n">
        <v>45862</v>
      </c>
    </row>
    <row r="779">
      <c r="A779" s="28" t="n">
        <v>778</v>
      </c>
      <c r="B779" s="1" t="inlineStr">
        <is>
          <t>ISHAN MYRTHOS</t>
        </is>
      </c>
      <c r="C779" s="30" t="n">
        <v>45774</v>
      </c>
      <c r="D779" s="1" t="inlineStr">
        <is>
          <t>WODONGA</t>
        </is>
      </c>
      <c r="E779" s="12" t="inlineStr">
        <is>
          <t>IND/MEL/00778</t>
        </is>
      </c>
      <c r="F779" s="1" t="inlineStr">
        <is>
          <t>F</t>
        </is>
      </c>
      <c r="G779" s="1" t="inlineStr">
        <is>
          <t>Ishan Kaleon</t>
        </is>
      </c>
      <c r="H779" s="1" t="inlineStr">
        <is>
          <t>Alya Kaleon</t>
        </is>
      </c>
      <c r="I779" s="30" t="n">
        <v>45805</v>
      </c>
      <c r="J779" s="1" t="inlineStr">
        <is>
          <t>21 Birchwood Lane</t>
        </is>
      </c>
      <c r="K779" s="1" t="inlineStr">
        <is>
          <t>Emerald Road</t>
        </is>
      </c>
      <c r="L779" s="1" t="inlineStr">
        <is>
          <t>PIN:899035 WODONGA</t>
        </is>
      </c>
      <c r="M779" s="2" t="inlineStr">
        <is>
          <t>MHA/IND/00782</t>
        </is>
      </c>
      <c r="N779" s="30" t="n">
        <v>45844</v>
      </c>
    </row>
    <row r="780">
      <c r="A780" s="28" t="n">
        <v>779</v>
      </c>
      <c r="B780" s="1" t="inlineStr">
        <is>
          <t>AREN SINDALE</t>
        </is>
      </c>
      <c r="C780" s="30" t="n">
        <v>45936</v>
      </c>
      <c r="D780" s="1" t="inlineStr">
        <is>
          <t>IPSWICH</t>
        </is>
      </c>
      <c r="E780" s="12" t="inlineStr">
        <is>
          <t>IND/MEL/00779</t>
        </is>
      </c>
      <c r="F780" s="1" t="inlineStr">
        <is>
          <t>F</t>
        </is>
      </c>
      <c r="G780" s="1" t="inlineStr">
        <is>
          <t>Neil Rao</t>
        </is>
      </c>
      <c r="H780" s="1" t="inlineStr">
        <is>
          <t>Diya Rao</t>
        </is>
      </c>
      <c r="I780" s="30" t="n">
        <v>45992</v>
      </c>
      <c r="J780" s="1" t="inlineStr">
        <is>
          <t>125 Birchwood Lane</t>
        </is>
      </c>
      <c r="K780" s="1" t="inlineStr">
        <is>
          <t>Emerald Road</t>
        </is>
      </c>
      <c r="L780" s="1" t="inlineStr">
        <is>
          <t>PIN:344922 IPSWICH</t>
        </is>
      </c>
      <c r="M780" s="2" t="inlineStr">
        <is>
          <t>MHA/IND/00783</t>
        </is>
      </c>
      <c r="N780" s="30" t="n">
        <v>45890</v>
      </c>
    </row>
    <row r="781">
      <c r="A781" s="28" t="n">
        <v>780</v>
      </c>
      <c r="B781" s="1" t="inlineStr">
        <is>
          <t>ARJUN SHARMA</t>
        </is>
      </c>
      <c r="C781" s="30" t="n">
        <v>45743</v>
      </c>
      <c r="D781" s="1" t="inlineStr">
        <is>
          <t>BERWICK</t>
        </is>
      </c>
      <c r="E781" s="12" t="inlineStr">
        <is>
          <t>IND/MEL/00780</t>
        </is>
      </c>
      <c r="F781" s="1" t="inlineStr">
        <is>
          <t>F</t>
        </is>
      </c>
      <c r="G781" s="1" t="inlineStr">
        <is>
          <t>Arjun Kaleon</t>
        </is>
      </c>
      <c r="H781" s="1" t="inlineStr">
        <is>
          <t>Anya Kaleon</t>
        </is>
      </c>
      <c r="I781" s="30" t="n">
        <v>45754</v>
      </c>
      <c r="J781" s="1" t="inlineStr">
        <is>
          <t>68 Birchwood Lane</t>
        </is>
      </c>
      <c r="K781" s="1" t="inlineStr">
        <is>
          <t>Emerald Road</t>
        </is>
      </c>
      <c r="L781" s="1" t="inlineStr">
        <is>
          <t>PIN:360661 BERWICK</t>
        </is>
      </c>
      <c r="M781" s="2" t="inlineStr">
        <is>
          <t>MHA/IND/00784</t>
        </is>
      </c>
      <c r="N781" s="30" t="n">
        <v>45846</v>
      </c>
    </row>
    <row r="782">
      <c r="A782" s="28" t="n">
        <v>781</v>
      </c>
      <c r="B782" s="1" t="inlineStr">
        <is>
          <t>ALYA RAO</t>
        </is>
      </c>
      <c r="C782" s="30" t="n">
        <v>45950</v>
      </c>
      <c r="D782" s="1" t="inlineStr">
        <is>
          <t>CANBERRA</t>
        </is>
      </c>
      <c r="E782" s="12" t="inlineStr">
        <is>
          <t>IND/MEL/00781</t>
        </is>
      </c>
      <c r="F782" s="1" t="inlineStr">
        <is>
          <t>F</t>
        </is>
      </c>
      <c r="G782" s="1" t="inlineStr">
        <is>
          <t>Arjun Myrthos</t>
        </is>
      </c>
      <c r="H782" s="1" t="inlineStr">
        <is>
          <t>Nina Myrthos</t>
        </is>
      </c>
      <c r="I782" s="30" t="n">
        <v>45969</v>
      </c>
      <c r="J782" s="1" t="inlineStr">
        <is>
          <t>196 Birchwood Lane</t>
        </is>
      </c>
      <c r="K782" s="1" t="inlineStr">
        <is>
          <t>Emerald Road</t>
        </is>
      </c>
      <c r="L782" s="1" t="inlineStr">
        <is>
          <t>PIN:308984 CANBERRA</t>
        </is>
      </c>
      <c r="M782" s="2" t="inlineStr">
        <is>
          <t>MHA/IND/00785</t>
        </is>
      </c>
      <c r="N782" s="30" t="n">
        <v>45845</v>
      </c>
    </row>
    <row r="783">
      <c r="A783" s="28" t="n">
        <v>782</v>
      </c>
      <c r="B783" s="1" t="inlineStr">
        <is>
          <t>DIYA KALEON</t>
        </is>
      </c>
      <c r="C783" s="30" t="n">
        <v>45659</v>
      </c>
      <c r="D783" s="1" t="inlineStr">
        <is>
          <t>CLAYTON</t>
        </is>
      </c>
      <c r="E783" s="12" t="inlineStr">
        <is>
          <t>IND/MEL/00782</t>
        </is>
      </c>
      <c r="F783" s="1" t="inlineStr">
        <is>
          <t>F</t>
        </is>
      </c>
      <c r="G783" s="1" t="inlineStr">
        <is>
          <t>Aren Kaleon</t>
        </is>
      </c>
      <c r="H783" s="1" t="inlineStr">
        <is>
          <t>Alya Kaleon</t>
        </is>
      </c>
      <c r="I783" s="30" t="n">
        <v>45686</v>
      </c>
      <c r="J783" s="1" t="inlineStr">
        <is>
          <t>37 Birchwood Lane</t>
        </is>
      </c>
      <c r="K783" s="1" t="inlineStr">
        <is>
          <t>Emerald Road</t>
        </is>
      </c>
      <c r="L783" s="1" t="inlineStr">
        <is>
          <t>PIN:907143 CLAYTON</t>
        </is>
      </c>
      <c r="M783" s="2" t="inlineStr">
        <is>
          <t>MHA/IND/00786</t>
        </is>
      </c>
      <c r="N783" s="30" t="n">
        <v>45898</v>
      </c>
    </row>
    <row r="784">
      <c r="A784" s="28" t="n">
        <v>783</v>
      </c>
      <c r="B784" s="1" t="inlineStr">
        <is>
          <t>ANYA RAO</t>
        </is>
      </c>
      <c r="C784" s="30" t="n">
        <v>45841</v>
      </c>
      <c r="D784" s="1" t="inlineStr">
        <is>
          <t>BRISBANE</t>
        </is>
      </c>
      <c r="E784" s="12" t="inlineStr">
        <is>
          <t>IND/MEL/00783</t>
        </is>
      </c>
      <c r="F784" s="1" t="inlineStr">
        <is>
          <t>F</t>
        </is>
      </c>
      <c r="G784" s="1" t="inlineStr">
        <is>
          <t>Aren Myrthos</t>
        </is>
      </c>
      <c r="H784" s="1" t="inlineStr">
        <is>
          <t>Sara Myrthos</t>
        </is>
      </c>
      <c r="I784" s="30" t="n">
        <v>45924</v>
      </c>
      <c r="J784" s="1" t="inlineStr">
        <is>
          <t>78 Birchwood Lane</t>
        </is>
      </c>
      <c r="K784" s="1" t="inlineStr">
        <is>
          <t>Emerald Road</t>
        </is>
      </c>
      <c r="L784" s="1" t="inlineStr">
        <is>
          <t>PIN:350260 BRISBANE</t>
        </is>
      </c>
      <c r="M784" s="2" t="inlineStr">
        <is>
          <t>MHA/IND/00787</t>
        </is>
      </c>
      <c r="N784" s="30" t="n">
        <v>45877</v>
      </c>
    </row>
    <row r="785">
      <c r="A785" s="28" t="n">
        <v>784</v>
      </c>
      <c r="B785" s="1" t="inlineStr">
        <is>
          <t>NINA KALEON</t>
        </is>
      </c>
      <c r="C785" s="30" t="n">
        <v>45835</v>
      </c>
      <c r="D785" s="1" t="inlineStr">
        <is>
          <t>KINGSWOOD</t>
        </is>
      </c>
      <c r="E785" s="12" t="inlineStr">
        <is>
          <t>IND/MEL/00784</t>
        </is>
      </c>
      <c r="F785" s="1" t="inlineStr">
        <is>
          <t>M</t>
        </is>
      </c>
      <c r="G785" s="1" t="inlineStr">
        <is>
          <t>Kiran Kaleon</t>
        </is>
      </c>
      <c r="H785" s="1" t="inlineStr">
        <is>
          <t>Diya Kaleon</t>
        </is>
      </c>
      <c r="I785" s="30" t="n">
        <v>45893</v>
      </c>
      <c r="J785" s="1" t="inlineStr">
        <is>
          <t>112 Birchwood Lane</t>
        </is>
      </c>
      <c r="K785" s="1" t="inlineStr">
        <is>
          <t>Emerald Road</t>
        </is>
      </c>
      <c r="L785" s="1" t="inlineStr">
        <is>
          <t>PIN:337234 KINGSWOOD</t>
        </is>
      </c>
      <c r="M785" s="2" t="inlineStr">
        <is>
          <t>MHA/IND/00788</t>
        </is>
      </c>
      <c r="N785" s="30" t="n">
        <v>45872</v>
      </c>
    </row>
    <row r="786">
      <c r="A786" s="28" t="n">
        <v>785</v>
      </c>
      <c r="B786" s="1" t="inlineStr">
        <is>
          <t>ANYA MYRTHOS</t>
        </is>
      </c>
      <c r="C786" s="30" t="n">
        <v>45926</v>
      </c>
      <c r="D786" s="1" t="inlineStr">
        <is>
          <t>CAMPBELLTOWN</t>
        </is>
      </c>
      <c r="E786" s="12" t="inlineStr">
        <is>
          <t>IND/MEL/00785</t>
        </is>
      </c>
      <c r="F786" s="1" t="inlineStr">
        <is>
          <t>M</t>
        </is>
      </c>
      <c r="G786" s="1" t="inlineStr">
        <is>
          <t>Arjun Sharma</t>
        </is>
      </c>
      <c r="H786" s="1" t="inlineStr">
        <is>
          <t>Mira Sharma</t>
        </is>
      </c>
      <c r="I786" s="30" t="n">
        <v>45969</v>
      </c>
      <c r="J786" s="1" t="inlineStr">
        <is>
          <t>84 Birchwood Lane</t>
        </is>
      </c>
      <c r="K786" s="1" t="inlineStr">
        <is>
          <t>Emerald Road</t>
        </is>
      </c>
      <c r="L786" s="1" t="inlineStr">
        <is>
          <t>PIN:403707 CAMPBELLTOWN</t>
        </is>
      </c>
      <c r="M786" s="2" t="inlineStr">
        <is>
          <t>MHA/IND/00789</t>
        </is>
      </c>
      <c r="N786" s="30" t="n">
        <v>45840</v>
      </c>
    </row>
    <row r="787">
      <c r="A787" s="28" t="n">
        <v>786</v>
      </c>
      <c r="B787" s="1" t="inlineStr">
        <is>
          <t>ANYA KALEON</t>
        </is>
      </c>
      <c r="C787" s="30" t="n">
        <v>45663</v>
      </c>
      <c r="D787" s="1" t="inlineStr">
        <is>
          <t>BERWICK</t>
        </is>
      </c>
      <c r="E787" s="12" t="inlineStr">
        <is>
          <t>IND/MEL/00786</t>
        </is>
      </c>
      <c r="F787" s="1" t="inlineStr">
        <is>
          <t>F</t>
        </is>
      </c>
      <c r="G787" s="1" t="inlineStr">
        <is>
          <t>Arjun Rishkan</t>
        </is>
      </c>
      <c r="H787" s="1" t="inlineStr">
        <is>
          <t>Mira Rishkan</t>
        </is>
      </c>
      <c r="I787" s="30" t="n">
        <v>45730</v>
      </c>
      <c r="J787" s="1" t="inlineStr">
        <is>
          <t>61 Birchwood Lane</t>
        </is>
      </c>
      <c r="K787" s="1" t="inlineStr">
        <is>
          <t>Emerald Road</t>
        </is>
      </c>
      <c r="L787" s="1" t="inlineStr">
        <is>
          <t>PIN:379882 BERWICK</t>
        </is>
      </c>
      <c r="M787" s="2" t="inlineStr">
        <is>
          <t>MHA/IND/00790</t>
        </is>
      </c>
      <c r="N787" s="30" t="n">
        <v>45858</v>
      </c>
    </row>
    <row r="788">
      <c r="A788" s="28" t="n">
        <v>787</v>
      </c>
      <c r="B788" s="1" t="inlineStr">
        <is>
          <t>RIYA MYRTHOS</t>
        </is>
      </c>
      <c r="C788" s="30" t="n">
        <v>45706</v>
      </c>
      <c r="D788" s="1" t="inlineStr">
        <is>
          <t>PERTH</t>
        </is>
      </c>
      <c r="E788" s="12" t="inlineStr">
        <is>
          <t>IND/MEL/00787</t>
        </is>
      </c>
      <c r="F788" s="1" t="inlineStr">
        <is>
          <t>M</t>
        </is>
      </c>
      <c r="G788" s="1" t="inlineStr">
        <is>
          <t>Arjun Rao</t>
        </is>
      </c>
      <c r="H788" s="1" t="inlineStr">
        <is>
          <t>Mira Rao</t>
        </is>
      </c>
      <c r="I788" s="30" t="n">
        <v>45815</v>
      </c>
      <c r="J788" s="1" t="inlineStr">
        <is>
          <t>15 Birchwood Lane</t>
        </is>
      </c>
      <c r="K788" s="1" t="inlineStr">
        <is>
          <t>Emerald Road</t>
        </is>
      </c>
      <c r="L788" s="1" t="inlineStr">
        <is>
          <t>PIN:909065 PERTH</t>
        </is>
      </c>
      <c r="M788" s="2" t="inlineStr">
        <is>
          <t>MHA/IND/00791</t>
        </is>
      </c>
      <c r="N788" s="30" t="n">
        <v>45859</v>
      </c>
    </row>
    <row r="789">
      <c r="A789" s="28" t="n">
        <v>788</v>
      </c>
      <c r="B789" s="1" t="inlineStr">
        <is>
          <t>NEIL KALEON</t>
        </is>
      </c>
      <c r="C789" s="30" t="n">
        <v>45854</v>
      </c>
      <c r="D789" s="1" t="inlineStr">
        <is>
          <t>TRARALGON</t>
        </is>
      </c>
      <c r="E789" s="12" t="inlineStr">
        <is>
          <t>IND/MEL/00788</t>
        </is>
      </c>
      <c r="F789" s="1" t="inlineStr">
        <is>
          <t>F</t>
        </is>
      </c>
      <c r="G789" s="1" t="inlineStr">
        <is>
          <t>Rohit Sharma</t>
        </is>
      </c>
      <c r="H789" s="1" t="inlineStr">
        <is>
          <t>Anya Sharma</t>
        </is>
      </c>
      <c r="I789" s="30" t="n">
        <v>45971</v>
      </c>
      <c r="J789" s="1" t="inlineStr">
        <is>
          <t>105 Birchwood Lane</t>
        </is>
      </c>
      <c r="K789" s="1" t="inlineStr">
        <is>
          <t>Emerald Road</t>
        </is>
      </c>
      <c r="L789" s="1" t="inlineStr">
        <is>
          <t>PIN:749689 TRARALGON</t>
        </is>
      </c>
      <c r="M789" s="2" t="inlineStr">
        <is>
          <t>MHA/IND/00792</t>
        </is>
      </c>
      <c r="N789" s="30" t="n">
        <v>45846</v>
      </c>
    </row>
    <row r="790">
      <c r="A790" s="28" t="n">
        <v>789</v>
      </c>
      <c r="B790" s="1" t="inlineStr">
        <is>
          <t>KABIR SHARMA</t>
        </is>
      </c>
      <c r="C790" s="30" t="n">
        <v>45946</v>
      </c>
      <c r="D790" s="1" t="inlineStr">
        <is>
          <t>BRISBANE</t>
        </is>
      </c>
      <c r="E790" s="12" t="inlineStr">
        <is>
          <t>IND/MEL/00789</t>
        </is>
      </c>
      <c r="F790" s="1" t="inlineStr">
        <is>
          <t>F</t>
        </is>
      </c>
      <c r="G790" s="1" t="inlineStr">
        <is>
          <t>Ishan Kaleon</t>
        </is>
      </c>
      <c r="H790" s="1" t="inlineStr">
        <is>
          <t>Nina Kaleon</t>
        </is>
      </c>
      <c r="I790" s="30" t="n">
        <v>46009</v>
      </c>
      <c r="J790" s="1" t="inlineStr">
        <is>
          <t>151 Birchwood Lane</t>
        </is>
      </c>
      <c r="K790" s="1" t="inlineStr">
        <is>
          <t>Emerald Road</t>
        </is>
      </c>
      <c r="L790" s="1" t="inlineStr">
        <is>
          <t>PIN:690803 BRISBANE</t>
        </is>
      </c>
      <c r="M790" s="2" t="inlineStr">
        <is>
          <t>MHA/IND/00793</t>
        </is>
      </c>
      <c r="N790" s="30" t="n">
        <v>45896</v>
      </c>
    </row>
    <row r="791">
      <c r="A791" s="28" t="n">
        <v>790</v>
      </c>
      <c r="B791" s="1" t="inlineStr">
        <is>
          <t>ANYA RISHKAN</t>
        </is>
      </c>
      <c r="C791" s="30" t="n">
        <v>45940</v>
      </c>
      <c r="D791" s="1" t="inlineStr">
        <is>
          <t>GEELONG</t>
        </is>
      </c>
      <c r="E791" s="12" t="inlineStr">
        <is>
          <t>IND/MEL/00790</t>
        </is>
      </c>
      <c r="F791" s="1" t="inlineStr">
        <is>
          <t>M</t>
        </is>
      </c>
      <c r="G791" s="1" t="inlineStr">
        <is>
          <t>Neil Rao</t>
        </is>
      </c>
      <c r="H791" s="1" t="inlineStr">
        <is>
          <t>Riya Rao</t>
        </is>
      </c>
      <c r="I791" s="30" t="n">
        <v>46053</v>
      </c>
      <c r="J791" s="1" t="inlineStr">
        <is>
          <t>28 Birchwood Lane</t>
        </is>
      </c>
      <c r="K791" s="1" t="inlineStr">
        <is>
          <t>Emerald Road</t>
        </is>
      </c>
      <c r="L791" s="1" t="inlineStr">
        <is>
          <t>PIN:862049 GEELONG</t>
        </is>
      </c>
      <c r="M791" s="2" t="inlineStr">
        <is>
          <t>MHA/IND/00794</t>
        </is>
      </c>
      <c r="N791" s="30" t="n">
        <v>45848</v>
      </c>
    </row>
    <row r="792">
      <c r="A792" s="28" t="n">
        <v>791</v>
      </c>
      <c r="B792" s="1" t="inlineStr">
        <is>
          <t>ISHAN RAO</t>
        </is>
      </c>
      <c r="C792" s="30" t="n">
        <v>45698</v>
      </c>
      <c r="D792" s="1" t="inlineStr">
        <is>
          <t>WONTHAGGI</t>
        </is>
      </c>
      <c r="E792" s="12" t="inlineStr">
        <is>
          <t>IND/MEL/00791</t>
        </is>
      </c>
      <c r="F792" s="1" t="inlineStr">
        <is>
          <t>M</t>
        </is>
      </c>
      <c r="G792" s="1" t="inlineStr">
        <is>
          <t>Aren Sharma</t>
        </is>
      </c>
      <c r="H792" s="1" t="inlineStr">
        <is>
          <t>Tara Sharma</t>
        </is>
      </c>
      <c r="I792" s="30" t="n">
        <v>45746</v>
      </c>
      <c r="J792" s="1" t="inlineStr">
        <is>
          <t>49 Birchwood Lane</t>
        </is>
      </c>
      <c r="K792" s="1" t="inlineStr">
        <is>
          <t>Emerald Road</t>
        </is>
      </c>
      <c r="L792" s="1" t="inlineStr">
        <is>
          <t>PIN:481640 WONTHAGGI</t>
        </is>
      </c>
      <c r="M792" s="2" t="inlineStr">
        <is>
          <t>MHA/IND/00795</t>
        </is>
      </c>
      <c r="N792" s="30" t="n">
        <v>45884</v>
      </c>
    </row>
    <row r="793">
      <c r="A793" s="28" t="n">
        <v>792</v>
      </c>
      <c r="B793" s="1" t="inlineStr">
        <is>
          <t>DIYA SHARMA</t>
        </is>
      </c>
      <c r="C793" s="30" t="n">
        <v>45786</v>
      </c>
      <c r="D793" s="1" t="inlineStr">
        <is>
          <t>BELCONNEN</t>
        </is>
      </c>
      <c r="E793" s="12" t="inlineStr">
        <is>
          <t>IND/MEL/00792</t>
        </is>
      </c>
      <c r="F793" s="1" t="inlineStr">
        <is>
          <t>F</t>
        </is>
      </c>
      <c r="G793" s="1" t="inlineStr">
        <is>
          <t>Neil Rao</t>
        </is>
      </c>
      <c r="H793" s="1" t="inlineStr">
        <is>
          <t>Anya Rao</t>
        </is>
      </c>
      <c r="I793" s="30" t="n">
        <v>45815</v>
      </c>
      <c r="J793" s="1" t="inlineStr">
        <is>
          <t>139 Birchwood Lane</t>
        </is>
      </c>
      <c r="K793" s="1" t="inlineStr">
        <is>
          <t>Emerald Road</t>
        </is>
      </c>
      <c r="L793" s="1" t="inlineStr">
        <is>
          <t>PIN:562907 BELCONNEN</t>
        </is>
      </c>
      <c r="M793" s="2" t="inlineStr">
        <is>
          <t>MHA/IND/00796</t>
        </is>
      </c>
      <c r="N793" s="30" t="n">
        <v>45872</v>
      </c>
    </row>
    <row r="794">
      <c r="A794" s="28" t="n">
        <v>793</v>
      </c>
      <c r="B794" s="1" t="inlineStr">
        <is>
          <t>SARA KALEON</t>
        </is>
      </c>
      <c r="C794" s="30" t="n">
        <v>45828</v>
      </c>
      <c r="D794" s="1" t="inlineStr">
        <is>
          <t>ST ALBANS</t>
        </is>
      </c>
      <c r="E794" s="12" t="inlineStr">
        <is>
          <t>IND/MEL/00793</t>
        </is>
      </c>
      <c r="F794" s="1" t="inlineStr">
        <is>
          <t>F</t>
        </is>
      </c>
      <c r="G794" s="1" t="inlineStr">
        <is>
          <t>Dev Valzari</t>
        </is>
      </c>
      <c r="H794" s="1" t="inlineStr">
        <is>
          <t>Tara Valzari</t>
        </is>
      </c>
      <c r="I794" s="30" t="n">
        <v>45852</v>
      </c>
      <c r="J794" s="1" t="inlineStr">
        <is>
          <t>121 Birchwood Lane</t>
        </is>
      </c>
      <c r="K794" s="1" t="inlineStr">
        <is>
          <t>Emerald Road</t>
        </is>
      </c>
      <c r="L794" s="1" t="inlineStr">
        <is>
          <t>PIN:447933 ST ALBANS</t>
        </is>
      </c>
      <c r="M794" s="2" t="inlineStr">
        <is>
          <t>MHA/IND/00797</t>
        </is>
      </c>
      <c r="N794" s="30" t="n">
        <v>45841</v>
      </c>
    </row>
    <row r="795">
      <c r="A795" s="28" t="n">
        <v>794</v>
      </c>
      <c r="B795" s="1" t="inlineStr">
        <is>
          <t>KABIR RAO</t>
        </is>
      </c>
      <c r="C795" s="30" t="n">
        <v>45699</v>
      </c>
      <c r="D795" s="1" t="inlineStr">
        <is>
          <t>TOWNSVILLE</t>
        </is>
      </c>
      <c r="E795" s="12" t="inlineStr">
        <is>
          <t>IND/MEL/00794</t>
        </is>
      </c>
      <c r="F795" s="1" t="inlineStr">
        <is>
          <t>F</t>
        </is>
      </c>
      <c r="G795" s="1" t="inlineStr">
        <is>
          <t>Rohit Rishkan</t>
        </is>
      </c>
      <c r="H795" s="1" t="inlineStr">
        <is>
          <t>Diya Rishkan</t>
        </is>
      </c>
      <c r="I795" s="30" t="n">
        <v>45809</v>
      </c>
      <c r="J795" s="1" t="inlineStr">
        <is>
          <t>13 Birchwood Lane</t>
        </is>
      </c>
      <c r="K795" s="1" t="inlineStr">
        <is>
          <t>Emerald Road</t>
        </is>
      </c>
      <c r="L795" s="1" t="inlineStr">
        <is>
          <t>PIN:803740 TOWNSVILLE</t>
        </is>
      </c>
      <c r="M795" s="2" t="inlineStr">
        <is>
          <t>MHA/IND/00798</t>
        </is>
      </c>
      <c r="N795" s="30" t="n">
        <v>45845</v>
      </c>
    </row>
    <row r="796">
      <c r="A796" s="28" t="n">
        <v>795</v>
      </c>
      <c r="B796" s="1" t="inlineStr">
        <is>
          <t>NEIL SHARMA</t>
        </is>
      </c>
      <c r="C796" s="30" t="n">
        <v>45703</v>
      </c>
      <c r="D796" s="1" t="inlineStr">
        <is>
          <t>WOLLONGONG</t>
        </is>
      </c>
      <c r="E796" s="12" t="inlineStr">
        <is>
          <t>IND/MEL/00795</t>
        </is>
      </c>
      <c r="F796" s="1" t="inlineStr">
        <is>
          <t>F</t>
        </is>
      </c>
      <c r="G796" s="1" t="inlineStr">
        <is>
          <t>Kabir Kaleon</t>
        </is>
      </c>
      <c r="H796" s="1" t="inlineStr">
        <is>
          <t>Riya Kaleon</t>
        </is>
      </c>
      <c r="I796" s="30" t="n">
        <v>45820</v>
      </c>
      <c r="J796" s="1" t="inlineStr">
        <is>
          <t>31 Birchwood Lane</t>
        </is>
      </c>
      <c r="K796" s="1" t="inlineStr">
        <is>
          <t>Emerald Road</t>
        </is>
      </c>
      <c r="L796" s="1" t="inlineStr">
        <is>
          <t>PIN:595547 WOLLONGONG</t>
        </is>
      </c>
      <c r="M796" s="2" t="inlineStr">
        <is>
          <t>MHA/IND/00799</t>
        </is>
      </c>
      <c r="N796" s="30" t="n">
        <v>45876</v>
      </c>
    </row>
    <row r="797">
      <c r="A797" s="28" t="n">
        <v>796</v>
      </c>
      <c r="B797" s="1" t="inlineStr">
        <is>
          <t>NINA RAO</t>
        </is>
      </c>
      <c r="C797" s="30" t="n">
        <v>45737</v>
      </c>
      <c r="D797" s="1" t="inlineStr">
        <is>
          <t>CAMPBELLTOWN</t>
        </is>
      </c>
      <c r="E797" s="12" t="inlineStr">
        <is>
          <t>IND/MEL/00796</t>
        </is>
      </c>
      <c r="F797" s="1" t="inlineStr">
        <is>
          <t>M</t>
        </is>
      </c>
      <c r="G797" s="1" t="inlineStr">
        <is>
          <t>Rohit Myrthos</t>
        </is>
      </c>
      <c r="H797" s="1" t="inlineStr">
        <is>
          <t>Alya Myrthos</t>
        </is>
      </c>
      <c r="I797" s="30" t="n">
        <v>45800</v>
      </c>
      <c r="J797" s="1" t="inlineStr">
        <is>
          <t>59 Birchwood Lane</t>
        </is>
      </c>
      <c r="K797" s="1" t="inlineStr">
        <is>
          <t>Emerald Road</t>
        </is>
      </c>
      <c r="L797" s="1" t="inlineStr">
        <is>
          <t>PIN:475285 CAMPBELLTOWN</t>
        </is>
      </c>
      <c r="M797" s="2" t="inlineStr">
        <is>
          <t>MHA/IND/00800</t>
        </is>
      </c>
      <c r="N797" s="30" t="n">
        <v>45890</v>
      </c>
    </row>
    <row r="798">
      <c r="A798" s="28" t="n">
        <v>797</v>
      </c>
      <c r="B798" s="1" t="inlineStr">
        <is>
          <t>ANYA VALZARI</t>
        </is>
      </c>
      <c r="C798" s="30" t="n">
        <v>45955</v>
      </c>
      <c r="D798" s="1" t="inlineStr">
        <is>
          <t>LENAH VALLEY</t>
        </is>
      </c>
      <c r="E798" s="12" t="inlineStr">
        <is>
          <t>IND/MEL/00797</t>
        </is>
      </c>
      <c r="F798" s="1" t="inlineStr">
        <is>
          <t>M</t>
        </is>
      </c>
      <c r="G798" s="1" t="inlineStr">
        <is>
          <t>Dev Sharma</t>
        </is>
      </c>
      <c r="H798" s="1" t="inlineStr">
        <is>
          <t>Riya Sharma</t>
        </is>
      </c>
      <c r="I798" s="30" t="n">
        <v>45983</v>
      </c>
      <c r="J798" s="1" t="inlineStr">
        <is>
          <t>55 Birchwood Lane</t>
        </is>
      </c>
      <c r="K798" s="1" t="inlineStr">
        <is>
          <t>Emerald Road</t>
        </is>
      </c>
      <c r="L798" s="1" t="inlineStr">
        <is>
          <t>PIN:883192 LENAH VALLEY</t>
        </is>
      </c>
      <c r="M798" s="2" t="inlineStr">
        <is>
          <t>MHA/IND/00801</t>
        </is>
      </c>
      <c r="N798" s="30" t="n">
        <v>45898</v>
      </c>
    </row>
    <row r="799">
      <c r="A799" s="28" t="n">
        <v>798</v>
      </c>
      <c r="B799" s="1" t="inlineStr">
        <is>
          <t>NINA RISHKAN</t>
        </is>
      </c>
      <c r="C799" s="30" t="n">
        <v>45826</v>
      </c>
      <c r="D799" s="1" t="inlineStr">
        <is>
          <t>PARRAMATTA</t>
        </is>
      </c>
      <c r="E799" s="12" t="inlineStr">
        <is>
          <t>IND/MEL/00798</t>
        </is>
      </c>
      <c r="F799" s="1" t="inlineStr">
        <is>
          <t>M</t>
        </is>
      </c>
      <c r="G799" s="1" t="inlineStr">
        <is>
          <t>Kabir Valzari</t>
        </is>
      </c>
      <c r="H799" s="1" t="inlineStr">
        <is>
          <t>Anya Valzari</t>
        </is>
      </c>
      <c r="I799" s="30" t="n">
        <v>45840</v>
      </c>
      <c r="J799" s="1" t="inlineStr">
        <is>
          <t>18 Birchwood Lane</t>
        </is>
      </c>
      <c r="K799" s="1" t="inlineStr">
        <is>
          <t>Emerald Road</t>
        </is>
      </c>
      <c r="L799" s="1" t="inlineStr">
        <is>
          <t>PIN:623840 PARRAMATTA</t>
        </is>
      </c>
      <c r="M799" s="2" t="inlineStr">
        <is>
          <t>MHA/IND/00802</t>
        </is>
      </c>
      <c r="N799" s="30" t="n">
        <v>45866</v>
      </c>
    </row>
    <row r="800">
      <c r="A800" s="28" t="n">
        <v>799</v>
      </c>
      <c r="B800" s="1" t="inlineStr">
        <is>
          <t>MIRA KALEON</t>
        </is>
      </c>
      <c r="C800" s="30" t="n">
        <v>45782</v>
      </c>
      <c r="D800" s="1" t="inlineStr">
        <is>
          <t>GEELONG</t>
        </is>
      </c>
      <c r="E800" s="12" t="inlineStr">
        <is>
          <t>IND/MEL/00799</t>
        </is>
      </c>
      <c r="F800" s="1" t="inlineStr">
        <is>
          <t>F</t>
        </is>
      </c>
      <c r="G800" s="1" t="inlineStr">
        <is>
          <t>Rohit Rao</t>
        </is>
      </c>
      <c r="H800" s="1" t="inlineStr">
        <is>
          <t>Alya Rao</t>
        </is>
      </c>
      <c r="I800" s="30" t="n">
        <v>45787</v>
      </c>
      <c r="J800" s="1" t="inlineStr">
        <is>
          <t>112 Birchwood Lane</t>
        </is>
      </c>
      <c r="K800" s="1" t="inlineStr">
        <is>
          <t>Emerald Road</t>
        </is>
      </c>
      <c r="L800" s="1" t="inlineStr">
        <is>
          <t>PIN:153426 GEELONG</t>
        </is>
      </c>
      <c r="M800" s="2" t="inlineStr">
        <is>
          <t>MHA/IND/00803</t>
        </is>
      </c>
      <c r="N800" s="30" t="n">
        <v>45897</v>
      </c>
    </row>
    <row r="801">
      <c r="A801" s="28" t="n">
        <v>800</v>
      </c>
      <c r="B801" s="1" t="inlineStr">
        <is>
          <t>ROHIT MYRTHOS</t>
        </is>
      </c>
      <c r="C801" s="30" t="n">
        <v>45754</v>
      </c>
      <c r="D801" s="1" t="inlineStr">
        <is>
          <t>PALMERSTON</t>
        </is>
      </c>
      <c r="E801" s="12" t="inlineStr">
        <is>
          <t>IND/MEL/00800</t>
        </is>
      </c>
      <c r="F801" s="1" t="inlineStr">
        <is>
          <t>M</t>
        </is>
      </c>
      <c r="G801" s="1" t="inlineStr">
        <is>
          <t>Aren Valzari</t>
        </is>
      </c>
      <c r="H801" s="1" t="inlineStr">
        <is>
          <t>Anya Valzari</t>
        </is>
      </c>
      <c r="I801" s="30" t="n">
        <v>45765</v>
      </c>
      <c r="J801" s="1" t="inlineStr">
        <is>
          <t>20 Birchwood Lane</t>
        </is>
      </c>
      <c r="K801" s="1" t="inlineStr">
        <is>
          <t>Emerald Road</t>
        </is>
      </c>
      <c r="L801" s="1" t="inlineStr">
        <is>
          <t>PIN:548726 PALMERSTON</t>
        </is>
      </c>
      <c r="M801" s="2" t="inlineStr">
        <is>
          <t>MHA/IND/00804</t>
        </is>
      </c>
      <c r="N801" s="30" t="n">
        <v>45885</v>
      </c>
    </row>
    <row r="802">
      <c r="A802" s="28" t="n">
        <v>801</v>
      </c>
      <c r="B802" s="1" t="inlineStr">
        <is>
          <t>ISHAN SHARMA</t>
        </is>
      </c>
      <c r="C802" s="30" t="n">
        <v>45951</v>
      </c>
      <c r="D802" s="1" t="inlineStr">
        <is>
          <t>LENAH VALLEY</t>
        </is>
      </c>
      <c r="E802" s="12" t="inlineStr">
        <is>
          <t>IND/MEL/00801</t>
        </is>
      </c>
      <c r="F802" s="1" t="inlineStr">
        <is>
          <t>M</t>
        </is>
      </c>
      <c r="G802" s="1" t="inlineStr">
        <is>
          <t>Kabir Kaleon</t>
        </is>
      </c>
      <c r="H802" s="1" t="inlineStr">
        <is>
          <t>Riya Kaleon</t>
        </is>
      </c>
      <c r="I802" s="30" t="n">
        <v>46031</v>
      </c>
      <c r="J802" s="1" t="inlineStr">
        <is>
          <t>163 Birchwood Lane</t>
        </is>
      </c>
      <c r="K802" s="1" t="inlineStr">
        <is>
          <t>Emerald Road</t>
        </is>
      </c>
      <c r="L802" s="1" t="inlineStr">
        <is>
          <t>PIN:398774 LENAH VALLEY</t>
        </is>
      </c>
      <c r="M802" s="2" t="inlineStr">
        <is>
          <t>MHA/IND/00805</t>
        </is>
      </c>
      <c r="N802" s="30" t="n">
        <v>45868</v>
      </c>
    </row>
    <row r="803">
      <c r="A803" s="28" t="n">
        <v>802</v>
      </c>
      <c r="B803" s="1" t="inlineStr">
        <is>
          <t>DEV VALZARI</t>
        </is>
      </c>
      <c r="C803" s="30" t="n">
        <v>45804</v>
      </c>
      <c r="D803" s="1" t="inlineStr">
        <is>
          <t>MIDLAND</t>
        </is>
      </c>
      <c r="E803" s="12" t="inlineStr">
        <is>
          <t>IND/MEL/00802</t>
        </is>
      </c>
      <c r="F803" s="1" t="inlineStr">
        <is>
          <t>M</t>
        </is>
      </c>
      <c r="G803" s="1" t="inlineStr">
        <is>
          <t>Kabir Myrthos</t>
        </is>
      </c>
      <c r="H803" s="1" t="inlineStr">
        <is>
          <t>Nina Myrthos</t>
        </is>
      </c>
      <c r="I803" s="30" t="n">
        <v>45918</v>
      </c>
      <c r="J803" s="1" t="inlineStr">
        <is>
          <t>179 Birchwood Lane</t>
        </is>
      </c>
      <c r="K803" s="1" t="inlineStr">
        <is>
          <t>Emerald Road</t>
        </is>
      </c>
      <c r="L803" s="1" t="inlineStr">
        <is>
          <t>PIN:688803 MIDLAND</t>
        </is>
      </c>
      <c r="M803" s="2" t="inlineStr">
        <is>
          <t>MHA/IND/00806</t>
        </is>
      </c>
      <c r="N803" s="30" t="n">
        <v>45858</v>
      </c>
    </row>
    <row r="804">
      <c r="A804" s="28" t="n">
        <v>803</v>
      </c>
      <c r="B804" s="1" t="inlineStr">
        <is>
          <t>ANYA RAO</t>
        </is>
      </c>
      <c r="C804" s="30" t="n">
        <v>45908</v>
      </c>
      <c r="D804" s="1" t="inlineStr">
        <is>
          <t>ROCKHAMPTON</t>
        </is>
      </c>
      <c r="E804" s="12" t="inlineStr">
        <is>
          <t>IND/MEL/00803</t>
        </is>
      </c>
      <c r="F804" s="1" t="inlineStr">
        <is>
          <t>F</t>
        </is>
      </c>
      <c r="G804" s="1" t="inlineStr">
        <is>
          <t>Ishan Sindale</t>
        </is>
      </c>
      <c r="H804" s="1" t="inlineStr">
        <is>
          <t>Anya Sindale</t>
        </is>
      </c>
      <c r="I804" s="30" t="n">
        <v>45915</v>
      </c>
      <c r="J804" s="1" t="inlineStr">
        <is>
          <t>11 Birchwood Lane</t>
        </is>
      </c>
      <c r="K804" s="1" t="inlineStr">
        <is>
          <t>Emerald Road</t>
        </is>
      </c>
      <c r="L804" s="1" t="inlineStr">
        <is>
          <t>PIN:572879 ROCKHAMPTON</t>
        </is>
      </c>
      <c r="M804" s="2" t="inlineStr">
        <is>
          <t>MHA/IND/00807</t>
        </is>
      </c>
      <c r="N804" s="30" t="n">
        <v>45852</v>
      </c>
    </row>
    <row r="805">
      <c r="A805" s="28" t="n">
        <v>804</v>
      </c>
      <c r="B805" s="1" t="inlineStr">
        <is>
          <t>ROHIT VALZARI</t>
        </is>
      </c>
      <c r="C805" s="30" t="n">
        <v>45692</v>
      </c>
      <c r="D805" s="1" t="inlineStr">
        <is>
          <t>MANDURAH</t>
        </is>
      </c>
      <c r="E805" s="12" t="inlineStr">
        <is>
          <t>IND/MEL/00804</t>
        </is>
      </c>
      <c r="F805" s="1" t="inlineStr">
        <is>
          <t>F</t>
        </is>
      </c>
      <c r="G805" s="1" t="inlineStr">
        <is>
          <t>Dev Valzari</t>
        </is>
      </c>
      <c r="H805" s="1" t="inlineStr">
        <is>
          <t>Alya Valzari</t>
        </is>
      </c>
      <c r="I805" s="30" t="n">
        <v>45717</v>
      </c>
      <c r="J805" s="1" t="inlineStr">
        <is>
          <t>69 Birchwood Lane</t>
        </is>
      </c>
      <c r="K805" s="1" t="inlineStr">
        <is>
          <t>Emerald Road</t>
        </is>
      </c>
      <c r="L805" s="1" t="inlineStr">
        <is>
          <t>PIN:775685 MANDURAH</t>
        </is>
      </c>
      <c r="M805" s="2" t="inlineStr">
        <is>
          <t>MHA/IND/00808</t>
        </is>
      </c>
      <c r="N805" s="30" t="n">
        <v>45855</v>
      </c>
    </row>
    <row r="806">
      <c r="A806" s="28" t="n">
        <v>805</v>
      </c>
      <c r="B806" s="1" t="inlineStr">
        <is>
          <t>ARJUN KALEON</t>
        </is>
      </c>
      <c r="C806" s="30" t="n">
        <v>45695</v>
      </c>
      <c r="D806" s="1" t="inlineStr">
        <is>
          <t>DALBY</t>
        </is>
      </c>
      <c r="E806" s="12" t="inlineStr">
        <is>
          <t>IND/MEL/00805</t>
        </is>
      </c>
      <c r="F806" s="1" t="inlineStr">
        <is>
          <t>M</t>
        </is>
      </c>
      <c r="G806" s="1" t="inlineStr">
        <is>
          <t>Arjun Rishkan</t>
        </is>
      </c>
      <c r="H806" s="1" t="inlineStr">
        <is>
          <t>Riya Rishkan</t>
        </is>
      </c>
      <c r="I806" s="30" t="n">
        <v>45747</v>
      </c>
      <c r="J806" s="1" t="inlineStr">
        <is>
          <t>16 Birchwood Lane</t>
        </is>
      </c>
      <c r="K806" s="1" t="inlineStr">
        <is>
          <t>Emerald Road</t>
        </is>
      </c>
      <c r="L806" s="1" t="inlineStr">
        <is>
          <t>PIN:294333 DALBY</t>
        </is>
      </c>
      <c r="M806" s="2" t="inlineStr">
        <is>
          <t>MHA/IND/00809</t>
        </is>
      </c>
      <c r="N806" s="30" t="n">
        <v>45880</v>
      </c>
    </row>
    <row r="807">
      <c r="A807" s="28" t="n">
        <v>806</v>
      </c>
      <c r="B807" s="1" t="inlineStr">
        <is>
          <t>AREN MYRTHOS</t>
        </is>
      </c>
      <c r="C807" s="30" t="n">
        <v>45833</v>
      </c>
      <c r="D807" s="1" t="inlineStr">
        <is>
          <t>PARKVILLE</t>
        </is>
      </c>
      <c r="E807" s="12" t="inlineStr">
        <is>
          <t>IND/MEL/00806</t>
        </is>
      </c>
      <c r="F807" s="1" t="inlineStr">
        <is>
          <t>F</t>
        </is>
      </c>
      <c r="G807" s="1" t="inlineStr">
        <is>
          <t>Ishan Rao</t>
        </is>
      </c>
      <c r="H807" s="1" t="inlineStr">
        <is>
          <t>Riya Rao</t>
        </is>
      </c>
      <c r="I807" s="30" t="n">
        <v>45856</v>
      </c>
      <c r="J807" s="1" t="inlineStr">
        <is>
          <t>89 Birchwood Lane</t>
        </is>
      </c>
      <c r="K807" s="1" t="inlineStr">
        <is>
          <t>Emerald Road</t>
        </is>
      </c>
      <c r="L807" s="1" t="inlineStr">
        <is>
          <t>PIN:778480 PARKVILLE</t>
        </is>
      </c>
      <c r="M807" s="2" t="inlineStr">
        <is>
          <t>MHA/IND/00810</t>
        </is>
      </c>
      <c r="N807" s="30" t="n">
        <v>45859</v>
      </c>
    </row>
    <row r="808">
      <c r="A808" s="28" t="n">
        <v>807</v>
      </c>
      <c r="B808" s="1" t="inlineStr">
        <is>
          <t>MIRA SINDALE</t>
        </is>
      </c>
      <c r="C808" s="30" t="n">
        <v>45812</v>
      </c>
      <c r="D808" s="1" t="inlineStr">
        <is>
          <t>ADELAIDE</t>
        </is>
      </c>
      <c r="E808" s="12" t="inlineStr">
        <is>
          <t>IND/MEL/00807</t>
        </is>
      </c>
      <c r="F808" s="1" t="inlineStr">
        <is>
          <t>F</t>
        </is>
      </c>
      <c r="G808" s="1" t="inlineStr">
        <is>
          <t>Kabir Rishkan</t>
        </is>
      </c>
      <c r="H808" s="1" t="inlineStr">
        <is>
          <t>Sara Rishkan</t>
        </is>
      </c>
      <c r="I808" s="30" t="n">
        <v>45931</v>
      </c>
      <c r="J808" s="1" t="inlineStr">
        <is>
          <t>77 Birchwood Lane</t>
        </is>
      </c>
      <c r="K808" s="1" t="inlineStr">
        <is>
          <t>Emerald Road</t>
        </is>
      </c>
      <c r="L808" s="1" t="inlineStr">
        <is>
          <t>PIN:952963 ADELAIDE</t>
        </is>
      </c>
      <c r="M808" s="2" t="inlineStr">
        <is>
          <t>MHA/IND/00811</t>
        </is>
      </c>
      <c r="N808" s="30" t="n">
        <v>45842</v>
      </c>
    </row>
    <row r="809">
      <c r="A809" s="28" t="n">
        <v>808</v>
      </c>
      <c r="B809" s="1" t="inlineStr">
        <is>
          <t>ALYA VALZARI</t>
        </is>
      </c>
      <c r="C809" s="30" t="n">
        <v>45833</v>
      </c>
      <c r="D809" s="1" t="inlineStr">
        <is>
          <t>LOGAN</t>
        </is>
      </c>
      <c r="E809" s="12" t="inlineStr">
        <is>
          <t>IND/MEL/00808</t>
        </is>
      </c>
      <c r="F809" s="1" t="inlineStr">
        <is>
          <t>M</t>
        </is>
      </c>
      <c r="G809" s="1" t="inlineStr">
        <is>
          <t>Arjun Rao</t>
        </is>
      </c>
      <c r="H809" s="1" t="inlineStr">
        <is>
          <t>Nina Rao</t>
        </is>
      </c>
      <c r="I809" s="30" t="n">
        <v>45935</v>
      </c>
      <c r="J809" s="1" t="inlineStr">
        <is>
          <t>190 Birchwood Lane</t>
        </is>
      </c>
      <c r="K809" s="1" t="inlineStr">
        <is>
          <t>Emerald Road</t>
        </is>
      </c>
      <c r="L809" s="1" t="inlineStr">
        <is>
          <t>PIN:921501 LOGAN</t>
        </is>
      </c>
      <c r="M809" s="2" t="inlineStr">
        <is>
          <t>MHA/IND/00812</t>
        </is>
      </c>
      <c r="N809" s="30" t="n">
        <v>45886</v>
      </c>
    </row>
    <row r="810">
      <c r="A810" s="28" t="n">
        <v>809</v>
      </c>
      <c r="B810" s="1" t="inlineStr">
        <is>
          <t>ARJUN RISHKAN</t>
        </is>
      </c>
      <c r="C810" s="30" t="n">
        <v>45834</v>
      </c>
      <c r="D810" s="1" t="inlineStr">
        <is>
          <t>FRANKSTON</t>
        </is>
      </c>
      <c r="E810" s="12" t="inlineStr">
        <is>
          <t>IND/MEL/00809</t>
        </is>
      </c>
      <c r="F810" s="1" t="inlineStr">
        <is>
          <t>M</t>
        </is>
      </c>
      <c r="G810" s="1" t="inlineStr">
        <is>
          <t>Neil Rishkan</t>
        </is>
      </c>
      <c r="H810" s="1" t="inlineStr">
        <is>
          <t>Tara Rishkan</t>
        </is>
      </c>
      <c r="I810" s="30" t="n">
        <v>45866</v>
      </c>
      <c r="J810" s="1" t="inlineStr">
        <is>
          <t>135 Birchwood Lane</t>
        </is>
      </c>
      <c r="K810" s="1" t="inlineStr">
        <is>
          <t>Emerald Road</t>
        </is>
      </c>
      <c r="L810" s="1" t="inlineStr">
        <is>
          <t>PIN:461997 FRANKSTON</t>
        </is>
      </c>
      <c r="M810" s="2" t="inlineStr">
        <is>
          <t>MHA/IND/00813</t>
        </is>
      </c>
      <c r="N810" s="30" t="n">
        <v>45892</v>
      </c>
    </row>
    <row r="811">
      <c r="A811" s="28" t="n">
        <v>810</v>
      </c>
      <c r="B811" s="1" t="inlineStr">
        <is>
          <t>ANYA RAO</t>
        </is>
      </c>
      <c r="C811" s="30" t="n">
        <v>45787</v>
      </c>
      <c r="D811" s="1" t="inlineStr">
        <is>
          <t>ST ALBANS</t>
        </is>
      </c>
      <c r="E811" s="12" t="inlineStr">
        <is>
          <t>IND/MEL/00810</t>
        </is>
      </c>
      <c r="F811" s="1" t="inlineStr">
        <is>
          <t>M</t>
        </is>
      </c>
      <c r="G811" s="1" t="inlineStr">
        <is>
          <t>Arjun Myrthos</t>
        </is>
      </c>
      <c r="H811" s="1" t="inlineStr">
        <is>
          <t>Sara Myrthos</t>
        </is>
      </c>
      <c r="I811" s="30" t="n">
        <v>45833</v>
      </c>
      <c r="J811" s="1" t="inlineStr">
        <is>
          <t>118 Birchwood Lane</t>
        </is>
      </c>
      <c r="K811" s="1" t="inlineStr">
        <is>
          <t>Emerald Road</t>
        </is>
      </c>
      <c r="L811" s="1" t="inlineStr">
        <is>
          <t>PIN:541304 ST ALBANS</t>
        </is>
      </c>
      <c r="M811" s="2" t="inlineStr">
        <is>
          <t>MHA/IND/00814</t>
        </is>
      </c>
      <c r="N811" s="30" t="n">
        <v>45893</v>
      </c>
    </row>
    <row r="812">
      <c r="A812" s="28" t="n">
        <v>811</v>
      </c>
      <c r="B812" s="1" t="inlineStr">
        <is>
          <t>TARA RISHKAN</t>
        </is>
      </c>
      <c r="C812" s="30" t="n">
        <v>45667</v>
      </c>
      <c r="D812" s="1" t="inlineStr">
        <is>
          <t>MANDURAH</t>
        </is>
      </c>
      <c r="E812" s="12" t="inlineStr">
        <is>
          <t>IND/MEL/00811</t>
        </is>
      </c>
      <c r="F812" s="1" t="inlineStr">
        <is>
          <t>M</t>
        </is>
      </c>
      <c r="G812" s="1" t="inlineStr">
        <is>
          <t>Arjun Rishkan</t>
        </is>
      </c>
      <c r="H812" s="1" t="inlineStr">
        <is>
          <t>Sara Rishkan</t>
        </is>
      </c>
      <c r="I812" s="30" t="n">
        <v>45721</v>
      </c>
      <c r="J812" s="1" t="inlineStr">
        <is>
          <t>10 Birchwood Lane</t>
        </is>
      </c>
      <c r="K812" s="1" t="inlineStr">
        <is>
          <t>Emerald Road</t>
        </is>
      </c>
      <c r="L812" s="1" t="inlineStr">
        <is>
          <t>PIN:613365 MANDURAH</t>
        </is>
      </c>
      <c r="M812" s="2" t="inlineStr">
        <is>
          <t>MHA/IND/00815</t>
        </is>
      </c>
      <c r="N812" s="30" t="n">
        <v>45877</v>
      </c>
    </row>
    <row r="813">
      <c r="A813" s="28" t="n">
        <v>812</v>
      </c>
      <c r="B813" s="1" t="inlineStr">
        <is>
          <t>ISHAN RAO</t>
        </is>
      </c>
      <c r="C813" s="30" t="n">
        <v>45956</v>
      </c>
      <c r="D813" s="1" t="inlineStr">
        <is>
          <t>BEDFORD PARK</t>
        </is>
      </c>
      <c r="E813" s="12" t="inlineStr">
        <is>
          <t>IND/MEL/00812</t>
        </is>
      </c>
      <c r="F813" s="1" t="inlineStr">
        <is>
          <t>F</t>
        </is>
      </c>
      <c r="G813" s="1" t="inlineStr">
        <is>
          <t>Arjun Valzari</t>
        </is>
      </c>
      <c r="H813" s="1" t="inlineStr">
        <is>
          <t>Diya Valzari</t>
        </is>
      </c>
      <c r="I813" s="30" t="n">
        <v>45962</v>
      </c>
      <c r="J813" s="1" t="inlineStr">
        <is>
          <t>184 Birchwood Lane</t>
        </is>
      </c>
      <c r="K813" s="1" t="inlineStr">
        <is>
          <t>Emerald Road</t>
        </is>
      </c>
      <c r="L813" s="1" t="inlineStr">
        <is>
          <t>PIN:462170 BEDFORD PARK</t>
        </is>
      </c>
      <c r="M813" s="2" t="inlineStr">
        <is>
          <t>MHA/IND/00816</t>
        </is>
      </c>
      <c r="N813" s="30" t="n">
        <v>45848</v>
      </c>
    </row>
    <row r="814">
      <c r="A814" s="28" t="n">
        <v>813</v>
      </c>
      <c r="B814" s="1" t="inlineStr">
        <is>
          <t>NEIL RISHKAN</t>
        </is>
      </c>
      <c r="C814" s="30" t="n">
        <v>45901</v>
      </c>
      <c r="D814" s="1" t="inlineStr">
        <is>
          <t>WERRIBEE</t>
        </is>
      </c>
      <c r="E814" s="12" t="inlineStr">
        <is>
          <t>IND/MEL/00813</t>
        </is>
      </c>
      <c r="F814" s="1" t="inlineStr">
        <is>
          <t>M</t>
        </is>
      </c>
      <c r="G814" s="1" t="inlineStr">
        <is>
          <t>Arjun Myrthos</t>
        </is>
      </c>
      <c r="H814" s="1" t="inlineStr">
        <is>
          <t>Nina Myrthos</t>
        </is>
      </c>
      <c r="I814" s="30" t="n">
        <v>45941</v>
      </c>
      <c r="J814" s="1" t="inlineStr">
        <is>
          <t>35 Birchwood Lane</t>
        </is>
      </c>
      <c r="K814" s="1" t="inlineStr">
        <is>
          <t>Emerald Road</t>
        </is>
      </c>
      <c r="L814" s="1" t="inlineStr">
        <is>
          <t>PIN:345085 WERRIBEE</t>
        </is>
      </c>
      <c r="M814" s="2" t="inlineStr">
        <is>
          <t>MHA/IND/00817</t>
        </is>
      </c>
      <c r="N814" s="30" t="n">
        <v>45881</v>
      </c>
    </row>
    <row r="815">
      <c r="A815" s="28" t="n">
        <v>814</v>
      </c>
      <c r="B815" s="1" t="inlineStr">
        <is>
          <t>KIRAN MYRTHOS</t>
        </is>
      </c>
      <c r="C815" s="30" t="n">
        <v>45860</v>
      </c>
      <c r="D815" s="1" t="inlineStr">
        <is>
          <t>BUNDABERG</t>
        </is>
      </c>
      <c r="E815" s="12" t="inlineStr">
        <is>
          <t>IND/MEL/00814</t>
        </is>
      </c>
      <c r="F815" s="1" t="inlineStr">
        <is>
          <t>M</t>
        </is>
      </c>
      <c r="G815" s="1" t="inlineStr">
        <is>
          <t>Neil Rao</t>
        </is>
      </c>
      <c r="H815" s="1" t="inlineStr">
        <is>
          <t>Sara Rao</t>
        </is>
      </c>
      <c r="I815" s="30" t="n">
        <v>45905</v>
      </c>
      <c r="J815" s="1" t="inlineStr">
        <is>
          <t>131 Birchwood Lane</t>
        </is>
      </c>
      <c r="K815" s="1" t="inlineStr">
        <is>
          <t>Emerald Road</t>
        </is>
      </c>
      <c r="L815" s="1" t="inlineStr">
        <is>
          <t>PIN:834366 BUNDABERG</t>
        </is>
      </c>
      <c r="M815" s="2" t="inlineStr">
        <is>
          <t>MHA/IND/00818</t>
        </is>
      </c>
      <c r="N815" s="30" t="n">
        <v>45878</v>
      </c>
    </row>
    <row r="816">
      <c r="A816" s="28" t="n">
        <v>815</v>
      </c>
      <c r="B816" s="1" t="inlineStr">
        <is>
          <t>DEV RISHKAN</t>
        </is>
      </c>
      <c r="C816" s="30" t="n">
        <v>45828</v>
      </c>
      <c r="D816" s="1" t="inlineStr">
        <is>
          <t>PERTH</t>
        </is>
      </c>
      <c r="E816" s="12" t="inlineStr">
        <is>
          <t>IND/MEL/00815</t>
        </is>
      </c>
      <c r="F816" s="1" t="inlineStr">
        <is>
          <t>F</t>
        </is>
      </c>
      <c r="G816" s="1" t="inlineStr">
        <is>
          <t>Neil Rao</t>
        </is>
      </c>
      <c r="H816" s="1" t="inlineStr">
        <is>
          <t>Riya Rao</t>
        </is>
      </c>
      <c r="I816" s="30" t="n">
        <v>45872</v>
      </c>
      <c r="J816" s="1" t="inlineStr">
        <is>
          <t>32 Birchwood Lane</t>
        </is>
      </c>
      <c r="K816" s="1" t="inlineStr">
        <is>
          <t>Emerald Road</t>
        </is>
      </c>
      <c r="L816" s="1" t="inlineStr">
        <is>
          <t>PIN:127602 PERTH</t>
        </is>
      </c>
      <c r="M816" s="2" t="inlineStr">
        <is>
          <t>MHA/IND/00819</t>
        </is>
      </c>
      <c r="N816" s="30" t="n">
        <v>45877</v>
      </c>
    </row>
    <row r="817">
      <c r="A817" s="28" t="n">
        <v>816</v>
      </c>
      <c r="B817" s="1" t="inlineStr">
        <is>
          <t>SARA VALZARI</t>
        </is>
      </c>
      <c r="C817" s="30" t="n">
        <v>45775</v>
      </c>
      <c r="D817" s="1" t="inlineStr">
        <is>
          <t>NEWCASTLE</t>
        </is>
      </c>
      <c r="E817" s="12" t="inlineStr">
        <is>
          <t>IND/MEL/00816</t>
        </is>
      </c>
      <c r="F817" s="1" t="inlineStr">
        <is>
          <t>M</t>
        </is>
      </c>
      <c r="G817" s="1" t="inlineStr">
        <is>
          <t>Ishan Myrthos</t>
        </is>
      </c>
      <c r="H817" s="1" t="inlineStr">
        <is>
          <t>Anya Myrthos</t>
        </is>
      </c>
      <c r="I817" s="30" t="n">
        <v>45873</v>
      </c>
      <c r="J817" s="1" t="inlineStr">
        <is>
          <t>139 Birchwood Lane</t>
        </is>
      </c>
      <c r="K817" s="1" t="inlineStr">
        <is>
          <t>Emerald Road</t>
        </is>
      </c>
      <c r="L817" s="1" t="inlineStr">
        <is>
          <t>PIN:884260 NEWCASTLE</t>
        </is>
      </c>
      <c r="M817" s="2" t="inlineStr">
        <is>
          <t>MHA/IND/00820</t>
        </is>
      </c>
      <c r="N817" s="30" t="n">
        <v>45864</v>
      </c>
    </row>
    <row r="818">
      <c r="A818" s="28" t="n">
        <v>817</v>
      </c>
      <c r="B818" s="1" t="inlineStr">
        <is>
          <t>ROHIT MYRTHOS</t>
        </is>
      </c>
      <c r="C818" s="30" t="n">
        <v>45733</v>
      </c>
      <c r="D818" s="1" t="inlineStr">
        <is>
          <t>PARKVILLE</t>
        </is>
      </c>
      <c r="E818" s="12" t="inlineStr">
        <is>
          <t>IND/MEL/00817</t>
        </is>
      </c>
      <c r="F818" s="1" t="inlineStr">
        <is>
          <t>M</t>
        </is>
      </c>
      <c r="G818" s="1" t="inlineStr">
        <is>
          <t>Kabir Sindale</t>
        </is>
      </c>
      <c r="H818" s="1" t="inlineStr">
        <is>
          <t>Sara Sindale</t>
        </is>
      </c>
      <c r="I818" s="30" t="n">
        <v>45786</v>
      </c>
      <c r="J818" s="1" t="inlineStr">
        <is>
          <t>164 Birchwood Lane</t>
        </is>
      </c>
      <c r="K818" s="1" t="inlineStr">
        <is>
          <t>Emerald Road</t>
        </is>
      </c>
      <c r="L818" s="1" t="inlineStr">
        <is>
          <t>PIN:603548 PARKVILLE</t>
        </is>
      </c>
      <c r="M818" s="2" t="inlineStr">
        <is>
          <t>MHA/IND/00821</t>
        </is>
      </c>
      <c r="N818" s="30" t="n">
        <v>45857</v>
      </c>
    </row>
    <row r="819">
      <c r="A819" s="28" t="n">
        <v>818</v>
      </c>
      <c r="B819" s="1" t="inlineStr">
        <is>
          <t>KABIR RAO</t>
        </is>
      </c>
      <c r="C819" s="30" t="n">
        <v>45813</v>
      </c>
      <c r="D819" s="1" t="inlineStr">
        <is>
          <t>CLAYTON</t>
        </is>
      </c>
      <c r="E819" s="12" t="inlineStr">
        <is>
          <t>IND/MEL/00818</t>
        </is>
      </c>
      <c r="F819" s="1" t="inlineStr">
        <is>
          <t>F</t>
        </is>
      </c>
      <c r="G819" s="1" t="inlineStr">
        <is>
          <t>Arjun Rishkan</t>
        </is>
      </c>
      <c r="H819" s="1" t="inlineStr">
        <is>
          <t>Riya Rishkan</t>
        </is>
      </c>
      <c r="I819" s="30" t="n">
        <v>45881</v>
      </c>
      <c r="J819" s="1" t="inlineStr">
        <is>
          <t>115 Birchwood Lane</t>
        </is>
      </c>
      <c r="K819" s="1" t="inlineStr">
        <is>
          <t>Emerald Road</t>
        </is>
      </c>
      <c r="L819" s="1" t="inlineStr">
        <is>
          <t>PIN:420167 CLAYTON</t>
        </is>
      </c>
      <c r="M819" s="2" t="inlineStr">
        <is>
          <t>MHA/IND/00822</t>
        </is>
      </c>
      <c r="N819" s="30" t="n">
        <v>45844</v>
      </c>
    </row>
    <row r="820">
      <c r="A820" s="28" t="n">
        <v>819</v>
      </c>
      <c r="B820" s="1" t="inlineStr">
        <is>
          <t>DIYA RAO</t>
        </is>
      </c>
      <c r="C820" s="30" t="n">
        <v>45884</v>
      </c>
      <c r="D820" s="1" t="inlineStr">
        <is>
          <t>SYDNEY</t>
        </is>
      </c>
      <c r="E820" s="12" t="inlineStr">
        <is>
          <t>IND/MEL/00819</t>
        </is>
      </c>
      <c r="F820" s="1" t="inlineStr">
        <is>
          <t>M</t>
        </is>
      </c>
      <c r="G820" s="1" t="inlineStr">
        <is>
          <t>Rohit Myrthos</t>
        </is>
      </c>
      <c r="H820" s="1" t="inlineStr">
        <is>
          <t>Sara Myrthos</t>
        </is>
      </c>
      <c r="I820" s="30" t="n">
        <v>45929</v>
      </c>
      <c r="J820" s="1" t="inlineStr">
        <is>
          <t>87 Birchwood Lane</t>
        </is>
      </c>
      <c r="K820" s="1" t="inlineStr">
        <is>
          <t>Emerald Road</t>
        </is>
      </c>
      <c r="L820" s="1" t="inlineStr">
        <is>
          <t>PIN:467770 SYDNEY</t>
        </is>
      </c>
      <c r="M820" s="2" t="inlineStr">
        <is>
          <t>MHA/IND/00823</t>
        </is>
      </c>
      <c r="N820" s="30" t="n">
        <v>45864</v>
      </c>
    </row>
    <row r="821">
      <c r="A821" s="28" t="n">
        <v>820</v>
      </c>
      <c r="B821" s="1" t="inlineStr">
        <is>
          <t>KIRAN MYRTHOS</t>
        </is>
      </c>
      <c r="C821" s="30" t="n">
        <v>45922</v>
      </c>
      <c r="D821" s="1" t="inlineStr">
        <is>
          <t>SHEPPARTON</t>
        </is>
      </c>
      <c r="E821" s="12" t="inlineStr">
        <is>
          <t>IND/MEL/00820</t>
        </is>
      </c>
      <c r="F821" s="1" t="inlineStr">
        <is>
          <t>M</t>
        </is>
      </c>
      <c r="G821" s="1" t="inlineStr">
        <is>
          <t>Arjun Kaleon</t>
        </is>
      </c>
      <c r="H821" s="1" t="inlineStr">
        <is>
          <t>Nina Kaleon</t>
        </is>
      </c>
      <c r="I821" s="30" t="n">
        <v>46024</v>
      </c>
      <c r="J821" s="1" t="inlineStr">
        <is>
          <t>77 Birchwood Lane</t>
        </is>
      </c>
      <c r="K821" s="1" t="inlineStr">
        <is>
          <t>Emerald Road</t>
        </is>
      </c>
      <c r="L821" s="1" t="inlineStr">
        <is>
          <t>PIN:757926 SHEPPARTON</t>
        </is>
      </c>
      <c r="M821" s="2" t="inlineStr">
        <is>
          <t>MHA/IND/00824</t>
        </is>
      </c>
      <c r="N821" s="30" t="n">
        <v>45840</v>
      </c>
    </row>
    <row r="822">
      <c r="A822" s="28" t="n">
        <v>821</v>
      </c>
      <c r="B822" s="1" t="inlineStr">
        <is>
          <t>NEIL SINDALE</t>
        </is>
      </c>
      <c r="C822" s="30" t="n">
        <v>45768</v>
      </c>
      <c r="D822" s="1" t="inlineStr">
        <is>
          <t>WERRIBEE</t>
        </is>
      </c>
      <c r="E822" s="12" t="inlineStr">
        <is>
          <t>IND/MEL/00821</t>
        </is>
      </c>
      <c r="F822" s="1" t="inlineStr">
        <is>
          <t>M</t>
        </is>
      </c>
      <c r="G822" s="1" t="inlineStr">
        <is>
          <t>Rohit Kaleon</t>
        </is>
      </c>
      <c r="H822" s="1" t="inlineStr">
        <is>
          <t>Diya Kaleon</t>
        </is>
      </c>
      <c r="I822" s="30" t="n">
        <v>45776</v>
      </c>
      <c r="J822" s="1" t="inlineStr">
        <is>
          <t>59 Birchwood Lane</t>
        </is>
      </c>
      <c r="K822" s="1" t="inlineStr">
        <is>
          <t>Emerald Road</t>
        </is>
      </c>
      <c r="L822" s="1" t="inlineStr">
        <is>
          <t>PIN:445229 WERRIBEE</t>
        </is>
      </c>
      <c r="M822" s="2" t="inlineStr">
        <is>
          <t>MHA/IND/00825</t>
        </is>
      </c>
      <c r="N822" s="30" t="n">
        <v>45868</v>
      </c>
    </row>
    <row r="823">
      <c r="A823" s="28" t="n">
        <v>822</v>
      </c>
      <c r="B823" s="1" t="inlineStr">
        <is>
          <t>ANYA RISHKAN</t>
        </is>
      </c>
      <c r="C823" s="30" t="n">
        <v>45957</v>
      </c>
      <c r="D823" s="1" t="inlineStr">
        <is>
          <t>MOUNT WAVERLEY</t>
        </is>
      </c>
      <c r="E823" s="12" t="inlineStr">
        <is>
          <t>IND/MEL/00822</t>
        </is>
      </c>
      <c r="F823" s="1" t="inlineStr">
        <is>
          <t>F</t>
        </is>
      </c>
      <c r="G823" s="1" t="inlineStr">
        <is>
          <t>Arjun Kaleon</t>
        </is>
      </c>
      <c r="H823" s="1" t="inlineStr">
        <is>
          <t>Diya Kaleon</t>
        </is>
      </c>
      <c r="I823" s="30" t="n">
        <v>45976</v>
      </c>
      <c r="J823" s="1" t="inlineStr">
        <is>
          <t>97 Birchwood Lane</t>
        </is>
      </c>
      <c r="K823" s="1" t="inlineStr">
        <is>
          <t>Emerald Road</t>
        </is>
      </c>
      <c r="L823" s="1" t="inlineStr">
        <is>
          <t>PIN:563405 MOUNT WAVERLEY</t>
        </is>
      </c>
      <c r="M823" s="2" t="inlineStr">
        <is>
          <t>MHA/IND/00826</t>
        </is>
      </c>
      <c r="N823" s="30" t="n">
        <v>45849</v>
      </c>
    </row>
    <row r="824">
      <c r="A824" s="28" t="n">
        <v>823</v>
      </c>
      <c r="B824" s="1" t="inlineStr">
        <is>
          <t>ISHAN MYRTHOS</t>
        </is>
      </c>
      <c r="C824" s="30" t="n">
        <v>45849</v>
      </c>
      <c r="D824" s="1" t="inlineStr">
        <is>
          <t>BRISBANE</t>
        </is>
      </c>
      <c r="E824" s="12" t="inlineStr">
        <is>
          <t>IND/MEL/00823</t>
        </is>
      </c>
      <c r="F824" s="1" t="inlineStr">
        <is>
          <t>F</t>
        </is>
      </c>
      <c r="G824" s="1" t="inlineStr">
        <is>
          <t>Dev Kaleon</t>
        </is>
      </c>
      <c r="H824" s="1" t="inlineStr">
        <is>
          <t>Anya Kaleon</t>
        </is>
      </c>
      <c r="I824" s="30" t="n">
        <v>45956</v>
      </c>
      <c r="J824" s="1" t="inlineStr">
        <is>
          <t>27 Birchwood Lane</t>
        </is>
      </c>
      <c r="K824" s="1" t="inlineStr">
        <is>
          <t>Emerald Road</t>
        </is>
      </c>
      <c r="L824" s="1" t="inlineStr">
        <is>
          <t>PIN:220650 BRISBANE</t>
        </is>
      </c>
      <c r="M824" s="2" t="inlineStr">
        <is>
          <t>MHA/IND/00827</t>
        </is>
      </c>
      <c r="N824" s="30" t="n">
        <v>45855</v>
      </c>
    </row>
    <row r="825">
      <c r="A825" s="28" t="n">
        <v>824</v>
      </c>
      <c r="B825" s="1" t="inlineStr">
        <is>
          <t>ROHIT KALEON</t>
        </is>
      </c>
      <c r="C825" s="30" t="n">
        <v>45704</v>
      </c>
      <c r="D825" s="1" t="inlineStr">
        <is>
          <t>MILDURA</t>
        </is>
      </c>
      <c r="E825" s="12" t="inlineStr">
        <is>
          <t>IND/MEL/00824</t>
        </is>
      </c>
      <c r="F825" s="1" t="inlineStr">
        <is>
          <t>M</t>
        </is>
      </c>
      <c r="G825" s="1" t="inlineStr">
        <is>
          <t>Kiran Myrthos</t>
        </is>
      </c>
      <c r="H825" s="1" t="inlineStr">
        <is>
          <t>Sara Myrthos</t>
        </is>
      </c>
      <c r="I825" s="30" t="n">
        <v>45773</v>
      </c>
      <c r="J825" s="1" t="inlineStr">
        <is>
          <t>198 Birchwood Lane</t>
        </is>
      </c>
      <c r="K825" s="1" t="inlineStr">
        <is>
          <t>Emerald Road</t>
        </is>
      </c>
      <c r="L825" s="1" t="inlineStr">
        <is>
          <t>PIN:462004 MILDURA</t>
        </is>
      </c>
      <c r="M825" s="2" t="inlineStr">
        <is>
          <t>MHA/IND/00828</t>
        </is>
      </c>
      <c r="N825" s="30" t="n">
        <v>45879</v>
      </c>
    </row>
    <row r="826">
      <c r="A826" s="28" t="n">
        <v>825</v>
      </c>
      <c r="B826" s="1" t="inlineStr">
        <is>
          <t>NEIL KALEON</t>
        </is>
      </c>
      <c r="C826" s="30" t="n">
        <v>45702</v>
      </c>
      <c r="D826" s="1" t="inlineStr">
        <is>
          <t>KINGSWOOD</t>
        </is>
      </c>
      <c r="E826" s="12" t="inlineStr">
        <is>
          <t>IND/MEL/00825</t>
        </is>
      </c>
      <c r="F826" s="1" t="inlineStr">
        <is>
          <t>M</t>
        </is>
      </c>
      <c r="G826" s="1" t="inlineStr">
        <is>
          <t>Arjun Rishkan</t>
        </is>
      </c>
      <c r="H826" s="1" t="inlineStr">
        <is>
          <t>Anya Rishkan</t>
        </is>
      </c>
      <c r="I826" s="30" t="n">
        <v>45741</v>
      </c>
      <c r="J826" s="1" t="inlineStr">
        <is>
          <t>83 Birchwood Lane</t>
        </is>
      </c>
      <c r="K826" s="1" t="inlineStr">
        <is>
          <t>Emerald Road</t>
        </is>
      </c>
      <c r="L826" s="1" t="inlineStr">
        <is>
          <t>PIN:270087 KINGSWOOD</t>
        </is>
      </c>
      <c r="M826" s="2" t="inlineStr">
        <is>
          <t>MHA/IND/00829</t>
        </is>
      </c>
      <c r="N826" s="30" t="n">
        <v>45897</v>
      </c>
    </row>
    <row r="827">
      <c r="A827" s="28" t="n">
        <v>826</v>
      </c>
      <c r="B827" s="1" t="inlineStr">
        <is>
          <t>MIRA KALEON</t>
        </is>
      </c>
      <c r="C827" s="30" t="n">
        <v>45917</v>
      </c>
      <c r="D827" s="1" t="inlineStr">
        <is>
          <t>TUGGERANONG</t>
        </is>
      </c>
      <c r="E827" s="12" t="inlineStr">
        <is>
          <t>IND/MEL/00826</t>
        </is>
      </c>
      <c r="F827" s="1" t="inlineStr">
        <is>
          <t>M</t>
        </is>
      </c>
      <c r="G827" s="1" t="inlineStr">
        <is>
          <t>Neil Myrthos</t>
        </is>
      </c>
      <c r="H827" s="1" t="inlineStr">
        <is>
          <t>Riya Myrthos</t>
        </is>
      </c>
      <c r="I827" s="30" t="n">
        <v>45969</v>
      </c>
      <c r="J827" s="1" t="inlineStr">
        <is>
          <t>97 Birchwood Lane</t>
        </is>
      </c>
      <c r="K827" s="1" t="inlineStr">
        <is>
          <t>Emerald Road</t>
        </is>
      </c>
      <c r="L827" s="1" t="inlineStr">
        <is>
          <t>PIN:639992 TUGGERANONG</t>
        </is>
      </c>
      <c r="M827" s="2" t="inlineStr">
        <is>
          <t>MHA/IND/00830</t>
        </is>
      </c>
      <c r="N827" s="30" t="n">
        <v>45839</v>
      </c>
    </row>
    <row r="828">
      <c r="A828" s="28" t="n">
        <v>827</v>
      </c>
      <c r="B828" s="1" t="inlineStr">
        <is>
          <t>DIYA KALEON</t>
        </is>
      </c>
      <c r="C828" s="30" t="n">
        <v>45671</v>
      </c>
      <c r="D828" s="1" t="inlineStr">
        <is>
          <t>HEIDELBERG</t>
        </is>
      </c>
      <c r="E828" s="12" t="inlineStr">
        <is>
          <t>IND/MEL/00827</t>
        </is>
      </c>
      <c r="F828" s="1" t="inlineStr">
        <is>
          <t>F</t>
        </is>
      </c>
      <c r="G828" s="1" t="inlineStr">
        <is>
          <t>Rohit Rao</t>
        </is>
      </c>
      <c r="H828" s="1" t="inlineStr">
        <is>
          <t>Alya Rao</t>
        </is>
      </c>
      <c r="I828" s="30" t="n">
        <v>45780</v>
      </c>
      <c r="J828" s="1" t="inlineStr">
        <is>
          <t>140 Birchwood Lane</t>
        </is>
      </c>
      <c r="K828" s="1" t="inlineStr">
        <is>
          <t>Emerald Road</t>
        </is>
      </c>
      <c r="L828" s="1" t="inlineStr">
        <is>
          <t>PIN:499471 HEIDELBERG</t>
        </is>
      </c>
      <c r="M828" s="2" t="inlineStr">
        <is>
          <t>MHA/IND/00831</t>
        </is>
      </c>
      <c r="N828" s="30" t="n">
        <v>45893</v>
      </c>
    </row>
    <row r="829">
      <c r="A829" s="28" t="n">
        <v>828</v>
      </c>
      <c r="B829" s="1" t="inlineStr">
        <is>
          <t>KABIR MYRTHOS</t>
        </is>
      </c>
      <c r="C829" s="30" t="n">
        <v>45800</v>
      </c>
      <c r="D829" s="1" t="inlineStr">
        <is>
          <t>BALLARAT CENTRAL</t>
        </is>
      </c>
      <c r="E829" s="12" t="inlineStr">
        <is>
          <t>IND/MEL/00828</t>
        </is>
      </c>
      <c r="F829" s="1" t="inlineStr">
        <is>
          <t>M</t>
        </is>
      </c>
      <c r="G829" s="1" t="inlineStr">
        <is>
          <t>Neil Rishkan</t>
        </is>
      </c>
      <c r="H829" s="1" t="inlineStr">
        <is>
          <t>Nina Rishkan</t>
        </is>
      </c>
      <c r="I829" s="30" t="n">
        <v>45822</v>
      </c>
      <c r="J829" s="1" t="inlineStr">
        <is>
          <t>80 Birchwood Lane</t>
        </is>
      </c>
      <c r="K829" s="1" t="inlineStr">
        <is>
          <t>Emerald Road</t>
        </is>
      </c>
      <c r="L829" s="1" t="inlineStr">
        <is>
          <t>PIN:295625 BALLARAT CENTRAL</t>
        </is>
      </c>
      <c r="M829" s="2" t="inlineStr">
        <is>
          <t>MHA/IND/00832</t>
        </is>
      </c>
      <c r="N829" s="30" t="n">
        <v>45881</v>
      </c>
    </row>
    <row r="830">
      <c r="A830" s="28" t="n">
        <v>829</v>
      </c>
      <c r="B830" s="1" t="inlineStr">
        <is>
          <t>ROHIT RISHKAN</t>
        </is>
      </c>
      <c r="C830" s="30" t="n">
        <v>45932</v>
      </c>
      <c r="D830" s="1" t="inlineStr">
        <is>
          <t>BUNDABERG</t>
        </is>
      </c>
      <c r="E830" s="12" t="inlineStr">
        <is>
          <t>IND/MEL/00829</t>
        </is>
      </c>
      <c r="F830" s="1" t="inlineStr">
        <is>
          <t>F</t>
        </is>
      </c>
      <c r="G830" s="1" t="inlineStr">
        <is>
          <t>Kabir Sharma</t>
        </is>
      </c>
      <c r="H830" s="1" t="inlineStr">
        <is>
          <t>Alya Sharma</t>
        </is>
      </c>
      <c r="I830" s="30" t="n">
        <v>45950</v>
      </c>
      <c r="J830" s="1" t="inlineStr">
        <is>
          <t>164 Birchwood Lane</t>
        </is>
      </c>
      <c r="K830" s="1" t="inlineStr">
        <is>
          <t>Emerald Road</t>
        </is>
      </c>
      <c r="L830" s="1" t="inlineStr">
        <is>
          <t>PIN:842372 BUNDABERG</t>
        </is>
      </c>
      <c r="M830" s="2" t="inlineStr">
        <is>
          <t>MHA/IND/00833</t>
        </is>
      </c>
      <c r="N830" s="30" t="n">
        <v>45862</v>
      </c>
    </row>
    <row r="831">
      <c r="A831" s="28" t="n">
        <v>830</v>
      </c>
      <c r="B831" s="1" t="inlineStr">
        <is>
          <t>ROHIT MYRTHOS</t>
        </is>
      </c>
      <c r="C831" s="30" t="n">
        <v>45775</v>
      </c>
      <c r="D831" s="1" t="inlineStr">
        <is>
          <t>LAUNCESTON</t>
        </is>
      </c>
      <c r="E831" s="12" t="inlineStr">
        <is>
          <t>IND/MEL/00830</t>
        </is>
      </c>
      <c r="F831" s="1" t="inlineStr">
        <is>
          <t>F</t>
        </is>
      </c>
      <c r="G831" s="1" t="inlineStr">
        <is>
          <t>Kabir Sharma</t>
        </is>
      </c>
      <c r="H831" s="1" t="inlineStr">
        <is>
          <t>Alya Sharma</t>
        </is>
      </c>
      <c r="I831" s="30" t="n">
        <v>45864</v>
      </c>
      <c r="J831" s="1" t="inlineStr">
        <is>
          <t>15 Birchwood Lane</t>
        </is>
      </c>
      <c r="K831" s="1" t="inlineStr">
        <is>
          <t>Emerald Road</t>
        </is>
      </c>
      <c r="L831" s="1" t="inlineStr">
        <is>
          <t>PIN:931268 LAUNCESTON</t>
        </is>
      </c>
      <c r="M831" s="2" t="inlineStr">
        <is>
          <t>MHA/IND/00834</t>
        </is>
      </c>
      <c r="N831" s="30" t="n">
        <v>45886</v>
      </c>
    </row>
    <row r="832">
      <c r="A832" s="28" t="n">
        <v>831</v>
      </c>
      <c r="B832" s="1" t="inlineStr">
        <is>
          <t>ALYA RAO</t>
        </is>
      </c>
      <c r="C832" s="30" t="n">
        <v>45942</v>
      </c>
      <c r="D832" s="1" t="inlineStr">
        <is>
          <t>BUNDOORA</t>
        </is>
      </c>
      <c r="E832" s="12" t="inlineStr">
        <is>
          <t>IND/MEL/00831</t>
        </is>
      </c>
      <c r="F832" s="1" t="inlineStr">
        <is>
          <t>F</t>
        </is>
      </c>
      <c r="G832" s="1" t="inlineStr">
        <is>
          <t>Kabir Kaleon</t>
        </is>
      </c>
      <c r="H832" s="1" t="inlineStr">
        <is>
          <t>Mira Kaleon</t>
        </is>
      </c>
      <c r="I832" s="30" t="n">
        <v>45975</v>
      </c>
      <c r="J832" s="1" t="inlineStr">
        <is>
          <t>100 Birchwood Lane</t>
        </is>
      </c>
      <c r="K832" s="1" t="inlineStr">
        <is>
          <t>Emerald Road</t>
        </is>
      </c>
      <c r="L832" s="1" t="inlineStr">
        <is>
          <t>PIN:115514 BUNDOORA</t>
        </is>
      </c>
      <c r="M832" s="2" t="inlineStr">
        <is>
          <t>MHA/IND/00835</t>
        </is>
      </c>
      <c r="N832" s="30" t="n">
        <v>45866</v>
      </c>
    </row>
    <row r="833">
      <c r="A833" s="28" t="n">
        <v>832</v>
      </c>
      <c r="B833" s="1" t="inlineStr">
        <is>
          <t>NEIL RISHKAN</t>
        </is>
      </c>
      <c r="C833" s="30" t="n">
        <v>45664</v>
      </c>
      <c r="D833" s="1" t="inlineStr">
        <is>
          <t>ST ALBANS</t>
        </is>
      </c>
      <c r="E833" s="12" t="inlineStr">
        <is>
          <t>IND/MEL/00832</t>
        </is>
      </c>
      <c r="F833" s="1" t="inlineStr">
        <is>
          <t>M</t>
        </is>
      </c>
      <c r="G833" s="1" t="inlineStr">
        <is>
          <t>Arjun Valzari</t>
        </is>
      </c>
      <c r="H833" s="1" t="inlineStr">
        <is>
          <t>Alya Valzari</t>
        </is>
      </c>
      <c r="I833" s="30" t="n">
        <v>45725</v>
      </c>
      <c r="J833" s="1" t="inlineStr">
        <is>
          <t>140 Birchwood Lane</t>
        </is>
      </c>
      <c r="K833" s="1" t="inlineStr">
        <is>
          <t>Emerald Road</t>
        </is>
      </c>
      <c r="L833" s="1" t="inlineStr">
        <is>
          <t>PIN:979619 ST ALBANS</t>
        </is>
      </c>
      <c r="M833" s="2" t="inlineStr">
        <is>
          <t>MHA/IND/00836</t>
        </is>
      </c>
      <c r="N833" s="30" t="n">
        <v>45851</v>
      </c>
    </row>
    <row r="834">
      <c r="A834" s="28" t="n">
        <v>833</v>
      </c>
      <c r="B834" s="1" t="inlineStr">
        <is>
          <t>RIYA SHARMA</t>
        </is>
      </c>
      <c r="C834" s="30" t="n">
        <v>45894</v>
      </c>
      <c r="D834" s="1" t="inlineStr">
        <is>
          <t>BLACKTOWN</t>
        </is>
      </c>
      <c r="E834" s="12" t="inlineStr">
        <is>
          <t>IND/MEL/00833</t>
        </is>
      </c>
      <c r="F834" s="1" t="inlineStr">
        <is>
          <t>M</t>
        </is>
      </c>
      <c r="G834" s="1" t="inlineStr">
        <is>
          <t>Ishan Valzari</t>
        </is>
      </c>
      <c r="H834" s="1" t="inlineStr">
        <is>
          <t>Sara Valzari</t>
        </is>
      </c>
      <c r="I834" s="30" t="n">
        <v>45951</v>
      </c>
      <c r="J834" s="1" t="inlineStr">
        <is>
          <t>59 Birchwood Lane</t>
        </is>
      </c>
      <c r="K834" s="1" t="inlineStr">
        <is>
          <t>Emerald Road</t>
        </is>
      </c>
      <c r="L834" s="1" t="inlineStr">
        <is>
          <t>PIN:338900 BLACKTOWN</t>
        </is>
      </c>
      <c r="M834" s="2" t="inlineStr">
        <is>
          <t>MHA/IND/00837</t>
        </is>
      </c>
      <c r="N834" s="30" t="n">
        <v>45885</v>
      </c>
    </row>
    <row r="835">
      <c r="A835" s="28" t="n">
        <v>834</v>
      </c>
      <c r="B835" s="1" t="inlineStr">
        <is>
          <t>ALYA SHARMA</t>
        </is>
      </c>
      <c r="C835" s="30" t="n">
        <v>45891</v>
      </c>
      <c r="D835" s="1" t="inlineStr">
        <is>
          <t>DARWIN</t>
        </is>
      </c>
      <c r="E835" s="12" t="inlineStr">
        <is>
          <t>IND/MEL/00834</t>
        </is>
      </c>
      <c r="F835" s="1" t="inlineStr">
        <is>
          <t>F</t>
        </is>
      </c>
      <c r="G835" s="1" t="inlineStr">
        <is>
          <t>Rohit Rishkan</t>
        </is>
      </c>
      <c r="H835" s="1" t="inlineStr">
        <is>
          <t>Mira Rishkan</t>
        </is>
      </c>
      <c r="I835" s="30" t="n">
        <v>45934</v>
      </c>
      <c r="J835" s="1" t="inlineStr">
        <is>
          <t>125 Birchwood Lane</t>
        </is>
      </c>
      <c r="K835" s="1" t="inlineStr">
        <is>
          <t>Emerald Road</t>
        </is>
      </c>
      <c r="L835" s="1" t="inlineStr">
        <is>
          <t>PIN:311709 DARWIN</t>
        </is>
      </c>
      <c r="M835" s="2" t="inlineStr">
        <is>
          <t>MHA/IND/00838</t>
        </is>
      </c>
      <c r="N835" s="30" t="n">
        <v>45897</v>
      </c>
    </row>
    <row r="836">
      <c r="A836" s="28" t="n">
        <v>835</v>
      </c>
      <c r="B836" s="1" t="inlineStr">
        <is>
          <t>SARA KALEON</t>
        </is>
      </c>
      <c r="C836" s="30" t="n">
        <v>45681</v>
      </c>
      <c r="D836" s="1" t="inlineStr">
        <is>
          <t>TOWNSVILLE</t>
        </is>
      </c>
      <c r="E836" s="12" t="inlineStr">
        <is>
          <t>IND/MEL/00835</t>
        </is>
      </c>
      <c r="F836" s="1" t="inlineStr">
        <is>
          <t>F</t>
        </is>
      </c>
      <c r="G836" s="1" t="inlineStr">
        <is>
          <t>Kiran Valzari</t>
        </is>
      </c>
      <c r="H836" s="1" t="inlineStr">
        <is>
          <t>Riya Valzari</t>
        </is>
      </c>
      <c r="I836" s="30" t="n">
        <v>45731</v>
      </c>
      <c r="J836" s="1" t="inlineStr">
        <is>
          <t>66 Birchwood Lane</t>
        </is>
      </c>
      <c r="K836" s="1" t="inlineStr">
        <is>
          <t>Emerald Road</t>
        </is>
      </c>
      <c r="L836" s="1" t="inlineStr">
        <is>
          <t>PIN:614427 TOWNSVILLE</t>
        </is>
      </c>
      <c r="M836" s="2" t="inlineStr">
        <is>
          <t>MHA/IND/00839</t>
        </is>
      </c>
      <c r="N836" s="30" t="n">
        <v>45858</v>
      </c>
    </row>
    <row r="837">
      <c r="A837" s="28" t="n">
        <v>836</v>
      </c>
      <c r="B837" s="1" t="inlineStr">
        <is>
          <t>ARJUN VALZARI</t>
        </is>
      </c>
      <c r="C837" s="30" t="n">
        <v>45792</v>
      </c>
      <c r="D837" s="1" t="inlineStr">
        <is>
          <t>MANDURAH</t>
        </is>
      </c>
      <c r="E837" s="12" t="inlineStr">
        <is>
          <t>IND/MEL/00836</t>
        </is>
      </c>
      <c r="F837" s="1" t="inlineStr">
        <is>
          <t>F</t>
        </is>
      </c>
      <c r="G837" s="1" t="inlineStr">
        <is>
          <t>Neil Myrthos</t>
        </is>
      </c>
      <c r="H837" s="1" t="inlineStr">
        <is>
          <t>Mira Myrthos</t>
        </is>
      </c>
      <c r="I837" s="30" t="n">
        <v>45804</v>
      </c>
      <c r="J837" s="1" t="inlineStr">
        <is>
          <t>141 Birchwood Lane</t>
        </is>
      </c>
      <c r="K837" s="1" t="inlineStr">
        <is>
          <t>Emerald Road</t>
        </is>
      </c>
      <c r="L837" s="1" t="inlineStr">
        <is>
          <t>PIN:221704 MANDURAH</t>
        </is>
      </c>
      <c r="M837" s="2" t="inlineStr">
        <is>
          <t>MHA/IND/00840</t>
        </is>
      </c>
      <c r="N837" s="30" t="n">
        <v>45859</v>
      </c>
    </row>
    <row r="838">
      <c r="A838" s="28" t="n">
        <v>837</v>
      </c>
      <c r="B838" s="1" t="inlineStr">
        <is>
          <t>NEIL VALZARI</t>
        </is>
      </c>
      <c r="C838" s="30" t="n">
        <v>45720</v>
      </c>
      <c r="D838" s="1" t="inlineStr">
        <is>
          <t>CLAYTON</t>
        </is>
      </c>
      <c r="E838" s="12" t="inlineStr">
        <is>
          <t>IND/MEL/00837</t>
        </is>
      </c>
      <c r="F838" s="1" t="inlineStr">
        <is>
          <t>M</t>
        </is>
      </c>
      <c r="G838" s="1" t="inlineStr">
        <is>
          <t>Kabir Kaleon</t>
        </is>
      </c>
      <c r="H838" s="1" t="inlineStr">
        <is>
          <t>Tara Kaleon</t>
        </is>
      </c>
      <c r="I838" s="30" t="n">
        <v>45828</v>
      </c>
      <c r="J838" s="1" t="inlineStr">
        <is>
          <t>185 Birchwood Lane</t>
        </is>
      </c>
      <c r="K838" s="1" t="inlineStr">
        <is>
          <t>Emerald Road</t>
        </is>
      </c>
      <c r="L838" s="1" t="inlineStr">
        <is>
          <t>PIN:746995 CLAYTON</t>
        </is>
      </c>
      <c r="M838" s="2" t="inlineStr">
        <is>
          <t>MHA/IND/00841</t>
        </is>
      </c>
      <c r="N838" s="30" t="n">
        <v>45895</v>
      </c>
    </row>
    <row r="839">
      <c r="A839" s="28" t="n">
        <v>838</v>
      </c>
      <c r="B839" s="1" t="inlineStr">
        <is>
          <t>ANYA RISHKAN</t>
        </is>
      </c>
      <c r="C839" s="30" t="n">
        <v>45902</v>
      </c>
      <c r="D839" s="1" t="inlineStr">
        <is>
          <t>WAGGA WAGGA</t>
        </is>
      </c>
      <c r="E839" s="12" t="inlineStr">
        <is>
          <t>IND/MEL/00838</t>
        </is>
      </c>
      <c r="F839" s="1" t="inlineStr">
        <is>
          <t>F</t>
        </is>
      </c>
      <c r="G839" s="1" t="inlineStr">
        <is>
          <t>Kiran Myrthos</t>
        </is>
      </c>
      <c r="H839" s="1" t="inlineStr">
        <is>
          <t>Sara Myrthos</t>
        </is>
      </c>
      <c r="I839" s="30" t="n">
        <v>45948</v>
      </c>
      <c r="J839" s="1" t="inlineStr">
        <is>
          <t>91 Birchwood Lane</t>
        </is>
      </c>
      <c r="K839" s="1" t="inlineStr">
        <is>
          <t>Emerald Road</t>
        </is>
      </c>
      <c r="L839" s="1" t="inlineStr">
        <is>
          <t>PIN:224333 WAGGA WAGGA</t>
        </is>
      </c>
      <c r="M839" s="2" t="inlineStr">
        <is>
          <t>MHA/IND/00842</t>
        </is>
      </c>
      <c r="N839" s="30" t="n">
        <v>45884</v>
      </c>
    </row>
    <row r="840">
      <c r="A840" s="28" t="n">
        <v>839</v>
      </c>
      <c r="B840" s="1" t="inlineStr">
        <is>
          <t>RIYA VALZARI</t>
        </is>
      </c>
      <c r="C840" s="30" t="n">
        <v>45772</v>
      </c>
      <c r="D840" s="1" t="inlineStr">
        <is>
          <t>BOX HILL</t>
        </is>
      </c>
      <c r="E840" s="12" t="inlineStr">
        <is>
          <t>IND/MEL/00839</t>
        </is>
      </c>
      <c r="F840" s="1" t="inlineStr">
        <is>
          <t>M</t>
        </is>
      </c>
      <c r="G840" s="1" t="inlineStr">
        <is>
          <t>Rohit Sharma</t>
        </is>
      </c>
      <c r="H840" s="1" t="inlineStr">
        <is>
          <t>Anya Sharma</t>
        </is>
      </c>
      <c r="I840" s="30" t="n">
        <v>45866</v>
      </c>
      <c r="J840" s="1" t="inlineStr">
        <is>
          <t>177 Birchwood Lane</t>
        </is>
      </c>
      <c r="K840" s="1" t="inlineStr">
        <is>
          <t>Emerald Road</t>
        </is>
      </c>
      <c r="L840" s="1" t="inlineStr">
        <is>
          <t>PIN:240679 BOX HILL</t>
        </is>
      </c>
      <c r="M840" s="2" t="inlineStr">
        <is>
          <t>MHA/IND/00843</t>
        </is>
      </c>
      <c r="N840" s="30" t="n">
        <v>45857</v>
      </c>
    </row>
    <row r="841">
      <c r="A841" s="28" t="n">
        <v>840</v>
      </c>
      <c r="B841" s="1" t="inlineStr">
        <is>
          <t>NINA MYRTHOS</t>
        </is>
      </c>
      <c r="C841" s="30" t="n">
        <v>45877</v>
      </c>
      <c r="D841" s="1" t="inlineStr">
        <is>
          <t>ARMADALE</t>
        </is>
      </c>
      <c r="E841" s="12" t="inlineStr">
        <is>
          <t>IND/MEL/00840</t>
        </is>
      </c>
      <c r="F841" s="1" t="inlineStr">
        <is>
          <t>M</t>
        </is>
      </c>
      <c r="G841" s="1" t="inlineStr">
        <is>
          <t>Neil Kaleon</t>
        </is>
      </c>
      <c r="H841" s="1" t="inlineStr">
        <is>
          <t>Alya Kaleon</t>
        </is>
      </c>
      <c r="I841" s="30" t="n">
        <v>45911</v>
      </c>
      <c r="J841" s="1" t="inlineStr">
        <is>
          <t>129 Birchwood Lane</t>
        </is>
      </c>
      <c r="K841" s="1" t="inlineStr">
        <is>
          <t>Emerald Road</t>
        </is>
      </c>
      <c r="L841" s="1" t="inlineStr">
        <is>
          <t>PIN:586924 ARMADALE</t>
        </is>
      </c>
      <c r="M841" s="2" t="inlineStr">
        <is>
          <t>MHA/IND/00844</t>
        </is>
      </c>
      <c r="N841" s="30" t="n">
        <v>45856</v>
      </c>
    </row>
    <row r="842">
      <c r="A842" s="28" t="n">
        <v>841</v>
      </c>
      <c r="B842" s="1" t="inlineStr">
        <is>
          <t>KABIR KALEON</t>
        </is>
      </c>
      <c r="C842" s="30" t="n">
        <v>45719</v>
      </c>
      <c r="D842" s="1" t="inlineStr">
        <is>
          <t>BUNDABERG</t>
        </is>
      </c>
      <c r="E842" s="12" t="inlineStr">
        <is>
          <t>IND/MEL/00841</t>
        </is>
      </c>
      <c r="F842" s="1" t="inlineStr">
        <is>
          <t>F</t>
        </is>
      </c>
      <c r="G842" s="1" t="inlineStr">
        <is>
          <t>Kiran Sindale</t>
        </is>
      </c>
      <c r="H842" s="1" t="inlineStr">
        <is>
          <t>Riya Sindale</t>
        </is>
      </c>
      <c r="I842" s="30" t="n">
        <v>45770</v>
      </c>
      <c r="J842" s="1" t="inlineStr">
        <is>
          <t>16 Birchwood Lane</t>
        </is>
      </c>
      <c r="K842" s="1" t="inlineStr">
        <is>
          <t>Emerald Road</t>
        </is>
      </c>
      <c r="L842" s="1" t="inlineStr">
        <is>
          <t>PIN:282096 BUNDABERG</t>
        </is>
      </c>
      <c r="M842" s="2" t="inlineStr">
        <is>
          <t>MHA/IND/00845</t>
        </is>
      </c>
      <c r="N842" s="30" t="n">
        <v>45870</v>
      </c>
    </row>
    <row r="843">
      <c r="A843" s="28" t="n">
        <v>842</v>
      </c>
      <c r="B843" s="1" t="inlineStr">
        <is>
          <t>MIRA MYRTHOS</t>
        </is>
      </c>
      <c r="C843" s="30" t="n">
        <v>45744</v>
      </c>
      <c r="D843" s="1" t="inlineStr">
        <is>
          <t>CANBERRA</t>
        </is>
      </c>
      <c r="E843" s="12" t="inlineStr">
        <is>
          <t>IND/MEL/00842</t>
        </is>
      </c>
      <c r="F843" s="1" t="inlineStr">
        <is>
          <t>M</t>
        </is>
      </c>
      <c r="G843" s="1" t="inlineStr">
        <is>
          <t>Arjun Rao</t>
        </is>
      </c>
      <c r="H843" s="1" t="inlineStr">
        <is>
          <t>Sara Rao</t>
        </is>
      </c>
      <c r="I843" s="30" t="n">
        <v>45788</v>
      </c>
      <c r="J843" s="1" t="inlineStr">
        <is>
          <t>41 Birchwood Lane</t>
        </is>
      </c>
      <c r="K843" s="1" t="inlineStr">
        <is>
          <t>Emerald Road</t>
        </is>
      </c>
      <c r="L843" s="1" t="inlineStr">
        <is>
          <t>PIN:342753 CANBERRA</t>
        </is>
      </c>
      <c r="M843" s="2" t="inlineStr">
        <is>
          <t>MHA/IND/00846</t>
        </is>
      </c>
      <c r="N843" s="30" t="n">
        <v>45885</v>
      </c>
    </row>
    <row r="844">
      <c r="A844" s="28" t="n">
        <v>843</v>
      </c>
      <c r="B844" s="1" t="inlineStr">
        <is>
          <t>KIRAN SHARMA</t>
        </is>
      </c>
      <c r="C844" s="30" t="n">
        <v>45825</v>
      </c>
      <c r="D844" s="1" t="inlineStr">
        <is>
          <t>DALBY</t>
        </is>
      </c>
      <c r="E844" s="12" t="inlineStr">
        <is>
          <t>IND/MEL/00843</t>
        </is>
      </c>
      <c r="F844" s="1" t="inlineStr">
        <is>
          <t>M</t>
        </is>
      </c>
      <c r="G844" s="1" t="inlineStr">
        <is>
          <t>Arjun Rishkan</t>
        </is>
      </c>
      <c r="H844" s="1" t="inlineStr">
        <is>
          <t>Sara Rishkan</t>
        </is>
      </c>
      <c r="I844" s="30" t="n">
        <v>45852</v>
      </c>
      <c r="J844" s="1" t="inlineStr">
        <is>
          <t>153 Birchwood Lane</t>
        </is>
      </c>
      <c r="K844" s="1" t="inlineStr">
        <is>
          <t>Emerald Road</t>
        </is>
      </c>
      <c r="L844" s="1" t="inlineStr">
        <is>
          <t>PIN:321233 DALBY</t>
        </is>
      </c>
      <c r="M844" s="2" t="inlineStr">
        <is>
          <t>MHA/IND/00847</t>
        </is>
      </c>
      <c r="N844" s="30" t="n">
        <v>45871</v>
      </c>
    </row>
    <row r="845">
      <c r="A845" s="28" t="n">
        <v>844</v>
      </c>
      <c r="B845" s="1" t="inlineStr">
        <is>
          <t>KIRAN KALEON</t>
        </is>
      </c>
      <c r="C845" s="30" t="n">
        <v>45917</v>
      </c>
      <c r="D845" s="1" t="inlineStr">
        <is>
          <t>FREMANTLE</t>
        </is>
      </c>
      <c r="E845" s="12" t="inlineStr">
        <is>
          <t>IND/MEL/00844</t>
        </is>
      </c>
      <c r="F845" s="1" t="inlineStr">
        <is>
          <t>M</t>
        </is>
      </c>
      <c r="G845" s="1" t="inlineStr">
        <is>
          <t>Dev Sindale</t>
        </is>
      </c>
      <c r="H845" s="1" t="inlineStr">
        <is>
          <t>Mira Sindale</t>
        </is>
      </c>
      <c r="I845" s="30" t="n">
        <v>46021</v>
      </c>
      <c r="J845" s="1" t="inlineStr">
        <is>
          <t>85 Birchwood Lane</t>
        </is>
      </c>
      <c r="K845" s="1" t="inlineStr">
        <is>
          <t>Emerald Road</t>
        </is>
      </c>
      <c r="L845" s="1" t="inlineStr">
        <is>
          <t>PIN:895271 FREMANTLE</t>
        </is>
      </c>
      <c r="M845" s="2" t="inlineStr">
        <is>
          <t>MHA/IND/00848</t>
        </is>
      </c>
      <c r="N845" s="30" t="n">
        <v>45861</v>
      </c>
    </row>
    <row r="846">
      <c r="A846" s="28" t="n">
        <v>845</v>
      </c>
      <c r="B846" s="1" t="inlineStr">
        <is>
          <t>TARA SINDALE</t>
        </is>
      </c>
      <c r="C846" s="30" t="n">
        <v>45872</v>
      </c>
      <c r="D846" s="1" t="inlineStr">
        <is>
          <t>MILDURA</t>
        </is>
      </c>
      <c r="E846" s="12" t="inlineStr">
        <is>
          <t>IND/MEL/00845</t>
        </is>
      </c>
      <c r="F846" s="1" t="inlineStr">
        <is>
          <t>M</t>
        </is>
      </c>
      <c r="G846" s="1" t="inlineStr">
        <is>
          <t>Rohit Sindale</t>
        </is>
      </c>
      <c r="H846" s="1" t="inlineStr">
        <is>
          <t>Riya Sindale</t>
        </is>
      </c>
      <c r="I846" s="30" t="n">
        <v>45939</v>
      </c>
      <c r="J846" s="1" t="inlineStr">
        <is>
          <t>79 Birchwood Lane</t>
        </is>
      </c>
      <c r="K846" s="1" t="inlineStr">
        <is>
          <t>Emerald Road</t>
        </is>
      </c>
      <c r="L846" s="1" t="inlineStr">
        <is>
          <t>PIN:922144 MILDURA</t>
        </is>
      </c>
      <c r="M846" s="2" t="inlineStr">
        <is>
          <t>MHA/IND/00849</t>
        </is>
      </c>
      <c r="N846" s="30" t="n">
        <v>45873</v>
      </c>
    </row>
    <row r="847">
      <c r="A847" s="28" t="n">
        <v>846</v>
      </c>
      <c r="B847" s="1" t="inlineStr">
        <is>
          <t>DEV RAO</t>
        </is>
      </c>
      <c r="C847" s="30" t="n">
        <v>45678</v>
      </c>
      <c r="D847" s="1" t="inlineStr">
        <is>
          <t>BENDIGO</t>
        </is>
      </c>
      <c r="E847" s="12" t="inlineStr">
        <is>
          <t>IND/MEL/00846</t>
        </is>
      </c>
      <c r="F847" s="1" t="inlineStr">
        <is>
          <t>M</t>
        </is>
      </c>
      <c r="G847" s="1" t="inlineStr">
        <is>
          <t>Rohit Rao</t>
        </is>
      </c>
      <c r="H847" s="1" t="inlineStr">
        <is>
          <t>Alya Rao</t>
        </is>
      </c>
      <c r="I847" s="30" t="n">
        <v>45741</v>
      </c>
      <c r="J847" s="1" t="inlineStr">
        <is>
          <t>196 Birchwood Lane</t>
        </is>
      </c>
      <c r="K847" s="1" t="inlineStr">
        <is>
          <t>Emerald Road</t>
        </is>
      </c>
      <c r="L847" s="1" t="inlineStr">
        <is>
          <t>PIN:670585 BENDIGO</t>
        </is>
      </c>
      <c r="M847" s="2" t="inlineStr">
        <is>
          <t>MHA/IND/00850</t>
        </is>
      </c>
      <c r="N847" s="30" t="n">
        <v>45853</v>
      </c>
    </row>
    <row r="848">
      <c r="A848" s="28" t="n">
        <v>847</v>
      </c>
      <c r="B848" s="1" t="inlineStr">
        <is>
          <t>ISHAN RISHKAN</t>
        </is>
      </c>
      <c r="C848" s="30" t="n">
        <v>45871</v>
      </c>
      <c r="D848" s="1" t="inlineStr">
        <is>
          <t>ELIZABETH VALE</t>
        </is>
      </c>
      <c r="E848" s="12" t="inlineStr">
        <is>
          <t>IND/MEL/00847</t>
        </is>
      </c>
      <c r="F848" s="1" t="inlineStr">
        <is>
          <t>F</t>
        </is>
      </c>
      <c r="G848" s="1" t="inlineStr">
        <is>
          <t>Arjun Kaleon</t>
        </is>
      </c>
      <c r="H848" s="1" t="inlineStr">
        <is>
          <t>Diya Kaleon</t>
        </is>
      </c>
      <c r="I848" s="30" t="n">
        <v>45877</v>
      </c>
      <c r="J848" s="1" t="inlineStr">
        <is>
          <t>21 Birchwood Lane</t>
        </is>
      </c>
      <c r="K848" s="1" t="inlineStr">
        <is>
          <t>Emerald Road</t>
        </is>
      </c>
      <c r="L848" s="1" t="inlineStr">
        <is>
          <t>PIN:270043 ELIZABETH VALE</t>
        </is>
      </c>
      <c r="M848" s="2" t="inlineStr">
        <is>
          <t>MHA/IND/00851</t>
        </is>
      </c>
      <c r="N848" s="30" t="n">
        <v>45865</v>
      </c>
    </row>
    <row r="849">
      <c r="A849" s="28" t="n">
        <v>848</v>
      </c>
      <c r="B849" s="1" t="inlineStr">
        <is>
          <t>KABIR SINDALE</t>
        </is>
      </c>
      <c r="C849" s="30" t="n">
        <v>45678</v>
      </c>
      <c r="D849" s="1" t="inlineStr">
        <is>
          <t>ROCKHAMPTON</t>
        </is>
      </c>
      <c r="E849" s="12" t="inlineStr">
        <is>
          <t>IND/MEL/00848</t>
        </is>
      </c>
      <c r="F849" s="1" t="inlineStr">
        <is>
          <t>F</t>
        </is>
      </c>
      <c r="G849" s="1" t="inlineStr">
        <is>
          <t>Ishan Sharma</t>
        </is>
      </c>
      <c r="H849" s="1" t="inlineStr">
        <is>
          <t>Alya Sharma</t>
        </is>
      </c>
      <c r="I849" s="30" t="n">
        <v>45723</v>
      </c>
      <c r="J849" s="1" t="inlineStr">
        <is>
          <t>18 Birchwood Lane</t>
        </is>
      </c>
      <c r="K849" s="1" t="inlineStr">
        <is>
          <t>Emerald Road</t>
        </is>
      </c>
      <c r="L849" s="1" t="inlineStr">
        <is>
          <t>PIN:303591 ROCKHAMPTON</t>
        </is>
      </c>
      <c r="M849" s="2" t="inlineStr">
        <is>
          <t>MHA/IND/00852</t>
        </is>
      </c>
      <c r="N849" s="30" t="n">
        <v>45840</v>
      </c>
    </row>
    <row r="850">
      <c r="A850" s="28" t="n">
        <v>849</v>
      </c>
      <c r="B850" s="1" t="inlineStr">
        <is>
          <t>KABIR SINDALE</t>
        </is>
      </c>
      <c r="C850" s="30" t="n">
        <v>45759</v>
      </c>
      <c r="D850" s="1" t="inlineStr">
        <is>
          <t>PENRITH</t>
        </is>
      </c>
      <c r="E850" s="12" t="inlineStr">
        <is>
          <t>IND/MEL/00849</t>
        </is>
      </c>
      <c r="F850" s="1" t="inlineStr">
        <is>
          <t>F</t>
        </is>
      </c>
      <c r="G850" s="1" t="inlineStr">
        <is>
          <t>Rohit Rishkan</t>
        </is>
      </c>
      <c r="H850" s="1" t="inlineStr">
        <is>
          <t>Diya Rishkan</t>
        </is>
      </c>
      <c r="I850" s="30" t="n">
        <v>45784</v>
      </c>
      <c r="J850" s="1" t="inlineStr">
        <is>
          <t>15 Birchwood Lane</t>
        </is>
      </c>
      <c r="K850" s="1" t="inlineStr">
        <is>
          <t>Emerald Road</t>
        </is>
      </c>
      <c r="L850" s="1" t="inlineStr">
        <is>
          <t>PIN:224030 PENRITH</t>
        </is>
      </c>
      <c r="M850" s="2" t="inlineStr">
        <is>
          <t>MHA/IND/00853</t>
        </is>
      </c>
      <c r="N850" s="30" t="n">
        <v>45878</v>
      </c>
    </row>
    <row r="851">
      <c r="A851" s="28" t="n">
        <v>850</v>
      </c>
      <c r="B851" s="1" t="inlineStr">
        <is>
          <t>AREN RAO</t>
        </is>
      </c>
      <c r="C851" s="30" t="n">
        <v>45922</v>
      </c>
      <c r="D851" s="1" t="inlineStr">
        <is>
          <t>SHEPPARTON</t>
        </is>
      </c>
      <c r="E851" s="12" t="inlineStr">
        <is>
          <t>IND/MEL/00850</t>
        </is>
      </c>
      <c r="F851" s="1" t="inlineStr">
        <is>
          <t>M</t>
        </is>
      </c>
      <c r="G851" s="1" t="inlineStr">
        <is>
          <t>Kiran Sharma</t>
        </is>
      </c>
      <c r="H851" s="1" t="inlineStr">
        <is>
          <t>Anya Sharma</t>
        </is>
      </c>
      <c r="I851" s="30" t="n">
        <v>46001</v>
      </c>
      <c r="J851" s="1" t="inlineStr">
        <is>
          <t>80 Birchwood Lane</t>
        </is>
      </c>
      <c r="K851" s="1" t="inlineStr">
        <is>
          <t>Emerald Road</t>
        </is>
      </c>
      <c r="L851" s="1" t="inlineStr">
        <is>
          <t>PIN:482859 SHEPPARTON</t>
        </is>
      </c>
      <c r="M851" s="2" t="inlineStr">
        <is>
          <t>MHA/IND/00854</t>
        </is>
      </c>
      <c r="N851" s="30" t="n">
        <v>45845</v>
      </c>
    </row>
    <row r="852">
      <c r="A852" s="28" t="n">
        <v>851</v>
      </c>
      <c r="B852" s="1" t="inlineStr">
        <is>
          <t>ANYA KALEON</t>
        </is>
      </c>
      <c r="C852" s="30" t="n">
        <v>45951</v>
      </c>
      <c r="D852" s="1" t="inlineStr">
        <is>
          <t>CANBERRA</t>
        </is>
      </c>
      <c r="E852" s="12" t="inlineStr">
        <is>
          <t>IND/MEL/00851</t>
        </is>
      </c>
      <c r="F852" s="1" t="inlineStr">
        <is>
          <t>F</t>
        </is>
      </c>
      <c r="G852" s="1" t="inlineStr">
        <is>
          <t>Rohit Kaleon</t>
        </is>
      </c>
      <c r="H852" s="1" t="inlineStr">
        <is>
          <t>Tara Kaleon</t>
        </is>
      </c>
      <c r="I852" s="30" t="n">
        <v>45996</v>
      </c>
      <c r="J852" s="1" t="inlineStr">
        <is>
          <t>125 Birchwood Lane</t>
        </is>
      </c>
      <c r="K852" s="1" t="inlineStr">
        <is>
          <t>Emerald Road</t>
        </is>
      </c>
      <c r="L852" s="1" t="inlineStr">
        <is>
          <t>PIN:924013 CANBERRA</t>
        </is>
      </c>
      <c r="M852" s="2" t="inlineStr">
        <is>
          <t>MHA/IND/00855</t>
        </is>
      </c>
      <c r="N852" s="30" t="n">
        <v>45858</v>
      </c>
    </row>
    <row r="853">
      <c r="A853" s="28" t="n">
        <v>852</v>
      </c>
      <c r="B853" s="1" t="inlineStr">
        <is>
          <t>TARA SHARMA</t>
        </is>
      </c>
      <c r="C853" s="30" t="n">
        <v>45810</v>
      </c>
      <c r="D853" s="1" t="inlineStr">
        <is>
          <t>KINGSWOOD</t>
        </is>
      </c>
      <c r="E853" s="12" t="inlineStr">
        <is>
          <t>IND/MEL/00852</t>
        </is>
      </c>
      <c r="F853" s="1" t="inlineStr">
        <is>
          <t>F</t>
        </is>
      </c>
      <c r="G853" s="1" t="inlineStr">
        <is>
          <t>Dev Sindale</t>
        </is>
      </c>
      <c r="H853" s="1" t="inlineStr">
        <is>
          <t>Sara Sindale</t>
        </is>
      </c>
      <c r="I853" s="30" t="n">
        <v>45883</v>
      </c>
      <c r="J853" s="1" t="inlineStr">
        <is>
          <t>41 Birchwood Lane</t>
        </is>
      </c>
      <c r="K853" s="1" t="inlineStr">
        <is>
          <t>Emerald Road</t>
        </is>
      </c>
      <c r="L853" s="1" t="inlineStr">
        <is>
          <t>PIN:781777 KINGSWOOD</t>
        </is>
      </c>
      <c r="M853" s="2" t="inlineStr">
        <is>
          <t>MHA/IND/00856</t>
        </is>
      </c>
      <c r="N853" s="30" t="n">
        <v>45865</v>
      </c>
    </row>
    <row r="854">
      <c r="A854" s="28" t="n">
        <v>853</v>
      </c>
      <c r="B854" s="1" t="inlineStr">
        <is>
          <t>NINA RISHKAN</t>
        </is>
      </c>
      <c r="C854" s="30" t="n">
        <v>45803</v>
      </c>
      <c r="D854" s="1" t="inlineStr">
        <is>
          <t>LOGAN</t>
        </is>
      </c>
      <c r="E854" s="12" t="inlineStr">
        <is>
          <t>IND/MEL/00853</t>
        </is>
      </c>
      <c r="F854" s="1" t="inlineStr">
        <is>
          <t>F</t>
        </is>
      </c>
      <c r="G854" s="1" t="inlineStr">
        <is>
          <t>Ishan Rishkan</t>
        </is>
      </c>
      <c r="H854" s="1" t="inlineStr">
        <is>
          <t>Nina Rishkan</t>
        </is>
      </c>
      <c r="I854" s="30" t="n">
        <v>45810</v>
      </c>
      <c r="J854" s="1" t="inlineStr">
        <is>
          <t>185 Birchwood Lane</t>
        </is>
      </c>
      <c r="K854" s="1" t="inlineStr">
        <is>
          <t>Emerald Road</t>
        </is>
      </c>
      <c r="L854" s="1" t="inlineStr">
        <is>
          <t>PIN:787279 LOGAN</t>
        </is>
      </c>
      <c r="M854" s="2" t="inlineStr">
        <is>
          <t>MHA/IND/00857</t>
        </is>
      </c>
      <c r="N854" s="30" t="n">
        <v>45885</v>
      </c>
    </row>
    <row r="855">
      <c r="A855" s="28" t="n">
        <v>854</v>
      </c>
      <c r="B855" s="1" t="inlineStr">
        <is>
          <t>ISHAN SHARMA</t>
        </is>
      </c>
      <c r="C855" s="30" t="n">
        <v>45745</v>
      </c>
      <c r="D855" s="1" t="inlineStr">
        <is>
          <t>WOLLONGONG</t>
        </is>
      </c>
      <c r="E855" s="12" t="inlineStr">
        <is>
          <t>IND/MEL/00854</t>
        </is>
      </c>
      <c r="F855" s="1" t="inlineStr">
        <is>
          <t>M</t>
        </is>
      </c>
      <c r="G855" s="1" t="inlineStr">
        <is>
          <t>Rohit Valzari</t>
        </is>
      </c>
      <c r="H855" s="1" t="inlineStr">
        <is>
          <t>Anya Valzari</t>
        </is>
      </c>
      <c r="I855" s="30" t="n">
        <v>45765</v>
      </c>
      <c r="J855" s="1" t="inlineStr">
        <is>
          <t>164 Birchwood Lane</t>
        </is>
      </c>
      <c r="K855" s="1" t="inlineStr">
        <is>
          <t>Emerald Road</t>
        </is>
      </c>
      <c r="L855" s="1" t="inlineStr">
        <is>
          <t>PIN:587534 WOLLONGONG</t>
        </is>
      </c>
      <c r="M855" s="2" t="inlineStr">
        <is>
          <t>MHA/IND/00858</t>
        </is>
      </c>
      <c r="N855" s="30" t="n">
        <v>45867</v>
      </c>
    </row>
    <row r="856">
      <c r="A856" s="28" t="n">
        <v>855</v>
      </c>
      <c r="B856" s="1" t="inlineStr">
        <is>
          <t>DIYA KALEON</t>
        </is>
      </c>
      <c r="C856" s="30" t="n">
        <v>45710</v>
      </c>
      <c r="D856" s="1" t="inlineStr">
        <is>
          <t>LENAH VALLEY</t>
        </is>
      </c>
      <c r="E856" s="12" t="inlineStr">
        <is>
          <t>IND/MEL/00855</t>
        </is>
      </c>
      <c r="F856" s="1" t="inlineStr">
        <is>
          <t>F</t>
        </is>
      </c>
      <c r="G856" s="1" t="inlineStr">
        <is>
          <t>Ishan Sharma</t>
        </is>
      </c>
      <c r="H856" s="1" t="inlineStr">
        <is>
          <t>Mira Sharma</t>
        </is>
      </c>
      <c r="I856" s="30" t="n">
        <v>45826</v>
      </c>
      <c r="J856" s="1" t="inlineStr">
        <is>
          <t>173 Birchwood Lane</t>
        </is>
      </c>
      <c r="K856" s="1" t="inlineStr">
        <is>
          <t>Emerald Road</t>
        </is>
      </c>
      <c r="L856" s="1" t="inlineStr">
        <is>
          <t>PIN:603275 LENAH VALLEY</t>
        </is>
      </c>
      <c r="M856" s="2" t="inlineStr">
        <is>
          <t>MHA/IND/00859</t>
        </is>
      </c>
      <c r="N856" s="30" t="n">
        <v>45895</v>
      </c>
    </row>
    <row r="857">
      <c r="A857" s="28" t="n">
        <v>856</v>
      </c>
      <c r="B857" s="1" t="inlineStr">
        <is>
          <t>SARA SINDALE</t>
        </is>
      </c>
      <c r="C857" s="30" t="n">
        <v>45924</v>
      </c>
      <c r="D857" s="1" t="inlineStr">
        <is>
          <t>ST ALBANS</t>
        </is>
      </c>
      <c r="E857" s="12" t="inlineStr">
        <is>
          <t>IND/MEL/00856</t>
        </is>
      </c>
      <c r="F857" s="1" t="inlineStr">
        <is>
          <t>M</t>
        </is>
      </c>
      <c r="G857" s="1" t="inlineStr">
        <is>
          <t>Ishan Sharma</t>
        </is>
      </c>
      <c r="H857" s="1" t="inlineStr">
        <is>
          <t>Sara Sharma</t>
        </is>
      </c>
      <c r="I857" s="30" t="n">
        <v>45978</v>
      </c>
      <c r="J857" s="1" t="inlineStr">
        <is>
          <t>185 Birchwood Lane</t>
        </is>
      </c>
      <c r="K857" s="1" t="inlineStr">
        <is>
          <t>Emerald Road</t>
        </is>
      </c>
      <c r="L857" s="1" t="inlineStr">
        <is>
          <t>PIN:267223 ST ALBANS</t>
        </is>
      </c>
      <c r="M857" s="2" t="inlineStr">
        <is>
          <t>MHA/IND/00860</t>
        </is>
      </c>
      <c r="N857" s="30" t="n">
        <v>45847</v>
      </c>
    </row>
    <row r="858">
      <c r="A858" s="28" t="n">
        <v>857</v>
      </c>
      <c r="B858" s="1" t="inlineStr">
        <is>
          <t>ANYA RISHKAN</t>
        </is>
      </c>
      <c r="C858" s="30" t="n">
        <v>45884</v>
      </c>
      <c r="D858" s="1" t="inlineStr">
        <is>
          <t>MOUNT BARKER</t>
        </is>
      </c>
      <c r="E858" s="12" t="inlineStr">
        <is>
          <t>IND/MEL/00857</t>
        </is>
      </c>
      <c r="F858" s="1" t="inlineStr">
        <is>
          <t>M</t>
        </is>
      </c>
      <c r="G858" s="1" t="inlineStr">
        <is>
          <t>Arjun Rao</t>
        </is>
      </c>
      <c r="H858" s="1" t="inlineStr">
        <is>
          <t>Nina Rao</t>
        </is>
      </c>
      <c r="I858" s="30" t="n">
        <v>45993</v>
      </c>
      <c r="J858" s="1" t="inlineStr">
        <is>
          <t>34 Birchwood Lane</t>
        </is>
      </c>
      <c r="K858" s="1" t="inlineStr">
        <is>
          <t>Emerald Road</t>
        </is>
      </c>
      <c r="L858" s="1" t="inlineStr">
        <is>
          <t>PIN:714417 MOUNT BARKER</t>
        </is>
      </c>
      <c r="M858" s="2" t="inlineStr">
        <is>
          <t>MHA/IND/00861</t>
        </is>
      </c>
      <c r="N858" s="30" t="n">
        <v>45896</v>
      </c>
    </row>
    <row r="859">
      <c r="A859" s="28" t="n">
        <v>858</v>
      </c>
      <c r="B859" s="1" t="inlineStr">
        <is>
          <t>ISHAN VALZARI</t>
        </is>
      </c>
      <c r="C859" s="30" t="n">
        <v>45849</v>
      </c>
      <c r="D859" s="1" t="inlineStr">
        <is>
          <t>WAGGA WAGGA</t>
        </is>
      </c>
      <c r="E859" s="12" t="inlineStr">
        <is>
          <t>IND/MEL/00858</t>
        </is>
      </c>
      <c r="F859" s="1" t="inlineStr">
        <is>
          <t>F</t>
        </is>
      </c>
      <c r="G859" s="1" t="inlineStr">
        <is>
          <t>Dev Myrthos</t>
        </is>
      </c>
      <c r="H859" s="1" t="inlineStr">
        <is>
          <t>Anya Myrthos</t>
        </is>
      </c>
      <c r="I859" s="30" t="n">
        <v>45947</v>
      </c>
      <c r="J859" s="1" t="inlineStr">
        <is>
          <t>180 Birchwood Lane</t>
        </is>
      </c>
      <c r="K859" s="1" t="inlineStr">
        <is>
          <t>Emerald Road</t>
        </is>
      </c>
      <c r="L859" s="1" t="inlineStr">
        <is>
          <t>PIN:547163 WAGGA WAGGA</t>
        </is>
      </c>
      <c r="M859" s="2" t="inlineStr">
        <is>
          <t>MHA/IND/00862</t>
        </is>
      </c>
      <c r="N859" s="30" t="n">
        <v>45858</v>
      </c>
    </row>
    <row r="860">
      <c r="A860" s="28" t="n">
        <v>859</v>
      </c>
      <c r="B860" s="1" t="inlineStr">
        <is>
          <t>ANYA SHARMA</t>
        </is>
      </c>
      <c r="C860" s="30" t="n">
        <v>45828</v>
      </c>
      <c r="D860" s="1" t="inlineStr">
        <is>
          <t>MANDURAH</t>
        </is>
      </c>
      <c r="E860" s="12" t="inlineStr">
        <is>
          <t>IND/MEL/00859</t>
        </is>
      </c>
      <c r="F860" s="1" t="inlineStr">
        <is>
          <t>F</t>
        </is>
      </c>
      <c r="G860" s="1" t="inlineStr">
        <is>
          <t>Kiran Kaleon</t>
        </is>
      </c>
      <c r="H860" s="1" t="inlineStr">
        <is>
          <t>Diya Kaleon</t>
        </is>
      </c>
      <c r="I860" s="30" t="n">
        <v>45920</v>
      </c>
      <c r="J860" s="1" t="inlineStr">
        <is>
          <t>175 Birchwood Lane</t>
        </is>
      </c>
      <c r="K860" s="1" t="inlineStr">
        <is>
          <t>Emerald Road</t>
        </is>
      </c>
      <c r="L860" s="1" t="inlineStr">
        <is>
          <t>PIN:580720 MANDURAH</t>
        </is>
      </c>
      <c r="M860" s="2" t="inlineStr">
        <is>
          <t>MHA/IND/00863</t>
        </is>
      </c>
      <c r="N860" s="30" t="n">
        <v>45869</v>
      </c>
    </row>
    <row r="861">
      <c r="A861" s="28" t="n">
        <v>860</v>
      </c>
      <c r="B861" s="1" t="inlineStr">
        <is>
          <t>AREN SHARMA</t>
        </is>
      </c>
      <c r="C861" s="30" t="n">
        <v>45846</v>
      </c>
      <c r="D861" s="1" t="inlineStr">
        <is>
          <t>BERWICK</t>
        </is>
      </c>
      <c r="E861" s="12" t="inlineStr">
        <is>
          <t>IND/MEL/00860</t>
        </is>
      </c>
      <c r="F861" s="1" t="inlineStr">
        <is>
          <t>M</t>
        </is>
      </c>
      <c r="G861" s="1" t="inlineStr">
        <is>
          <t>Kabir Valzari</t>
        </is>
      </c>
      <c r="H861" s="1" t="inlineStr">
        <is>
          <t>Anya Valzari</t>
        </is>
      </c>
      <c r="I861" s="30" t="n">
        <v>45910</v>
      </c>
      <c r="J861" s="1" t="inlineStr">
        <is>
          <t>172 Birchwood Lane</t>
        </is>
      </c>
      <c r="K861" s="1" t="inlineStr">
        <is>
          <t>Emerald Road</t>
        </is>
      </c>
      <c r="L861" s="1" t="inlineStr">
        <is>
          <t>PIN:562388 BERWICK</t>
        </is>
      </c>
      <c r="M861" s="2" t="inlineStr">
        <is>
          <t>MHA/IND/00864</t>
        </is>
      </c>
      <c r="N861" s="30" t="n">
        <v>45853</v>
      </c>
    </row>
    <row r="862">
      <c r="A862" s="28" t="n">
        <v>861</v>
      </c>
      <c r="B862" s="1" t="inlineStr">
        <is>
          <t>KIRAN RAO</t>
        </is>
      </c>
      <c r="C862" s="30" t="n">
        <v>45841</v>
      </c>
      <c r="D862" s="1" t="inlineStr">
        <is>
          <t>BERWICK</t>
        </is>
      </c>
      <c r="E862" s="12" t="inlineStr">
        <is>
          <t>IND/MEL/00861</t>
        </is>
      </c>
      <c r="F862" s="1" t="inlineStr">
        <is>
          <t>F</t>
        </is>
      </c>
      <c r="G862" s="1" t="inlineStr">
        <is>
          <t>Arjun Valzari</t>
        </is>
      </c>
      <c r="H862" s="1" t="inlineStr">
        <is>
          <t>Riya Valzari</t>
        </is>
      </c>
      <c r="I862" s="30" t="n">
        <v>45873</v>
      </c>
      <c r="J862" s="1" t="inlineStr">
        <is>
          <t>82 Birchwood Lane</t>
        </is>
      </c>
      <c r="K862" s="1" t="inlineStr">
        <is>
          <t>Emerald Road</t>
        </is>
      </c>
      <c r="L862" s="1" t="inlineStr">
        <is>
          <t>PIN:894635 BERWICK</t>
        </is>
      </c>
      <c r="M862" s="2" t="inlineStr">
        <is>
          <t>MHA/IND/00865</t>
        </is>
      </c>
      <c r="N862" s="30" t="n">
        <v>45893</v>
      </c>
    </row>
    <row r="863">
      <c r="A863" s="28" t="n">
        <v>862</v>
      </c>
      <c r="B863" s="1" t="inlineStr">
        <is>
          <t>DIYA MYRTHOS</t>
        </is>
      </c>
      <c r="C863" s="30" t="n">
        <v>45922</v>
      </c>
      <c r="D863" s="1" t="inlineStr">
        <is>
          <t>LIVERPOOL</t>
        </is>
      </c>
      <c r="E863" s="12" t="inlineStr">
        <is>
          <t>IND/MEL/00862</t>
        </is>
      </c>
      <c r="F863" s="1" t="inlineStr">
        <is>
          <t>M</t>
        </is>
      </c>
      <c r="G863" s="1" t="inlineStr">
        <is>
          <t>Dev Myrthos</t>
        </is>
      </c>
      <c r="H863" s="1" t="inlineStr">
        <is>
          <t>Riya Myrthos</t>
        </is>
      </c>
      <c r="I863" s="30" t="n">
        <v>45983</v>
      </c>
      <c r="J863" s="1" t="inlineStr">
        <is>
          <t>164 Birchwood Lane</t>
        </is>
      </c>
      <c r="K863" s="1" t="inlineStr">
        <is>
          <t>Emerald Road</t>
        </is>
      </c>
      <c r="L863" s="1" t="inlineStr">
        <is>
          <t>PIN:165275 LIVERPOOL</t>
        </is>
      </c>
      <c r="M863" s="2" t="inlineStr">
        <is>
          <t>MHA/IND/00866</t>
        </is>
      </c>
      <c r="N863" s="30" t="n">
        <v>45868</v>
      </c>
    </row>
    <row r="864">
      <c r="A864" s="28" t="n">
        <v>863</v>
      </c>
      <c r="B864" s="1" t="inlineStr">
        <is>
          <t>RIYA KALEON</t>
        </is>
      </c>
      <c r="C864" s="30" t="n">
        <v>45721</v>
      </c>
      <c r="D864" s="1" t="inlineStr">
        <is>
          <t>NEWCASTLE</t>
        </is>
      </c>
      <c r="E864" s="12" t="inlineStr">
        <is>
          <t>IND/MEL/00863</t>
        </is>
      </c>
      <c r="F864" s="1" t="inlineStr">
        <is>
          <t>M</t>
        </is>
      </c>
      <c r="G864" s="1" t="inlineStr">
        <is>
          <t>Aren Sharma</t>
        </is>
      </c>
      <c r="H864" s="1" t="inlineStr">
        <is>
          <t>Diya Sharma</t>
        </is>
      </c>
      <c r="I864" s="30" t="n">
        <v>45744</v>
      </c>
      <c r="J864" s="1" t="inlineStr">
        <is>
          <t>151 Birchwood Lane</t>
        </is>
      </c>
      <c r="K864" s="1" t="inlineStr">
        <is>
          <t>Emerald Road</t>
        </is>
      </c>
      <c r="L864" s="1" t="inlineStr">
        <is>
          <t>PIN:313133 NEWCASTLE</t>
        </is>
      </c>
      <c r="M864" s="2" t="inlineStr">
        <is>
          <t>MHA/IND/00867</t>
        </is>
      </c>
      <c r="N864" s="30" t="n">
        <v>45885</v>
      </c>
    </row>
    <row r="865">
      <c r="A865" s="28" t="n">
        <v>864</v>
      </c>
      <c r="B865" s="1" t="inlineStr">
        <is>
          <t>AREN VALZARI</t>
        </is>
      </c>
      <c r="C865" s="30" t="n">
        <v>45751</v>
      </c>
      <c r="D865" s="1" t="inlineStr">
        <is>
          <t>LIVERPOOL</t>
        </is>
      </c>
      <c r="E865" s="12" t="inlineStr">
        <is>
          <t>IND/MEL/00864</t>
        </is>
      </c>
      <c r="F865" s="1" t="inlineStr">
        <is>
          <t>F</t>
        </is>
      </c>
      <c r="G865" s="1" t="inlineStr">
        <is>
          <t>Aren Sindale</t>
        </is>
      </c>
      <c r="H865" s="1" t="inlineStr">
        <is>
          <t>Riya Sindale</t>
        </is>
      </c>
      <c r="I865" s="30" t="n">
        <v>45763</v>
      </c>
      <c r="J865" s="1" t="inlineStr">
        <is>
          <t>29 Birchwood Lane</t>
        </is>
      </c>
      <c r="K865" s="1" t="inlineStr">
        <is>
          <t>Emerald Road</t>
        </is>
      </c>
      <c r="L865" s="1" t="inlineStr">
        <is>
          <t>PIN:978049 LIVERPOOL</t>
        </is>
      </c>
      <c r="M865" s="2" t="inlineStr">
        <is>
          <t>MHA/IND/00868</t>
        </is>
      </c>
      <c r="N865" s="30" t="n">
        <v>45878</v>
      </c>
    </row>
    <row r="866">
      <c r="A866" s="28" t="n">
        <v>865</v>
      </c>
      <c r="B866" s="1" t="inlineStr">
        <is>
          <t>SARA VALZARI</t>
        </is>
      </c>
      <c r="C866" s="30" t="n">
        <v>45863</v>
      </c>
      <c r="D866" s="1" t="inlineStr">
        <is>
          <t>NEWCASTLE</t>
        </is>
      </c>
      <c r="E866" s="12" t="inlineStr">
        <is>
          <t>IND/MEL/00865</t>
        </is>
      </c>
      <c r="F866" s="1" t="inlineStr">
        <is>
          <t>M</t>
        </is>
      </c>
      <c r="G866" s="1" t="inlineStr">
        <is>
          <t>Arjun Kaleon</t>
        </is>
      </c>
      <c r="H866" s="1" t="inlineStr">
        <is>
          <t>Alya Kaleon</t>
        </is>
      </c>
      <c r="I866" s="30" t="n">
        <v>45879</v>
      </c>
      <c r="J866" s="1" t="inlineStr">
        <is>
          <t>62 Birchwood Lane</t>
        </is>
      </c>
      <c r="K866" s="1" t="inlineStr">
        <is>
          <t>Emerald Road</t>
        </is>
      </c>
      <c r="L866" s="1" t="inlineStr">
        <is>
          <t>PIN:759250 NEWCASTLE</t>
        </is>
      </c>
      <c r="M866" s="2" t="inlineStr">
        <is>
          <t>MHA/IND/00869</t>
        </is>
      </c>
      <c r="N866" s="30" t="n">
        <v>45854</v>
      </c>
    </row>
    <row r="867">
      <c r="A867" s="28" t="n">
        <v>866</v>
      </c>
      <c r="B867" s="1" t="inlineStr">
        <is>
          <t>KABIR MYRTHOS</t>
        </is>
      </c>
      <c r="C867" s="30" t="n">
        <v>45678</v>
      </c>
      <c r="D867" s="1" t="inlineStr">
        <is>
          <t>LIVERPOOL</t>
        </is>
      </c>
      <c r="E867" s="12" t="inlineStr">
        <is>
          <t>IND/MEL/00866</t>
        </is>
      </c>
      <c r="F867" s="1" t="inlineStr">
        <is>
          <t>M</t>
        </is>
      </c>
      <c r="G867" s="1" t="inlineStr">
        <is>
          <t>Rohit Sharma</t>
        </is>
      </c>
      <c r="H867" s="1" t="inlineStr">
        <is>
          <t>Alya Sharma</t>
        </is>
      </c>
      <c r="I867" s="30" t="n">
        <v>45709</v>
      </c>
      <c r="J867" s="1" t="inlineStr">
        <is>
          <t>136 Birchwood Lane</t>
        </is>
      </c>
      <c r="K867" s="1" t="inlineStr">
        <is>
          <t>Emerald Road</t>
        </is>
      </c>
      <c r="L867" s="1" t="inlineStr">
        <is>
          <t>PIN:265684 LIVERPOOL</t>
        </is>
      </c>
      <c r="M867" s="2" t="inlineStr">
        <is>
          <t>MHA/IND/00870</t>
        </is>
      </c>
      <c r="N867" s="30" t="n">
        <v>45844</v>
      </c>
    </row>
    <row r="868">
      <c r="A868" s="28" t="n">
        <v>867</v>
      </c>
      <c r="B868" s="1" t="inlineStr">
        <is>
          <t>KIRAN SHARMA</t>
        </is>
      </c>
      <c r="C868" s="30" t="n">
        <v>45815</v>
      </c>
      <c r="D868" s="1" t="inlineStr">
        <is>
          <t>BENDIGO</t>
        </is>
      </c>
      <c r="E868" s="12" t="inlineStr">
        <is>
          <t>IND/MEL/00867</t>
        </is>
      </c>
      <c r="F868" s="1" t="inlineStr">
        <is>
          <t>M</t>
        </is>
      </c>
      <c r="G868" s="1" t="inlineStr">
        <is>
          <t>Dev Kaleon</t>
        </is>
      </c>
      <c r="H868" s="1" t="inlineStr">
        <is>
          <t>Tara Kaleon</t>
        </is>
      </c>
      <c r="I868" s="30" t="n">
        <v>45869</v>
      </c>
      <c r="J868" s="1" t="inlineStr">
        <is>
          <t>70 Birchwood Lane</t>
        </is>
      </c>
      <c r="K868" s="1" t="inlineStr">
        <is>
          <t>Emerald Road</t>
        </is>
      </c>
      <c r="L868" s="1" t="inlineStr">
        <is>
          <t>PIN:669525 BENDIGO</t>
        </is>
      </c>
      <c r="M868" s="2" t="inlineStr">
        <is>
          <t>MHA/IND/00871</t>
        </is>
      </c>
      <c r="N868" s="30" t="n">
        <v>45885</v>
      </c>
    </row>
    <row r="869">
      <c r="A869" s="28" t="n">
        <v>868</v>
      </c>
      <c r="B869" s="1" t="inlineStr">
        <is>
          <t>TARA SINDALE</t>
        </is>
      </c>
      <c r="C869" s="30" t="n">
        <v>45851</v>
      </c>
      <c r="D869" s="1" t="inlineStr">
        <is>
          <t>WOLLONGONG</t>
        </is>
      </c>
      <c r="E869" s="12" t="inlineStr">
        <is>
          <t>IND/MEL/00868</t>
        </is>
      </c>
      <c r="F869" s="1" t="inlineStr">
        <is>
          <t>F</t>
        </is>
      </c>
      <c r="G869" s="1" t="inlineStr">
        <is>
          <t>Rohit Sindale</t>
        </is>
      </c>
      <c r="H869" s="1" t="inlineStr">
        <is>
          <t>Nina Sindale</t>
        </is>
      </c>
      <c r="I869" s="30" t="n">
        <v>45889</v>
      </c>
      <c r="J869" s="1" t="inlineStr">
        <is>
          <t>71 Birchwood Lane</t>
        </is>
      </c>
      <c r="K869" s="1" t="inlineStr">
        <is>
          <t>Emerald Road</t>
        </is>
      </c>
      <c r="L869" s="1" t="inlineStr">
        <is>
          <t>PIN:806096 WOLLONGONG</t>
        </is>
      </c>
      <c r="M869" s="2" t="inlineStr">
        <is>
          <t>MHA/IND/00872</t>
        </is>
      </c>
      <c r="N869" s="30" t="n">
        <v>45891</v>
      </c>
    </row>
    <row r="870">
      <c r="A870" s="28" t="n">
        <v>869</v>
      </c>
      <c r="B870" s="1" t="inlineStr">
        <is>
          <t>ARJUN KALEON</t>
        </is>
      </c>
      <c r="C870" s="30" t="n">
        <v>45825</v>
      </c>
      <c r="D870" s="1" t="inlineStr">
        <is>
          <t>DALBY</t>
        </is>
      </c>
      <c r="E870" s="12" t="inlineStr">
        <is>
          <t>IND/MEL/00869</t>
        </is>
      </c>
      <c r="F870" s="1" t="inlineStr">
        <is>
          <t>F</t>
        </is>
      </c>
      <c r="G870" s="1" t="inlineStr">
        <is>
          <t>Kabir Kaleon</t>
        </is>
      </c>
      <c r="H870" s="1" t="inlineStr">
        <is>
          <t>Alya Kaleon</t>
        </is>
      </c>
      <c r="I870" s="30" t="n">
        <v>45844</v>
      </c>
      <c r="J870" s="1" t="inlineStr">
        <is>
          <t>123 Birchwood Lane</t>
        </is>
      </c>
      <c r="K870" s="1" t="inlineStr">
        <is>
          <t>Emerald Road</t>
        </is>
      </c>
      <c r="L870" s="1" t="inlineStr">
        <is>
          <t>PIN:836079 DALBY</t>
        </is>
      </c>
      <c r="M870" s="2" t="inlineStr">
        <is>
          <t>MHA/IND/00873</t>
        </is>
      </c>
      <c r="N870" s="30" t="n">
        <v>45847</v>
      </c>
    </row>
    <row r="871">
      <c r="A871" s="28" t="n">
        <v>870</v>
      </c>
      <c r="B871" s="1" t="inlineStr">
        <is>
          <t>DEV SHARMA</t>
        </is>
      </c>
      <c r="C871" s="30" t="n">
        <v>45685</v>
      </c>
      <c r="D871" s="1" t="inlineStr">
        <is>
          <t>CLAYTON</t>
        </is>
      </c>
      <c r="E871" s="12" t="inlineStr">
        <is>
          <t>IND/MEL/00870</t>
        </is>
      </c>
      <c r="F871" s="1" t="inlineStr">
        <is>
          <t>M</t>
        </is>
      </c>
      <c r="G871" s="1" t="inlineStr">
        <is>
          <t>Kabir Myrthos</t>
        </is>
      </c>
      <c r="H871" s="1" t="inlineStr">
        <is>
          <t>Mira Myrthos</t>
        </is>
      </c>
      <c r="I871" s="30" t="n">
        <v>45709</v>
      </c>
      <c r="J871" s="1" t="inlineStr">
        <is>
          <t>106 Birchwood Lane</t>
        </is>
      </c>
      <c r="K871" s="1" t="inlineStr">
        <is>
          <t>Emerald Road</t>
        </is>
      </c>
      <c r="L871" s="1" t="inlineStr">
        <is>
          <t>PIN:528267 CLAYTON</t>
        </is>
      </c>
      <c r="M871" s="2" t="inlineStr">
        <is>
          <t>MHA/IND/00874</t>
        </is>
      </c>
      <c r="N871" s="30" t="n">
        <v>45884</v>
      </c>
    </row>
    <row r="872">
      <c r="A872" s="28" t="n">
        <v>871</v>
      </c>
      <c r="B872" s="1" t="inlineStr">
        <is>
          <t>KABIR KALEON</t>
        </is>
      </c>
      <c r="C872" s="30" t="n">
        <v>45841</v>
      </c>
      <c r="D872" s="1" t="inlineStr">
        <is>
          <t>MANDURAH</t>
        </is>
      </c>
      <c r="E872" s="12" t="inlineStr">
        <is>
          <t>IND/MEL/00871</t>
        </is>
      </c>
      <c r="F872" s="1" t="inlineStr">
        <is>
          <t>F</t>
        </is>
      </c>
      <c r="G872" s="1" t="inlineStr">
        <is>
          <t>Dev Sindale</t>
        </is>
      </c>
      <c r="H872" s="1" t="inlineStr">
        <is>
          <t>Nina Sindale</t>
        </is>
      </c>
      <c r="I872" s="30" t="n">
        <v>45884</v>
      </c>
      <c r="J872" s="1" t="inlineStr">
        <is>
          <t>163 Birchwood Lane</t>
        </is>
      </c>
      <c r="K872" s="1" t="inlineStr">
        <is>
          <t>Emerald Road</t>
        </is>
      </c>
      <c r="L872" s="1" t="inlineStr">
        <is>
          <t>PIN:587920 MANDURAH</t>
        </is>
      </c>
      <c r="M872" s="2" t="inlineStr">
        <is>
          <t>MHA/IND/00875</t>
        </is>
      </c>
      <c r="N872" s="30" t="n">
        <v>45873</v>
      </c>
    </row>
    <row r="873">
      <c r="A873" s="28" t="n">
        <v>872</v>
      </c>
      <c r="B873" s="1" t="inlineStr">
        <is>
          <t>ALYA SINDALE</t>
        </is>
      </c>
      <c r="C873" s="30" t="n">
        <v>45815</v>
      </c>
      <c r="D873" s="1" t="inlineStr">
        <is>
          <t>BUNDOORA</t>
        </is>
      </c>
      <c r="E873" s="12" t="inlineStr">
        <is>
          <t>IND/MEL/00872</t>
        </is>
      </c>
      <c r="F873" s="1" t="inlineStr">
        <is>
          <t>F</t>
        </is>
      </c>
      <c r="G873" s="1" t="inlineStr">
        <is>
          <t>Kiran Rao</t>
        </is>
      </c>
      <c r="H873" s="1" t="inlineStr">
        <is>
          <t>Tara Rao</t>
        </is>
      </c>
      <c r="I873" s="30" t="n">
        <v>45833</v>
      </c>
      <c r="J873" s="1" t="inlineStr">
        <is>
          <t>166 Birchwood Lane</t>
        </is>
      </c>
      <c r="K873" s="1" t="inlineStr">
        <is>
          <t>Emerald Road</t>
        </is>
      </c>
      <c r="L873" s="1" t="inlineStr">
        <is>
          <t>PIN:443245 BUNDOORA</t>
        </is>
      </c>
      <c r="M873" s="2" t="inlineStr">
        <is>
          <t>MHA/IND/00876</t>
        </is>
      </c>
      <c r="N873" s="30" t="n">
        <v>45844</v>
      </c>
    </row>
    <row r="874">
      <c r="A874" s="28" t="n">
        <v>873</v>
      </c>
      <c r="B874" s="1" t="inlineStr">
        <is>
          <t>MIRA KALEON</t>
        </is>
      </c>
      <c r="C874" s="30" t="n">
        <v>45803</v>
      </c>
      <c r="D874" s="1" t="inlineStr">
        <is>
          <t>BRISBANE</t>
        </is>
      </c>
      <c r="E874" s="12" t="inlineStr">
        <is>
          <t>IND/MEL/00873</t>
        </is>
      </c>
      <c r="F874" s="1" t="inlineStr">
        <is>
          <t>F</t>
        </is>
      </c>
      <c r="G874" s="1" t="inlineStr">
        <is>
          <t>Rohit Rishkan</t>
        </is>
      </c>
      <c r="H874" s="1" t="inlineStr">
        <is>
          <t>Sara Rishkan</t>
        </is>
      </c>
      <c r="I874" s="30" t="n">
        <v>45882</v>
      </c>
      <c r="J874" s="1" t="inlineStr">
        <is>
          <t>130 Birchwood Lane</t>
        </is>
      </c>
      <c r="K874" s="1" t="inlineStr">
        <is>
          <t>Emerald Road</t>
        </is>
      </c>
      <c r="L874" s="1" t="inlineStr">
        <is>
          <t>PIN:854044 BRISBANE</t>
        </is>
      </c>
      <c r="M874" s="2" t="inlineStr">
        <is>
          <t>MHA/IND/00877</t>
        </is>
      </c>
      <c r="N874" s="30" t="n">
        <v>45887</v>
      </c>
    </row>
    <row r="875">
      <c r="A875" s="28" t="n">
        <v>874</v>
      </c>
      <c r="B875" s="1" t="inlineStr">
        <is>
          <t>ROHIT MYRTHOS</t>
        </is>
      </c>
      <c r="C875" s="30" t="n">
        <v>45729</v>
      </c>
      <c r="D875" s="1" t="inlineStr">
        <is>
          <t>BERWICK</t>
        </is>
      </c>
      <c r="E875" s="12" t="inlineStr">
        <is>
          <t>IND/MEL/00874</t>
        </is>
      </c>
      <c r="F875" s="1" t="inlineStr">
        <is>
          <t>M</t>
        </is>
      </c>
      <c r="G875" s="1" t="inlineStr">
        <is>
          <t>Neil Sindale</t>
        </is>
      </c>
      <c r="H875" s="1" t="inlineStr">
        <is>
          <t>Riya Sindale</t>
        </is>
      </c>
      <c r="I875" s="30" t="n">
        <v>45792</v>
      </c>
      <c r="J875" s="1" t="inlineStr">
        <is>
          <t>90 Birchwood Lane</t>
        </is>
      </c>
      <c r="K875" s="1" t="inlineStr">
        <is>
          <t>Emerald Road</t>
        </is>
      </c>
      <c r="L875" s="1" t="inlineStr">
        <is>
          <t>PIN:146112 BERWICK</t>
        </is>
      </c>
      <c r="M875" s="2" t="inlineStr">
        <is>
          <t>MHA/IND/00878</t>
        </is>
      </c>
      <c r="N875" s="30" t="n">
        <v>45858</v>
      </c>
    </row>
    <row r="876">
      <c r="A876" s="28" t="n">
        <v>875</v>
      </c>
      <c r="B876" s="1" t="inlineStr">
        <is>
          <t>TARA SINDALE</t>
        </is>
      </c>
      <c r="C876" s="30" t="n">
        <v>45794</v>
      </c>
      <c r="D876" s="1" t="inlineStr">
        <is>
          <t>GOSFORD</t>
        </is>
      </c>
      <c r="E876" s="12" t="inlineStr">
        <is>
          <t>IND/MEL/00875</t>
        </is>
      </c>
      <c r="F876" s="1" t="inlineStr">
        <is>
          <t>F</t>
        </is>
      </c>
      <c r="G876" s="1" t="inlineStr">
        <is>
          <t>Kiran Sharma</t>
        </is>
      </c>
      <c r="H876" s="1" t="inlineStr">
        <is>
          <t>Diya Sharma</t>
        </is>
      </c>
      <c r="I876" s="30" t="n">
        <v>45856</v>
      </c>
      <c r="J876" s="1" t="inlineStr">
        <is>
          <t>187 Birchwood Lane</t>
        </is>
      </c>
      <c r="K876" s="1" t="inlineStr">
        <is>
          <t>Emerald Road</t>
        </is>
      </c>
      <c r="L876" s="1" t="inlineStr">
        <is>
          <t>PIN:116116 GOSFORD</t>
        </is>
      </c>
      <c r="M876" s="2" t="inlineStr">
        <is>
          <t>MHA/IND/00879</t>
        </is>
      </c>
      <c r="N876" s="30" t="n">
        <v>45860</v>
      </c>
    </row>
    <row r="877">
      <c r="A877" s="28" t="n">
        <v>876</v>
      </c>
      <c r="B877" s="1" t="inlineStr">
        <is>
          <t>ANYA RAO</t>
        </is>
      </c>
      <c r="C877" s="30" t="n">
        <v>45942</v>
      </c>
      <c r="D877" s="1" t="inlineStr">
        <is>
          <t>ARMADALE</t>
        </is>
      </c>
      <c r="E877" s="12" t="inlineStr">
        <is>
          <t>IND/MEL/00876</t>
        </is>
      </c>
      <c r="F877" s="1" t="inlineStr">
        <is>
          <t>F</t>
        </is>
      </c>
      <c r="G877" s="1" t="inlineStr">
        <is>
          <t>Rohit Kaleon</t>
        </is>
      </c>
      <c r="H877" s="1" t="inlineStr">
        <is>
          <t>Tara Kaleon</t>
        </is>
      </c>
      <c r="I877" s="30" t="n">
        <v>45968</v>
      </c>
      <c r="J877" s="1" t="inlineStr">
        <is>
          <t>146 Birchwood Lane</t>
        </is>
      </c>
      <c r="K877" s="1" t="inlineStr">
        <is>
          <t>Emerald Road</t>
        </is>
      </c>
      <c r="L877" s="1" t="inlineStr">
        <is>
          <t>PIN:698609 ARMADALE</t>
        </is>
      </c>
      <c r="M877" s="2" t="inlineStr">
        <is>
          <t>MHA/IND/00880</t>
        </is>
      </c>
      <c r="N877" s="30" t="n">
        <v>45870</v>
      </c>
    </row>
    <row r="878">
      <c r="A878" s="28" t="n">
        <v>877</v>
      </c>
      <c r="B878" s="1" t="inlineStr">
        <is>
          <t>TARA RISHKAN</t>
        </is>
      </c>
      <c r="C878" s="30" t="n">
        <v>45910</v>
      </c>
      <c r="D878" s="1" t="inlineStr">
        <is>
          <t>PARKVILLE</t>
        </is>
      </c>
      <c r="E878" s="12" t="inlineStr">
        <is>
          <t>IND/MEL/00877</t>
        </is>
      </c>
      <c r="F878" s="1" t="inlineStr">
        <is>
          <t>F</t>
        </is>
      </c>
      <c r="G878" s="1" t="inlineStr">
        <is>
          <t>Ishan Kaleon</t>
        </is>
      </c>
      <c r="H878" s="1" t="inlineStr">
        <is>
          <t>Nina Kaleon</t>
        </is>
      </c>
      <c r="I878" s="30" t="n">
        <v>45999</v>
      </c>
      <c r="J878" s="1" t="inlineStr">
        <is>
          <t>94 Birchwood Lane</t>
        </is>
      </c>
      <c r="K878" s="1" t="inlineStr">
        <is>
          <t>Emerald Road</t>
        </is>
      </c>
      <c r="L878" s="1" t="inlineStr">
        <is>
          <t>PIN:243403 PARKVILLE</t>
        </is>
      </c>
      <c r="M878" s="2" t="inlineStr">
        <is>
          <t>MHA/IND/00881</t>
        </is>
      </c>
      <c r="N878" s="30" t="n">
        <v>45866</v>
      </c>
    </row>
    <row r="879">
      <c r="A879" s="28" t="n">
        <v>878</v>
      </c>
      <c r="B879" s="1" t="inlineStr">
        <is>
          <t>KABIR SINDALE</t>
        </is>
      </c>
      <c r="C879" s="30" t="n">
        <v>45912</v>
      </c>
      <c r="D879" s="1" t="inlineStr">
        <is>
          <t>LIVERPOOL</t>
        </is>
      </c>
      <c r="E879" s="12" t="inlineStr">
        <is>
          <t>IND/MEL/00878</t>
        </is>
      </c>
      <c r="F879" s="1" t="inlineStr">
        <is>
          <t>F</t>
        </is>
      </c>
      <c r="G879" s="1" t="inlineStr">
        <is>
          <t>Rohit Myrthos</t>
        </is>
      </c>
      <c r="H879" s="1" t="inlineStr">
        <is>
          <t>Mira Myrthos</t>
        </is>
      </c>
      <c r="I879" s="30" t="n">
        <v>45979</v>
      </c>
      <c r="J879" s="1" t="inlineStr">
        <is>
          <t>61 Birchwood Lane</t>
        </is>
      </c>
      <c r="K879" s="1" t="inlineStr">
        <is>
          <t>Emerald Road</t>
        </is>
      </c>
      <c r="L879" s="1" t="inlineStr">
        <is>
          <t>PIN:333036 LIVERPOOL</t>
        </is>
      </c>
      <c r="M879" s="2" t="inlineStr">
        <is>
          <t>MHA/IND/00882</t>
        </is>
      </c>
      <c r="N879" s="30" t="n">
        <v>45858</v>
      </c>
    </row>
    <row r="880">
      <c r="A880" s="28" t="n">
        <v>879</v>
      </c>
      <c r="B880" s="1" t="inlineStr">
        <is>
          <t>MIRA SHARMA</t>
        </is>
      </c>
      <c r="C880" s="30" t="n">
        <v>45743</v>
      </c>
      <c r="D880" s="1" t="inlineStr">
        <is>
          <t>BEDFORD PARK</t>
        </is>
      </c>
      <c r="E880" s="12" t="inlineStr">
        <is>
          <t>IND/MEL/00879</t>
        </is>
      </c>
      <c r="F880" s="1" t="inlineStr">
        <is>
          <t>M</t>
        </is>
      </c>
      <c r="G880" s="1" t="inlineStr">
        <is>
          <t>Aren Valzari</t>
        </is>
      </c>
      <c r="H880" s="1" t="inlineStr">
        <is>
          <t>Riya Valzari</t>
        </is>
      </c>
      <c r="I880" s="30" t="n">
        <v>45808</v>
      </c>
      <c r="J880" s="1" t="inlineStr">
        <is>
          <t>69 Birchwood Lane</t>
        </is>
      </c>
      <c r="K880" s="1" t="inlineStr">
        <is>
          <t>Emerald Road</t>
        </is>
      </c>
      <c r="L880" s="1" t="inlineStr">
        <is>
          <t>PIN:974106 BEDFORD PARK</t>
        </is>
      </c>
      <c r="M880" s="2" t="inlineStr">
        <is>
          <t>MHA/IND/00883</t>
        </is>
      </c>
      <c r="N880" s="30" t="n">
        <v>45880</v>
      </c>
    </row>
    <row r="881">
      <c r="A881" s="28" t="n">
        <v>880</v>
      </c>
      <c r="B881" s="1" t="inlineStr">
        <is>
          <t>ANYA KALEON</t>
        </is>
      </c>
      <c r="C881" s="30" t="n">
        <v>45749</v>
      </c>
      <c r="D881" s="1" t="inlineStr">
        <is>
          <t>WODONGA</t>
        </is>
      </c>
      <c r="E881" s="12" t="inlineStr">
        <is>
          <t>IND/MEL/00880</t>
        </is>
      </c>
      <c r="F881" s="1" t="inlineStr">
        <is>
          <t>M</t>
        </is>
      </c>
      <c r="G881" s="1" t="inlineStr">
        <is>
          <t>Rohit Valzari</t>
        </is>
      </c>
      <c r="H881" s="1" t="inlineStr">
        <is>
          <t>Alya Valzari</t>
        </is>
      </c>
      <c r="I881" s="30" t="n">
        <v>45786</v>
      </c>
      <c r="J881" s="1" t="inlineStr">
        <is>
          <t>130 Birchwood Lane</t>
        </is>
      </c>
      <c r="K881" s="1" t="inlineStr">
        <is>
          <t>Emerald Road</t>
        </is>
      </c>
      <c r="L881" s="1" t="inlineStr">
        <is>
          <t>PIN:903256 WODONGA</t>
        </is>
      </c>
      <c r="M881" s="2" t="inlineStr">
        <is>
          <t>MHA/IND/00884</t>
        </is>
      </c>
      <c r="N881" s="30" t="n">
        <v>45878</v>
      </c>
    </row>
    <row r="882">
      <c r="A882" s="28" t="n">
        <v>881</v>
      </c>
      <c r="B882" s="1" t="inlineStr">
        <is>
          <t>ALYA KALEON</t>
        </is>
      </c>
      <c r="C882" s="30" t="n">
        <v>45800</v>
      </c>
      <c r="D882" s="1" t="inlineStr">
        <is>
          <t>FRANKSTON</t>
        </is>
      </c>
      <c r="E882" s="12" t="inlineStr">
        <is>
          <t>IND/MEL/00881</t>
        </is>
      </c>
      <c r="F882" s="1" t="inlineStr">
        <is>
          <t>M</t>
        </is>
      </c>
      <c r="G882" s="1" t="inlineStr">
        <is>
          <t>Aren Sindale</t>
        </is>
      </c>
      <c r="H882" s="1" t="inlineStr">
        <is>
          <t>Riya Sindale</t>
        </is>
      </c>
      <c r="I882" s="30" t="n">
        <v>45873</v>
      </c>
      <c r="J882" s="1" t="inlineStr">
        <is>
          <t>161 Birchwood Lane</t>
        </is>
      </c>
      <c r="K882" s="1" t="inlineStr">
        <is>
          <t>Emerald Road</t>
        </is>
      </c>
      <c r="L882" s="1" t="inlineStr">
        <is>
          <t>PIN:724180 FRANKSTON</t>
        </is>
      </c>
      <c r="M882" s="2" t="inlineStr">
        <is>
          <t>MHA/IND/00885</t>
        </is>
      </c>
      <c r="N882" s="30" t="n">
        <v>45895</v>
      </c>
    </row>
    <row r="883">
      <c r="A883" s="28" t="n">
        <v>882</v>
      </c>
      <c r="B883" s="1" t="inlineStr">
        <is>
          <t>ANYA MYRTHOS</t>
        </is>
      </c>
      <c r="C883" s="30" t="n">
        <v>45819</v>
      </c>
      <c r="D883" s="1" t="inlineStr">
        <is>
          <t>TUGGERANONG</t>
        </is>
      </c>
      <c r="E883" s="12" t="inlineStr">
        <is>
          <t>IND/MEL/00882</t>
        </is>
      </c>
      <c r="F883" s="1" t="inlineStr">
        <is>
          <t>M</t>
        </is>
      </c>
      <c r="G883" s="1" t="inlineStr">
        <is>
          <t>Dev Sharma</t>
        </is>
      </c>
      <c r="H883" s="1" t="inlineStr">
        <is>
          <t>Nina Sharma</t>
        </is>
      </c>
      <c r="I883" s="30" t="n">
        <v>45937</v>
      </c>
      <c r="J883" s="1" t="inlineStr">
        <is>
          <t>29 Birchwood Lane</t>
        </is>
      </c>
      <c r="K883" s="1" t="inlineStr">
        <is>
          <t>Emerald Road</t>
        </is>
      </c>
      <c r="L883" s="1" t="inlineStr">
        <is>
          <t>PIN:696956 TUGGERANONG</t>
        </is>
      </c>
      <c r="M883" s="2" t="inlineStr">
        <is>
          <t>MHA/IND/00886</t>
        </is>
      </c>
      <c r="N883" s="30" t="n">
        <v>45894</v>
      </c>
    </row>
    <row r="884">
      <c r="A884" s="28" t="n">
        <v>883</v>
      </c>
      <c r="B884" s="1" t="inlineStr">
        <is>
          <t>ROHIT VALZARI</t>
        </is>
      </c>
      <c r="C884" s="30" t="n">
        <v>45778</v>
      </c>
      <c r="D884" s="1" t="inlineStr">
        <is>
          <t>LAUNCESTON</t>
        </is>
      </c>
      <c r="E884" s="12" t="inlineStr">
        <is>
          <t>IND/MEL/00883</t>
        </is>
      </c>
      <c r="F884" s="1" t="inlineStr">
        <is>
          <t>F</t>
        </is>
      </c>
      <c r="G884" s="1" t="inlineStr">
        <is>
          <t>Rohit Sharma</t>
        </is>
      </c>
      <c r="H884" s="1" t="inlineStr">
        <is>
          <t>Mira Sharma</t>
        </is>
      </c>
      <c r="I884" s="30" t="n">
        <v>45790</v>
      </c>
      <c r="J884" s="1" t="inlineStr">
        <is>
          <t>193 Birchwood Lane</t>
        </is>
      </c>
      <c r="K884" s="1" t="inlineStr">
        <is>
          <t>Emerald Road</t>
        </is>
      </c>
      <c r="L884" s="1" t="inlineStr">
        <is>
          <t>PIN:866652 LAUNCESTON</t>
        </is>
      </c>
      <c r="M884" s="2" t="inlineStr">
        <is>
          <t>MHA/IND/00887</t>
        </is>
      </c>
      <c r="N884" s="30" t="n">
        <v>45846</v>
      </c>
    </row>
    <row r="885">
      <c r="A885" s="28" t="n">
        <v>884</v>
      </c>
      <c r="B885" s="1" t="inlineStr">
        <is>
          <t>KIRAN VALZARI</t>
        </is>
      </c>
      <c r="C885" s="30" t="n">
        <v>45735</v>
      </c>
      <c r="D885" s="1" t="inlineStr">
        <is>
          <t>NORTH ADELAIDE</t>
        </is>
      </c>
      <c r="E885" s="12" t="inlineStr">
        <is>
          <t>IND/MEL/00884</t>
        </is>
      </c>
      <c r="F885" s="1" t="inlineStr">
        <is>
          <t>F</t>
        </is>
      </c>
      <c r="G885" s="1" t="inlineStr">
        <is>
          <t>Rohit Kaleon</t>
        </is>
      </c>
      <c r="H885" s="1" t="inlineStr">
        <is>
          <t>Anya Kaleon</t>
        </is>
      </c>
      <c r="I885" s="30" t="n">
        <v>45767</v>
      </c>
      <c r="J885" s="1" t="inlineStr">
        <is>
          <t>141 Birchwood Lane</t>
        </is>
      </c>
      <c r="K885" s="1" t="inlineStr">
        <is>
          <t>Emerald Road</t>
        </is>
      </c>
      <c r="L885" s="1" t="inlineStr">
        <is>
          <t>PIN:277862 NORTH ADELAIDE</t>
        </is>
      </c>
      <c r="M885" s="2" t="inlineStr">
        <is>
          <t>MHA/IND/00888</t>
        </is>
      </c>
      <c r="N885" s="30" t="n">
        <v>45862</v>
      </c>
    </row>
    <row r="886">
      <c r="A886" s="28" t="n">
        <v>885</v>
      </c>
      <c r="B886" s="1" t="inlineStr">
        <is>
          <t>DEV SINDALE</t>
        </is>
      </c>
      <c r="C886" s="30" t="n">
        <v>45865</v>
      </c>
      <c r="D886" s="1" t="inlineStr">
        <is>
          <t>TUGGERANONG</t>
        </is>
      </c>
      <c r="E886" s="12" t="inlineStr">
        <is>
          <t>IND/MEL/00885</t>
        </is>
      </c>
      <c r="F886" s="1" t="inlineStr">
        <is>
          <t>F</t>
        </is>
      </c>
      <c r="G886" s="1" t="inlineStr">
        <is>
          <t>Neil Rishkan</t>
        </is>
      </c>
      <c r="H886" s="1" t="inlineStr">
        <is>
          <t>Alya Rishkan</t>
        </is>
      </c>
      <c r="I886" s="30" t="n">
        <v>45873</v>
      </c>
      <c r="J886" s="1" t="inlineStr">
        <is>
          <t>57 Birchwood Lane</t>
        </is>
      </c>
      <c r="K886" s="1" t="inlineStr">
        <is>
          <t>Emerald Road</t>
        </is>
      </c>
      <c r="L886" s="1" t="inlineStr">
        <is>
          <t>PIN:771839 TUGGERANONG</t>
        </is>
      </c>
      <c r="M886" s="2" t="inlineStr">
        <is>
          <t>MHA/IND/00889</t>
        </is>
      </c>
      <c r="N886" s="30" t="n">
        <v>45878</v>
      </c>
    </row>
    <row r="887">
      <c r="A887" s="28" t="n">
        <v>886</v>
      </c>
      <c r="B887" s="1" t="inlineStr">
        <is>
          <t>KIRAN SHARMA</t>
        </is>
      </c>
      <c r="C887" s="30" t="n">
        <v>45874</v>
      </c>
      <c r="D887" s="1" t="inlineStr">
        <is>
          <t>LIVERPOOL</t>
        </is>
      </c>
      <c r="E887" s="12" t="inlineStr">
        <is>
          <t>IND/MEL/00886</t>
        </is>
      </c>
      <c r="F887" s="1" t="inlineStr">
        <is>
          <t>F</t>
        </is>
      </c>
      <c r="G887" s="1" t="inlineStr">
        <is>
          <t>Dev Sharma</t>
        </is>
      </c>
      <c r="H887" s="1" t="inlineStr">
        <is>
          <t>Anya Sharma</t>
        </is>
      </c>
      <c r="I887" s="30" t="n">
        <v>45926</v>
      </c>
      <c r="J887" s="1" t="inlineStr">
        <is>
          <t>65 Birchwood Lane</t>
        </is>
      </c>
      <c r="K887" s="1" t="inlineStr">
        <is>
          <t>Emerald Road</t>
        </is>
      </c>
      <c r="L887" s="1" t="inlineStr">
        <is>
          <t>PIN:587081 LIVERPOOL</t>
        </is>
      </c>
      <c r="M887" s="2" t="inlineStr">
        <is>
          <t>MHA/IND/00890</t>
        </is>
      </c>
      <c r="N887" s="30" t="n">
        <v>45895</v>
      </c>
    </row>
    <row r="888">
      <c r="A888" s="28" t="n">
        <v>887</v>
      </c>
      <c r="B888" s="1" t="inlineStr">
        <is>
          <t>MIRA SHARMA</t>
        </is>
      </c>
      <c r="C888" s="30" t="n">
        <v>45670</v>
      </c>
      <c r="D888" s="1" t="inlineStr">
        <is>
          <t>BALLARAT CENTRAL</t>
        </is>
      </c>
      <c r="E888" s="12" t="inlineStr">
        <is>
          <t>IND/MEL/00887</t>
        </is>
      </c>
      <c r="F888" s="1" t="inlineStr">
        <is>
          <t>F</t>
        </is>
      </c>
      <c r="G888" s="1" t="inlineStr">
        <is>
          <t>Aren Valzari</t>
        </is>
      </c>
      <c r="H888" s="1" t="inlineStr">
        <is>
          <t>Anya Valzari</t>
        </is>
      </c>
      <c r="I888" s="30" t="n">
        <v>45679</v>
      </c>
      <c r="J888" s="1" t="inlineStr">
        <is>
          <t>74 Birchwood Lane</t>
        </is>
      </c>
      <c r="K888" s="1" t="inlineStr">
        <is>
          <t>Emerald Road</t>
        </is>
      </c>
      <c r="L888" s="1" t="inlineStr">
        <is>
          <t>PIN:832571 BALLARAT CENTRAL</t>
        </is>
      </c>
      <c r="M888" s="2" t="inlineStr">
        <is>
          <t>MHA/IND/00891</t>
        </is>
      </c>
      <c r="N888" s="30" t="n">
        <v>45844</v>
      </c>
    </row>
    <row r="889">
      <c r="A889" s="28" t="n">
        <v>888</v>
      </c>
      <c r="B889" s="1" t="inlineStr">
        <is>
          <t>SARA KALEON</t>
        </is>
      </c>
      <c r="C889" s="30" t="n">
        <v>45874</v>
      </c>
      <c r="D889" s="1" t="inlineStr">
        <is>
          <t>FREMANTLE</t>
        </is>
      </c>
      <c r="E889" s="12" t="inlineStr">
        <is>
          <t>IND/MEL/00888</t>
        </is>
      </c>
      <c r="F889" s="1" t="inlineStr">
        <is>
          <t>M</t>
        </is>
      </c>
      <c r="G889" s="1" t="inlineStr">
        <is>
          <t>Ishan Sindale</t>
        </is>
      </c>
      <c r="H889" s="1" t="inlineStr">
        <is>
          <t>Nina Sindale</t>
        </is>
      </c>
      <c r="I889" s="30" t="n">
        <v>45982</v>
      </c>
      <c r="J889" s="1" t="inlineStr">
        <is>
          <t>26 Birchwood Lane</t>
        </is>
      </c>
      <c r="K889" s="1" t="inlineStr">
        <is>
          <t>Emerald Road</t>
        </is>
      </c>
      <c r="L889" s="1" t="inlineStr">
        <is>
          <t>PIN:919321 FREMANTLE</t>
        </is>
      </c>
      <c r="M889" s="2" t="inlineStr">
        <is>
          <t>MHA/IND/00892</t>
        </is>
      </c>
      <c r="N889" s="30" t="n">
        <v>45872</v>
      </c>
    </row>
    <row r="890">
      <c r="A890" s="28" t="n">
        <v>889</v>
      </c>
      <c r="B890" s="1" t="inlineStr">
        <is>
          <t>RIYA RISHKAN</t>
        </is>
      </c>
      <c r="C890" s="30" t="n">
        <v>45783</v>
      </c>
      <c r="D890" s="1" t="inlineStr">
        <is>
          <t>IPSWICH</t>
        </is>
      </c>
      <c r="E890" s="12" t="inlineStr">
        <is>
          <t>IND/MEL/00889</t>
        </is>
      </c>
      <c r="F890" s="1" t="inlineStr">
        <is>
          <t>F</t>
        </is>
      </c>
      <c r="G890" s="1" t="inlineStr">
        <is>
          <t>Rohit Kaleon</t>
        </is>
      </c>
      <c r="H890" s="1" t="inlineStr">
        <is>
          <t>Tara Kaleon</t>
        </is>
      </c>
      <c r="I890" s="30" t="n">
        <v>45863</v>
      </c>
      <c r="J890" s="1" t="inlineStr">
        <is>
          <t>109 Birchwood Lane</t>
        </is>
      </c>
      <c r="K890" s="1" t="inlineStr">
        <is>
          <t>Emerald Road</t>
        </is>
      </c>
      <c r="L890" s="1" t="inlineStr">
        <is>
          <t>PIN:713260 IPSWICH</t>
        </is>
      </c>
      <c r="M890" s="2" t="inlineStr">
        <is>
          <t>MHA/IND/00893</t>
        </is>
      </c>
      <c r="N890" s="30" t="n">
        <v>45852</v>
      </c>
    </row>
    <row r="891">
      <c r="A891" s="28" t="n">
        <v>890</v>
      </c>
      <c r="B891" s="1" t="inlineStr">
        <is>
          <t>ANYA SHARMA</t>
        </is>
      </c>
      <c r="C891" s="30" t="n">
        <v>45945</v>
      </c>
      <c r="D891" s="1" t="inlineStr">
        <is>
          <t>MILDURA</t>
        </is>
      </c>
      <c r="E891" s="12" t="inlineStr">
        <is>
          <t>IND/MEL/00890</t>
        </is>
      </c>
      <c r="F891" s="1" t="inlineStr">
        <is>
          <t>M</t>
        </is>
      </c>
      <c r="G891" s="1" t="inlineStr">
        <is>
          <t>Ishan Sharma</t>
        </is>
      </c>
      <c r="H891" s="1" t="inlineStr">
        <is>
          <t>Riya Sharma</t>
        </is>
      </c>
      <c r="I891" s="30" t="n">
        <v>45955</v>
      </c>
      <c r="J891" s="1" t="inlineStr">
        <is>
          <t>21 Birchwood Lane</t>
        </is>
      </c>
      <c r="K891" s="1" t="inlineStr">
        <is>
          <t>Emerald Road</t>
        </is>
      </c>
      <c r="L891" s="1" t="inlineStr">
        <is>
          <t>PIN:384008 MILDURA</t>
        </is>
      </c>
      <c r="M891" s="2" t="inlineStr">
        <is>
          <t>MHA/IND/00894</t>
        </is>
      </c>
      <c r="N891" s="30" t="n">
        <v>45873</v>
      </c>
    </row>
    <row r="892">
      <c r="A892" s="28" t="n">
        <v>891</v>
      </c>
      <c r="B892" s="1" t="inlineStr">
        <is>
          <t>ANYA VALZARI</t>
        </is>
      </c>
      <c r="C892" s="30" t="n">
        <v>45679</v>
      </c>
      <c r="D892" s="1" t="inlineStr">
        <is>
          <t>ST ALBANS</t>
        </is>
      </c>
      <c r="E892" s="12" t="inlineStr">
        <is>
          <t>IND/MEL/00891</t>
        </is>
      </c>
      <c r="F892" s="1" t="inlineStr">
        <is>
          <t>F</t>
        </is>
      </c>
      <c r="G892" s="1" t="inlineStr">
        <is>
          <t>Neil Rao</t>
        </is>
      </c>
      <c r="H892" s="1" t="inlineStr">
        <is>
          <t>Tara Rao</t>
        </is>
      </c>
      <c r="I892" s="30" t="n">
        <v>45704</v>
      </c>
      <c r="J892" s="1" t="inlineStr">
        <is>
          <t>198 Birchwood Lane</t>
        </is>
      </c>
      <c r="K892" s="1" t="inlineStr">
        <is>
          <t>Emerald Road</t>
        </is>
      </c>
      <c r="L892" s="1" t="inlineStr">
        <is>
          <t>PIN:435572 ST ALBANS</t>
        </is>
      </c>
      <c r="M892" s="2" t="inlineStr">
        <is>
          <t>MHA/IND/00895</t>
        </is>
      </c>
      <c r="N892" s="30" t="n">
        <v>45844</v>
      </c>
    </row>
    <row r="893">
      <c r="A893" s="28" t="n">
        <v>892</v>
      </c>
      <c r="B893" s="1" t="inlineStr">
        <is>
          <t>ARJUN SINDALE</t>
        </is>
      </c>
      <c r="C893" s="30" t="n">
        <v>45928</v>
      </c>
      <c r="D893" s="1" t="inlineStr">
        <is>
          <t>BENDIGO</t>
        </is>
      </c>
      <c r="E893" s="12" t="inlineStr">
        <is>
          <t>IND/MEL/00892</t>
        </is>
      </c>
      <c r="F893" s="1" t="inlineStr">
        <is>
          <t>F</t>
        </is>
      </c>
      <c r="G893" s="1" t="inlineStr">
        <is>
          <t>Rohit Myrthos</t>
        </is>
      </c>
      <c r="H893" s="1" t="inlineStr">
        <is>
          <t>Alya Myrthos</t>
        </is>
      </c>
      <c r="I893" s="30" t="n">
        <v>45960</v>
      </c>
      <c r="J893" s="1" t="inlineStr">
        <is>
          <t>157 Birchwood Lane</t>
        </is>
      </c>
      <c r="K893" s="1" t="inlineStr">
        <is>
          <t>Emerald Road</t>
        </is>
      </c>
      <c r="L893" s="1" t="inlineStr">
        <is>
          <t>PIN:557614 BENDIGO</t>
        </is>
      </c>
      <c r="M893" s="2" t="inlineStr">
        <is>
          <t>MHA/IND/00896</t>
        </is>
      </c>
      <c r="N893" s="30" t="n">
        <v>45897</v>
      </c>
    </row>
    <row r="894">
      <c r="A894" s="28" t="n">
        <v>893</v>
      </c>
      <c r="B894" s="1" t="inlineStr">
        <is>
          <t>TARA KALEON</t>
        </is>
      </c>
      <c r="C894" s="30" t="n">
        <v>45947</v>
      </c>
      <c r="D894" s="1" t="inlineStr">
        <is>
          <t>WOLLONGONG</t>
        </is>
      </c>
      <c r="E894" s="12" t="inlineStr">
        <is>
          <t>IND/MEL/00893</t>
        </is>
      </c>
      <c r="F894" s="1" t="inlineStr">
        <is>
          <t>F</t>
        </is>
      </c>
      <c r="G894" s="1" t="inlineStr">
        <is>
          <t>Kabir Rishkan</t>
        </is>
      </c>
      <c r="H894" s="1" t="inlineStr">
        <is>
          <t>Nina Rishkan</t>
        </is>
      </c>
      <c r="I894" s="30" t="n">
        <v>46053</v>
      </c>
      <c r="J894" s="1" t="inlineStr">
        <is>
          <t>77 Birchwood Lane</t>
        </is>
      </c>
      <c r="K894" s="1" t="inlineStr">
        <is>
          <t>Emerald Road</t>
        </is>
      </c>
      <c r="L894" s="1" t="inlineStr">
        <is>
          <t>PIN:990720 WOLLONGONG</t>
        </is>
      </c>
      <c r="M894" s="2" t="inlineStr">
        <is>
          <t>MHA/IND/00897</t>
        </is>
      </c>
      <c r="N894" s="30" t="n">
        <v>45862</v>
      </c>
    </row>
    <row r="895">
      <c r="A895" s="28" t="n">
        <v>894</v>
      </c>
      <c r="B895" s="1" t="inlineStr">
        <is>
          <t>KIRAN SHARMA</t>
        </is>
      </c>
      <c r="C895" s="30" t="n">
        <v>45765</v>
      </c>
      <c r="D895" s="1" t="inlineStr">
        <is>
          <t>WERRIBEE</t>
        </is>
      </c>
      <c r="E895" s="12" t="inlineStr">
        <is>
          <t>IND/MEL/00894</t>
        </is>
      </c>
      <c r="F895" s="1" t="inlineStr">
        <is>
          <t>F</t>
        </is>
      </c>
      <c r="G895" s="1" t="inlineStr">
        <is>
          <t>Neil Valzari</t>
        </is>
      </c>
      <c r="H895" s="1" t="inlineStr">
        <is>
          <t>Diya Valzari</t>
        </is>
      </c>
      <c r="I895" s="30" t="n">
        <v>45824</v>
      </c>
      <c r="J895" s="1" t="inlineStr">
        <is>
          <t>59 Birchwood Lane</t>
        </is>
      </c>
      <c r="K895" s="1" t="inlineStr">
        <is>
          <t>Emerald Road</t>
        </is>
      </c>
      <c r="L895" s="1" t="inlineStr">
        <is>
          <t>PIN:686666 WERRIBEE</t>
        </is>
      </c>
      <c r="M895" s="2" t="inlineStr">
        <is>
          <t>MHA/IND/00898</t>
        </is>
      </c>
      <c r="N895" s="30" t="n">
        <v>45850</v>
      </c>
    </row>
    <row r="896">
      <c r="A896" s="28" t="n">
        <v>895</v>
      </c>
      <c r="B896" s="1" t="inlineStr">
        <is>
          <t>ANYA RAO</t>
        </is>
      </c>
      <c r="C896" s="30" t="n">
        <v>45887</v>
      </c>
      <c r="D896" s="1" t="inlineStr">
        <is>
          <t>MIDLAND</t>
        </is>
      </c>
      <c r="E896" s="12" t="inlineStr">
        <is>
          <t>IND/MEL/00895</t>
        </is>
      </c>
      <c r="F896" s="1" t="inlineStr">
        <is>
          <t>M</t>
        </is>
      </c>
      <c r="G896" s="1" t="inlineStr">
        <is>
          <t>Kabir Myrthos</t>
        </is>
      </c>
      <c r="H896" s="1" t="inlineStr">
        <is>
          <t>Mira Myrthos</t>
        </is>
      </c>
      <c r="I896" s="30" t="n">
        <v>45936</v>
      </c>
      <c r="J896" s="1" t="inlineStr">
        <is>
          <t>68 Birchwood Lane</t>
        </is>
      </c>
      <c r="K896" s="1" t="inlineStr">
        <is>
          <t>Emerald Road</t>
        </is>
      </c>
      <c r="L896" s="1" t="inlineStr">
        <is>
          <t>PIN:921614 MIDLAND</t>
        </is>
      </c>
      <c r="M896" s="2" t="inlineStr">
        <is>
          <t>MHA/IND/00899</t>
        </is>
      </c>
      <c r="N896" s="30" t="n">
        <v>45888</v>
      </c>
    </row>
    <row r="897">
      <c r="A897" s="28" t="n">
        <v>896</v>
      </c>
      <c r="B897" s="1" t="inlineStr">
        <is>
          <t>DIYA MYRTHOS</t>
        </is>
      </c>
      <c r="C897" s="30" t="n">
        <v>45686</v>
      </c>
      <c r="D897" s="1" t="inlineStr">
        <is>
          <t>BUNDOORA</t>
        </is>
      </c>
      <c r="E897" s="12" t="inlineStr">
        <is>
          <t>IND/MEL/00896</t>
        </is>
      </c>
      <c r="F897" s="1" t="inlineStr">
        <is>
          <t>F</t>
        </is>
      </c>
      <c r="G897" s="1" t="inlineStr">
        <is>
          <t>Ishan Myrthos</t>
        </is>
      </c>
      <c r="H897" s="1" t="inlineStr">
        <is>
          <t>Alya Myrthos</t>
        </is>
      </c>
      <c r="I897" s="30" t="n">
        <v>45704</v>
      </c>
      <c r="J897" s="1" t="inlineStr">
        <is>
          <t>191 Birchwood Lane</t>
        </is>
      </c>
      <c r="K897" s="1" t="inlineStr">
        <is>
          <t>Emerald Road</t>
        </is>
      </c>
      <c r="L897" s="1" t="inlineStr">
        <is>
          <t>PIN:383372 BUNDOORA</t>
        </is>
      </c>
      <c r="M897" s="2" t="inlineStr">
        <is>
          <t>MHA/IND/00900</t>
        </is>
      </c>
      <c r="N897" s="30" t="n">
        <v>45881</v>
      </c>
    </row>
    <row r="898">
      <c r="A898" s="28" t="n">
        <v>897</v>
      </c>
      <c r="B898" s="1" t="inlineStr">
        <is>
          <t>DIYA RISHKAN</t>
        </is>
      </c>
      <c r="C898" s="30" t="n">
        <v>45768</v>
      </c>
      <c r="D898" s="1" t="inlineStr">
        <is>
          <t>ADELAIDE</t>
        </is>
      </c>
      <c r="E898" s="12" t="inlineStr">
        <is>
          <t>IND/MEL/00897</t>
        </is>
      </c>
      <c r="F898" s="1" t="inlineStr">
        <is>
          <t>M</t>
        </is>
      </c>
      <c r="G898" s="1" t="inlineStr">
        <is>
          <t>Aren Sindale</t>
        </is>
      </c>
      <c r="H898" s="1" t="inlineStr">
        <is>
          <t>Alya Sindale</t>
        </is>
      </c>
      <c r="I898" s="30" t="n">
        <v>45805</v>
      </c>
      <c r="J898" s="1" t="inlineStr">
        <is>
          <t>28 Birchwood Lane</t>
        </is>
      </c>
      <c r="K898" s="1" t="inlineStr">
        <is>
          <t>Emerald Road</t>
        </is>
      </c>
      <c r="L898" s="1" t="inlineStr">
        <is>
          <t>PIN:703922 ADELAIDE</t>
        </is>
      </c>
      <c r="M898" s="2" t="inlineStr">
        <is>
          <t>MHA/IND/00901</t>
        </is>
      </c>
      <c r="N898" s="30" t="n">
        <v>45870</v>
      </c>
    </row>
    <row r="899">
      <c r="A899" s="28" t="n">
        <v>898</v>
      </c>
      <c r="B899" s="1" t="inlineStr">
        <is>
          <t>ANYA VALZARI</t>
        </is>
      </c>
      <c r="C899" s="30" t="n">
        <v>45701</v>
      </c>
      <c r="D899" s="1" t="inlineStr">
        <is>
          <t>TOOWOOMBA</t>
        </is>
      </c>
      <c r="E899" s="12" t="inlineStr">
        <is>
          <t>IND/MEL/00898</t>
        </is>
      </c>
      <c r="F899" s="1" t="inlineStr">
        <is>
          <t>F</t>
        </is>
      </c>
      <c r="G899" s="1" t="inlineStr">
        <is>
          <t>Arjun Sharma</t>
        </is>
      </c>
      <c r="H899" s="1" t="inlineStr">
        <is>
          <t>Alya Sharma</t>
        </is>
      </c>
      <c r="I899" s="30" t="n">
        <v>45738</v>
      </c>
      <c r="J899" s="1" t="inlineStr">
        <is>
          <t>185 Birchwood Lane</t>
        </is>
      </c>
      <c r="K899" s="1" t="inlineStr">
        <is>
          <t>Emerald Road</t>
        </is>
      </c>
      <c r="L899" s="1" t="inlineStr">
        <is>
          <t>PIN:926264 TOOWOOMBA</t>
        </is>
      </c>
      <c r="M899" s="2" t="inlineStr">
        <is>
          <t>MHA/IND/00902</t>
        </is>
      </c>
      <c r="N899" s="30" t="n">
        <v>45879</v>
      </c>
    </row>
    <row r="900">
      <c r="A900" s="28" t="n">
        <v>899</v>
      </c>
      <c r="B900" s="1" t="inlineStr">
        <is>
          <t>DEV MYRTHOS</t>
        </is>
      </c>
      <c r="C900" s="30" t="n">
        <v>45709</v>
      </c>
      <c r="D900" s="1" t="inlineStr">
        <is>
          <t>PERTH</t>
        </is>
      </c>
      <c r="E900" s="12" t="inlineStr">
        <is>
          <t>IND/MEL/00899</t>
        </is>
      </c>
      <c r="F900" s="1" t="inlineStr">
        <is>
          <t>M</t>
        </is>
      </c>
      <c r="G900" s="1" t="inlineStr">
        <is>
          <t>Arjun Sindale</t>
        </is>
      </c>
      <c r="H900" s="1" t="inlineStr">
        <is>
          <t>Sara Sindale</t>
        </is>
      </c>
      <c r="I900" s="30" t="n">
        <v>45797</v>
      </c>
      <c r="J900" s="1" t="inlineStr">
        <is>
          <t>166 Birchwood Lane</t>
        </is>
      </c>
      <c r="K900" s="1" t="inlineStr">
        <is>
          <t>Emerald Road</t>
        </is>
      </c>
      <c r="L900" s="1" t="inlineStr">
        <is>
          <t>PIN:836568 PERTH</t>
        </is>
      </c>
      <c r="M900" s="2" t="inlineStr">
        <is>
          <t>MHA/IND/00903</t>
        </is>
      </c>
      <c r="N900" s="30" t="n">
        <v>45844</v>
      </c>
    </row>
    <row r="901">
      <c r="A901" s="28" t="n">
        <v>900</v>
      </c>
      <c r="B901" s="1" t="inlineStr">
        <is>
          <t>NINA MYRTHOS</t>
        </is>
      </c>
      <c r="C901" s="30" t="n">
        <v>45811</v>
      </c>
      <c r="D901" s="1" t="inlineStr">
        <is>
          <t>NEWCASTLE</t>
        </is>
      </c>
      <c r="E901" s="12" t="inlineStr">
        <is>
          <t>IND/MEL/00900</t>
        </is>
      </c>
      <c r="F901" s="1" t="inlineStr">
        <is>
          <t>F</t>
        </is>
      </c>
      <c r="G901" s="1" t="inlineStr">
        <is>
          <t>Ishan Rao</t>
        </is>
      </c>
      <c r="H901" s="1" t="inlineStr">
        <is>
          <t>Diya Rao</t>
        </is>
      </c>
      <c r="I901" s="30" t="n">
        <v>45898</v>
      </c>
      <c r="J901" s="1" t="inlineStr">
        <is>
          <t>190 Birchwood Lane</t>
        </is>
      </c>
      <c r="K901" s="1" t="inlineStr">
        <is>
          <t>Emerald Road</t>
        </is>
      </c>
      <c r="L901" s="1" t="inlineStr">
        <is>
          <t>PIN:596001 NEWCASTLE</t>
        </is>
      </c>
      <c r="M901" s="2" t="inlineStr">
        <is>
          <t>MHA/IND/00904</t>
        </is>
      </c>
      <c r="N901" s="30" t="n">
        <v>45898</v>
      </c>
    </row>
    <row r="902">
      <c r="A902" s="28" t="n">
        <v>901</v>
      </c>
      <c r="B902" s="1" t="inlineStr">
        <is>
          <t>ARJUN SINDALE</t>
        </is>
      </c>
      <c r="C902" s="30" t="n">
        <v>45699</v>
      </c>
      <c r="D902" s="1" t="inlineStr">
        <is>
          <t>SHEPPARTON</t>
        </is>
      </c>
      <c r="E902" s="12" t="inlineStr">
        <is>
          <t>IND/MEL/00901</t>
        </is>
      </c>
      <c r="F902" s="1" t="inlineStr">
        <is>
          <t>M</t>
        </is>
      </c>
      <c r="G902" s="1" t="inlineStr">
        <is>
          <t>Kabir Sindale</t>
        </is>
      </c>
      <c r="H902" s="1" t="inlineStr">
        <is>
          <t>Tara Sindale</t>
        </is>
      </c>
      <c r="I902" s="30" t="n">
        <v>45721</v>
      </c>
      <c r="J902" s="1" t="inlineStr">
        <is>
          <t>189 Birchwood Lane</t>
        </is>
      </c>
      <c r="K902" s="1" t="inlineStr">
        <is>
          <t>Emerald Road</t>
        </is>
      </c>
      <c r="L902" s="1" t="inlineStr">
        <is>
          <t>PIN:454480 SHEPPARTON</t>
        </is>
      </c>
      <c r="M902" s="2" t="inlineStr">
        <is>
          <t>MHA/IND/00905</t>
        </is>
      </c>
      <c r="N902" s="30" t="n">
        <v>45853</v>
      </c>
    </row>
    <row r="903">
      <c r="A903" s="28" t="n">
        <v>902</v>
      </c>
      <c r="B903" s="1" t="inlineStr">
        <is>
          <t>DIYA SHARMA</t>
        </is>
      </c>
      <c r="C903" s="30" t="n">
        <v>45945</v>
      </c>
      <c r="D903" s="1" t="inlineStr">
        <is>
          <t>MOUNT WAVERLEY</t>
        </is>
      </c>
      <c r="E903" s="12" t="inlineStr">
        <is>
          <t>IND/MEL/00902</t>
        </is>
      </c>
      <c r="F903" s="1" t="inlineStr">
        <is>
          <t>M</t>
        </is>
      </c>
      <c r="G903" s="1" t="inlineStr">
        <is>
          <t>Aren Kaleon</t>
        </is>
      </c>
      <c r="H903" s="1" t="inlineStr">
        <is>
          <t>Nina Kaleon</t>
        </is>
      </c>
      <c r="I903" s="30" t="n">
        <v>46061</v>
      </c>
      <c r="J903" s="1" t="inlineStr">
        <is>
          <t>137 Birchwood Lane</t>
        </is>
      </c>
      <c r="K903" s="1" t="inlineStr">
        <is>
          <t>Emerald Road</t>
        </is>
      </c>
      <c r="L903" s="1" t="inlineStr">
        <is>
          <t>PIN:600100 MOUNT WAVERLEY</t>
        </is>
      </c>
      <c r="M903" s="2" t="inlineStr">
        <is>
          <t>MHA/IND/00906</t>
        </is>
      </c>
      <c r="N903" s="30" t="n">
        <v>45841</v>
      </c>
    </row>
    <row r="904">
      <c r="A904" s="28" t="n">
        <v>903</v>
      </c>
      <c r="B904" s="1" t="inlineStr">
        <is>
          <t>ISHAN SINDALE</t>
        </is>
      </c>
      <c r="C904" s="30" t="n">
        <v>45736</v>
      </c>
      <c r="D904" s="1" t="inlineStr">
        <is>
          <t>DEVONPORT</t>
        </is>
      </c>
      <c r="E904" s="12" t="inlineStr">
        <is>
          <t>IND/MEL/00903</t>
        </is>
      </c>
      <c r="F904" s="1" t="inlineStr">
        <is>
          <t>M</t>
        </is>
      </c>
      <c r="G904" s="1" t="inlineStr">
        <is>
          <t>Arjun Myrthos</t>
        </is>
      </c>
      <c r="H904" s="1" t="inlineStr">
        <is>
          <t>Mira Myrthos</t>
        </is>
      </c>
      <c r="I904" s="30" t="n">
        <v>45837</v>
      </c>
      <c r="J904" s="1" t="inlineStr">
        <is>
          <t>125 Birchwood Lane</t>
        </is>
      </c>
      <c r="K904" s="1" t="inlineStr">
        <is>
          <t>Emerald Road</t>
        </is>
      </c>
      <c r="L904" s="1" t="inlineStr">
        <is>
          <t>PIN:206474 DEVONPORT</t>
        </is>
      </c>
      <c r="M904" s="2" t="inlineStr">
        <is>
          <t>MHA/IND/00907</t>
        </is>
      </c>
      <c r="N904" s="30" t="n">
        <v>45851</v>
      </c>
    </row>
    <row r="905">
      <c r="A905" s="28" t="n">
        <v>904</v>
      </c>
      <c r="B905" s="1" t="inlineStr">
        <is>
          <t>ALYA RAO</t>
        </is>
      </c>
      <c r="C905" s="30" t="n">
        <v>45828</v>
      </c>
      <c r="D905" s="1" t="inlineStr">
        <is>
          <t>BENDIGO</t>
        </is>
      </c>
      <c r="E905" s="12" t="inlineStr">
        <is>
          <t>IND/MEL/00904</t>
        </is>
      </c>
      <c r="F905" s="1" t="inlineStr">
        <is>
          <t>M</t>
        </is>
      </c>
      <c r="G905" s="1" t="inlineStr">
        <is>
          <t>Aren Myrthos</t>
        </is>
      </c>
      <c r="H905" s="1" t="inlineStr">
        <is>
          <t>Anya Myrthos</t>
        </is>
      </c>
      <c r="I905" s="30" t="n">
        <v>45844</v>
      </c>
      <c r="J905" s="1" t="inlineStr">
        <is>
          <t>153 Birchwood Lane</t>
        </is>
      </c>
      <c r="K905" s="1" t="inlineStr">
        <is>
          <t>Emerald Road</t>
        </is>
      </c>
      <c r="L905" s="1" t="inlineStr">
        <is>
          <t>PIN:734089 BENDIGO</t>
        </is>
      </c>
      <c r="M905" s="2" t="inlineStr">
        <is>
          <t>MHA/IND/00908</t>
        </is>
      </c>
      <c r="N905" s="30" t="n">
        <v>45849</v>
      </c>
    </row>
    <row r="906">
      <c r="A906" s="28" t="n">
        <v>905</v>
      </c>
      <c r="B906" s="1" t="inlineStr">
        <is>
          <t>ISHAN SINDALE</t>
        </is>
      </c>
      <c r="C906" s="30" t="n">
        <v>45838</v>
      </c>
      <c r="D906" s="1" t="inlineStr">
        <is>
          <t>SHEPPARTON</t>
        </is>
      </c>
      <c r="E906" s="12" t="inlineStr">
        <is>
          <t>IND/MEL/00905</t>
        </is>
      </c>
      <c r="F906" s="1" t="inlineStr">
        <is>
          <t>M</t>
        </is>
      </c>
      <c r="G906" s="1" t="inlineStr">
        <is>
          <t>Kiran Sindale</t>
        </is>
      </c>
      <c r="H906" s="1" t="inlineStr">
        <is>
          <t>Tara Sindale</t>
        </is>
      </c>
      <c r="I906" s="30" t="n">
        <v>45918</v>
      </c>
      <c r="J906" s="1" t="inlineStr">
        <is>
          <t>62 Birchwood Lane</t>
        </is>
      </c>
      <c r="K906" s="1" t="inlineStr">
        <is>
          <t>Emerald Road</t>
        </is>
      </c>
      <c r="L906" s="1" t="inlineStr">
        <is>
          <t>PIN:334715 SHEPPARTON</t>
        </is>
      </c>
      <c r="M906" s="2" t="inlineStr">
        <is>
          <t>MHA/IND/00909</t>
        </is>
      </c>
      <c r="N906" s="30" t="n">
        <v>45883</v>
      </c>
    </row>
    <row r="907">
      <c r="A907" s="28" t="n">
        <v>906</v>
      </c>
      <c r="B907" s="1" t="inlineStr">
        <is>
          <t>ISHAN KALEON</t>
        </is>
      </c>
      <c r="C907" s="30" t="n">
        <v>45900</v>
      </c>
      <c r="D907" s="1" t="inlineStr">
        <is>
          <t>WODONGA</t>
        </is>
      </c>
      <c r="E907" s="12" t="inlineStr">
        <is>
          <t>IND/MEL/00906</t>
        </is>
      </c>
      <c r="F907" s="1" t="inlineStr">
        <is>
          <t>M</t>
        </is>
      </c>
      <c r="G907" s="1" t="inlineStr">
        <is>
          <t>Dev Sharma</t>
        </is>
      </c>
      <c r="H907" s="1" t="inlineStr">
        <is>
          <t>Riya Sharma</t>
        </is>
      </c>
      <c r="I907" s="30" t="n">
        <v>45984</v>
      </c>
      <c r="J907" s="1" t="inlineStr">
        <is>
          <t>93 Birchwood Lane</t>
        </is>
      </c>
      <c r="K907" s="1" t="inlineStr">
        <is>
          <t>Emerald Road</t>
        </is>
      </c>
      <c r="L907" s="1" t="inlineStr">
        <is>
          <t>PIN:490957 WODONGA</t>
        </is>
      </c>
      <c r="M907" s="2" t="inlineStr">
        <is>
          <t>MHA/IND/00910</t>
        </is>
      </c>
      <c r="N907" s="30" t="n">
        <v>45843</v>
      </c>
    </row>
    <row r="908">
      <c r="A908" s="28" t="n">
        <v>907</v>
      </c>
      <c r="B908" s="1" t="inlineStr">
        <is>
          <t>KIRAN MYRTHOS</t>
        </is>
      </c>
      <c r="C908" s="30" t="n">
        <v>45953</v>
      </c>
      <c r="D908" s="1" t="inlineStr">
        <is>
          <t>PENRITH</t>
        </is>
      </c>
      <c r="E908" s="12" t="inlineStr">
        <is>
          <t>IND/MEL/00907</t>
        </is>
      </c>
      <c r="F908" s="1" t="inlineStr">
        <is>
          <t>F</t>
        </is>
      </c>
      <c r="G908" s="1" t="inlineStr">
        <is>
          <t>Neil Rao</t>
        </is>
      </c>
      <c r="H908" s="1" t="inlineStr">
        <is>
          <t>Mira Rao</t>
        </is>
      </c>
      <c r="I908" s="30" t="n">
        <v>45959</v>
      </c>
      <c r="J908" s="1" t="inlineStr">
        <is>
          <t>159 Birchwood Lane</t>
        </is>
      </c>
      <c r="K908" s="1" t="inlineStr">
        <is>
          <t>Emerald Road</t>
        </is>
      </c>
      <c r="L908" s="1" t="inlineStr">
        <is>
          <t>PIN:895389 PENRITH</t>
        </is>
      </c>
      <c r="M908" s="2" t="inlineStr">
        <is>
          <t>MHA/IND/00911</t>
        </is>
      </c>
      <c r="N908" s="30" t="n">
        <v>45862</v>
      </c>
    </row>
    <row r="909">
      <c r="A909" s="28" t="n">
        <v>908</v>
      </c>
      <c r="B909" s="1" t="inlineStr">
        <is>
          <t>ISHAN MYRTHOS</t>
        </is>
      </c>
      <c r="C909" s="30" t="n">
        <v>45744</v>
      </c>
      <c r="D909" s="1" t="inlineStr">
        <is>
          <t>CANBERRA</t>
        </is>
      </c>
      <c r="E909" s="12" t="inlineStr">
        <is>
          <t>IND/MEL/00908</t>
        </is>
      </c>
      <c r="F909" s="1" t="inlineStr">
        <is>
          <t>M</t>
        </is>
      </c>
      <c r="G909" s="1" t="inlineStr">
        <is>
          <t>Arjun Rao</t>
        </is>
      </c>
      <c r="H909" s="1" t="inlineStr">
        <is>
          <t>Sara Rao</t>
        </is>
      </c>
      <c r="I909" s="30" t="n">
        <v>45788</v>
      </c>
      <c r="J909" s="1" t="inlineStr">
        <is>
          <t>41 Birchwood Lane</t>
        </is>
      </c>
      <c r="K909" s="1" t="inlineStr">
        <is>
          <t>Emerald Road</t>
        </is>
      </c>
      <c r="L909" s="1" t="inlineStr">
        <is>
          <t>PIN:342753 CANBERRA</t>
        </is>
      </c>
      <c r="M909" s="2" t="inlineStr">
        <is>
          <t>MHA/IND/00976</t>
        </is>
      </c>
      <c r="N909" s="30" t="n">
        <v>45844</v>
      </c>
    </row>
    <row r="910">
      <c r="A910" s="28" t="n">
        <v>909</v>
      </c>
      <c r="B910" s="1" t="inlineStr">
        <is>
          <t>AREN SINDALE</t>
        </is>
      </c>
      <c r="C910" s="30" t="n">
        <v>45815</v>
      </c>
      <c r="D910" s="1" t="inlineStr">
        <is>
          <t>BENDIGO</t>
        </is>
      </c>
      <c r="E910" s="12" t="inlineStr">
        <is>
          <t>IND/MEL/00909</t>
        </is>
      </c>
      <c r="F910" s="1" t="inlineStr">
        <is>
          <t>M</t>
        </is>
      </c>
      <c r="G910" s="1" t="inlineStr">
        <is>
          <t>Dev Kaleon</t>
        </is>
      </c>
      <c r="H910" s="1" t="inlineStr">
        <is>
          <t>Tara Kaleon</t>
        </is>
      </c>
      <c r="I910" s="30" t="n">
        <v>45869</v>
      </c>
      <c r="J910" s="1" t="inlineStr">
        <is>
          <t>70 Birchwood Lane</t>
        </is>
      </c>
      <c r="K910" s="1" t="inlineStr">
        <is>
          <t>Emerald Road</t>
        </is>
      </c>
      <c r="L910" s="1" t="inlineStr">
        <is>
          <t>PIN:669525 BENDIGO</t>
        </is>
      </c>
      <c r="M910" s="2" t="inlineStr">
        <is>
          <t>MHA/IND/01001</t>
        </is>
      </c>
      <c r="N910" s="30" t="n">
        <v>45890</v>
      </c>
    </row>
    <row r="911">
      <c r="A911" s="28" t="n">
        <v>910</v>
      </c>
      <c r="B911" s="1" t="inlineStr">
        <is>
          <t>ARJUN SHARMA</t>
        </is>
      </c>
      <c r="C911" s="30" t="n">
        <v>45851</v>
      </c>
      <c r="D911" s="1" t="inlineStr">
        <is>
          <t>WOLLONGONG</t>
        </is>
      </c>
      <c r="E911" s="12" t="inlineStr">
        <is>
          <t>IND/MEL/00910</t>
        </is>
      </c>
      <c r="F911" s="1" t="inlineStr">
        <is>
          <t>F</t>
        </is>
      </c>
      <c r="G911" s="1" t="inlineStr">
        <is>
          <t>Rohit Sindale</t>
        </is>
      </c>
      <c r="H911" s="1" t="inlineStr">
        <is>
          <t>Nina Sindale</t>
        </is>
      </c>
      <c r="I911" s="30" t="n">
        <v>45889</v>
      </c>
      <c r="J911" s="1" t="inlineStr">
        <is>
          <t>71 Birchwood Lane</t>
        </is>
      </c>
      <c r="K911" s="1" t="inlineStr">
        <is>
          <t>Emerald Road</t>
        </is>
      </c>
      <c r="L911" s="1" t="inlineStr">
        <is>
          <t>PIN:806096 WOLLONGONG</t>
        </is>
      </c>
      <c r="M911" s="2" t="inlineStr">
        <is>
          <t>MHA/IND/01002</t>
        </is>
      </c>
      <c r="N911" s="30" t="n">
        <v>45846</v>
      </c>
    </row>
    <row r="912">
      <c r="A912" s="28" t="n">
        <v>911</v>
      </c>
      <c r="B912" s="1" t="inlineStr">
        <is>
          <t>ALYA RAO</t>
        </is>
      </c>
      <c r="C912" s="30" t="n">
        <v>45825</v>
      </c>
      <c r="D912" s="1" t="inlineStr">
        <is>
          <t>DALBY</t>
        </is>
      </c>
      <c r="E912" s="12" t="inlineStr">
        <is>
          <t>IND/MEL/00911</t>
        </is>
      </c>
      <c r="F912" s="1" t="inlineStr">
        <is>
          <t>F</t>
        </is>
      </c>
      <c r="G912" s="1" t="inlineStr">
        <is>
          <t>Kabir Kaleon</t>
        </is>
      </c>
      <c r="H912" s="1" t="inlineStr">
        <is>
          <t>Alya Kaleon</t>
        </is>
      </c>
      <c r="I912" s="30" t="n">
        <v>45844</v>
      </c>
      <c r="J912" s="1" t="inlineStr">
        <is>
          <t>123 Birchwood Lane</t>
        </is>
      </c>
      <c r="K912" s="1" t="inlineStr">
        <is>
          <t>Emerald Road</t>
        </is>
      </c>
      <c r="L912" s="1" t="inlineStr">
        <is>
          <t>PIN:836079 DALBY</t>
        </is>
      </c>
      <c r="M912" s="2" t="inlineStr">
        <is>
          <t>MHA/IND/01003</t>
        </is>
      </c>
      <c r="N912" s="30" t="n">
        <v>45845</v>
      </c>
    </row>
    <row r="913">
      <c r="A913" s="28" t="n">
        <v>912</v>
      </c>
      <c r="B913" s="1" t="inlineStr">
        <is>
          <t>DIYA KALEON</t>
        </is>
      </c>
      <c r="C913" s="30" t="n">
        <v>45685</v>
      </c>
      <c r="D913" s="1" t="inlineStr">
        <is>
          <t>CLAYTON</t>
        </is>
      </c>
      <c r="E913" s="12" t="inlineStr">
        <is>
          <t>IND/MEL/00912</t>
        </is>
      </c>
      <c r="F913" s="1" t="inlineStr">
        <is>
          <t>M</t>
        </is>
      </c>
      <c r="G913" s="1" t="inlineStr">
        <is>
          <t>Kabir Myrthos</t>
        </is>
      </c>
      <c r="H913" s="1" t="inlineStr">
        <is>
          <t>Mira Myrthos</t>
        </is>
      </c>
      <c r="I913" s="30" t="n">
        <v>45709</v>
      </c>
      <c r="J913" s="1" t="inlineStr">
        <is>
          <t>106 Birchwood Lane</t>
        </is>
      </c>
      <c r="K913" s="1" t="inlineStr">
        <is>
          <t>Emerald Road</t>
        </is>
      </c>
      <c r="L913" s="1" t="inlineStr">
        <is>
          <t>PIN:528267 CLAYTON</t>
        </is>
      </c>
      <c r="M913" s="2" t="inlineStr">
        <is>
          <t>MHA/IND/01004</t>
        </is>
      </c>
      <c r="N913" s="30" t="n">
        <v>45898</v>
      </c>
    </row>
    <row r="914">
      <c r="A914" s="28" t="n">
        <v>913</v>
      </c>
      <c r="B914" s="1" t="inlineStr">
        <is>
          <t>ANYA RAO</t>
        </is>
      </c>
      <c r="C914" s="30" t="n">
        <v>45841</v>
      </c>
      <c r="D914" s="1" t="inlineStr">
        <is>
          <t>MANDURAH</t>
        </is>
      </c>
      <c r="E914" s="12" t="inlineStr">
        <is>
          <t>IND/MEL/00913</t>
        </is>
      </c>
      <c r="F914" s="1" t="inlineStr">
        <is>
          <t>F</t>
        </is>
      </c>
      <c r="G914" s="1" t="inlineStr">
        <is>
          <t>Dev Sindale</t>
        </is>
      </c>
      <c r="H914" s="1" t="inlineStr">
        <is>
          <t>Nina Sindale</t>
        </is>
      </c>
      <c r="I914" s="30" t="n">
        <v>45884</v>
      </c>
      <c r="J914" s="1" t="inlineStr">
        <is>
          <t>163 Birchwood Lane</t>
        </is>
      </c>
      <c r="K914" s="1" t="inlineStr">
        <is>
          <t>Emerald Road</t>
        </is>
      </c>
      <c r="L914" s="1" t="inlineStr">
        <is>
          <t>PIN:587920 MANDURAH</t>
        </is>
      </c>
      <c r="M914" s="2" t="inlineStr">
        <is>
          <t>MHA/IND/01005</t>
        </is>
      </c>
      <c r="N914" s="30" t="n">
        <v>45877</v>
      </c>
    </row>
    <row r="915">
      <c r="A915" s="28" t="n">
        <v>914</v>
      </c>
      <c r="B915" s="1" t="inlineStr">
        <is>
          <t>NINA KALEON</t>
        </is>
      </c>
      <c r="C915" s="30" t="n">
        <v>45815</v>
      </c>
      <c r="D915" s="1" t="inlineStr">
        <is>
          <t>BUNDOORA</t>
        </is>
      </c>
      <c r="E915" s="12" t="inlineStr">
        <is>
          <t>IND/MEL/00914</t>
        </is>
      </c>
      <c r="F915" s="1" t="inlineStr">
        <is>
          <t>F</t>
        </is>
      </c>
      <c r="G915" s="1" t="inlineStr">
        <is>
          <t>Kiran Rao</t>
        </is>
      </c>
      <c r="H915" s="1" t="inlineStr">
        <is>
          <t>Tara Rao</t>
        </is>
      </c>
      <c r="I915" s="30" t="n">
        <v>45833</v>
      </c>
      <c r="J915" s="1" t="inlineStr">
        <is>
          <t>166 Birchwood Lane</t>
        </is>
      </c>
      <c r="K915" s="1" t="inlineStr">
        <is>
          <t>Emerald Road</t>
        </is>
      </c>
      <c r="L915" s="1" t="inlineStr">
        <is>
          <t>PIN:443245 BUNDOORA</t>
        </is>
      </c>
      <c r="M915" s="2" t="inlineStr">
        <is>
          <t>MHA/IND/01006</t>
        </is>
      </c>
      <c r="N915" s="30" t="n">
        <v>45872</v>
      </c>
    </row>
    <row r="916">
      <c r="A916" s="28" t="n">
        <v>915</v>
      </c>
      <c r="B916" s="1" t="inlineStr">
        <is>
          <t>ANYA MYRTHOS</t>
        </is>
      </c>
      <c r="C916" s="30" t="n">
        <v>45803</v>
      </c>
      <c r="D916" s="1" t="inlineStr">
        <is>
          <t>BRISBANE</t>
        </is>
      </c>
      <c r="E916" s="12" t="inlineStr">
        <is>
          <t>IND/MEL/00915</t>
        </is>
      </c>
      <c r="F916" s="1" t="inlineStr">
        <is>
          <t>F</t>
        </is>
      </c>
      <c r="G916" s="1" t="inlineStr">
        <is>
          <t>Rohit Rishkan</t>
        </is>
      </c>
      <c r="H916" s="1" t="inlineStr">
        <is>
          <t>Sara Rishkan</t>
        </is>
      </c>
      <c r="I916" s="30" t="n">
        <v>45882</v>
      </c>
      <c r="J916" s="1" t="inlineStr">
        <is>
          <t>130 Birchwood Lane</t>
        </is>
      </c>
      <c r="K916" s="1" t="inlineStr">
        <is>
          <t>Emerald Road</t>
        </is>
      </c>
      <c r="L916" s="1" t="inlineStr">
        <is>
          <t>PIN:854044 BRISBANE</t>
        </is>
      </c>
      <c r="M916" s="2" t="inlineStr">
        <is>
          <t>MHA/IND/01007</t>
        </is>
      </c>
      <c r="N916" s="30" t="n">
        <v>45840</v>
      </c>
    </row>
    <row r="917">
      <c r="A917" s="28" t="n">
        <v>916</v>
      </c>
      <c r="B917" s="1" t="inlineStr">
        <is>
          <t>ANYA KALEON</t>
        </is>
      </c>
      <c r="C917" s="30" t="n">
        <v>45729</v>
      </c>
      <c r="D917" s="1" t="inlineStr">
        <is>
          <t>BERWICK</t>
        </is>
      </c>
      <c r="E917" s="12" t="inlineStr">
        <is>
          <t>IND/MEL/00916</t>
        </is>
      </c>
      <c r="F917" s="1" t="inlineStr">
        <is>
          <t>M</t>
        </is>
      </c>
      <c r="G917" s="1" t="inlineStr">
        <is>
          <t>Neil Sindale</t>
        </is>
      </c>
      <c r="H917" s="1" t="inlineStr">
        <is>
          <t>Riya Sindale</t>
        </is>
      </c>
      <c r="I917" s="30" t="n">
        <v>45792</v>
      </c>
      <c r="J917" s="1" t="inlineStr">
        <is>
          <t>90 Birchwood Lane</t>
        </is>
      </c>
      <c r="K917" s="1" t="inlineStr">
        <is>
          <t>Emerald Road</t>
        </is>
      </c>
      <c r="L917" s="1" t="inlineStr">
        <is>
          <t>PIN:146112 BERWICK</t>
        </is>
      </c>
      <c r="M917" s="2" t="inlineStr">
        <is>
          <t>MHA/IND/01008</t>
        </is>
      </c>
      <c r="N917" s="30" t="n">
        <v>45858</v>
      </c>
    </row>
    <row r="918">
      <c r="A918" s="28" t="n">
        <v>917</v>
      </c>
      <c r="B918" s="1" t="inlineStr">
        <is>
          <t>RIYA MYRTHOS</t>
        </is>
      </c>
      <c r="C918" s="30" t="n">
        <v>45794</v>
      </c>
      <c r="D918" s="1" t="inlineStr">
        <is>
          <t>GOSFORD</t>
        </is>
      </c>
      <c r="E918" s="12" t="inlineStr">
        <is>
          <t>IND/MEL/00917</t>
        </is>
      </c>
      <c r="F918" s="1" t="inlineStr">
        <is>
          <t>F</t>
        </is>
      </c>
      <c r="G918" s="1" t="inlineStr">
        <is>
          <t>Kiran Sharma</t>
        </is>
      </c>
      <c r="H918" s="1" t="inlineStr">
        <is>
          <t>Diya Sharma</t>
        </is>
      </c>
      <c r="I918" s="30" t="n">
        <v>45856</v>
      </c>
      <c r="J918" s="1" t="inlineStr">
        <is>
          <t>187 Birchwood Lane</t>
        </is>
      </c>
      <c r="K918" s="1" t="inlineStr">
        <is>
          <t>Emerald Road</t>
        </is>
      </c>
      <c r="L918" s="1" t="inlineStr">
        <is>
          <t>PIN:116116 GOSFORD</t>
        </is>
      </c>
      <c r="M918" s="2" t="inlineStr">
        <is>
          <t>MHA/IND/01009</t>
        </is>
      </c>
      <c r="N918" s="30" t="n">
        <v>45859</v>
      </c>
    </row>
    <row r="919">
      <c r="A919" s="28" t="n">
        <v>918</v>
      </c>
      <c r="B919" s="1" t="inlineStr">
        <is>
          <t>NEIL KALEON</t>
        </is>
      </c>
      <c r="C919" s="30" t="n">
        <v>45942</v>
      </c>
      <c r="D919" s="1" t="inlineStr">
        <is>
          <t>ARMADALE</t>
        </is>
      </c>
      <c r="E919" s="12" t="inlineStr">
        <is>
          <t>IND/MEL/00918</t>
        </is>
      </c>
      <c r="F919" s="1" t="inlineStr">
        <is>
          <t>F</t>
        </is>
      </c>
      <c r="G919" s="1" t="inlineStr">
        <is>
          <t>Rohit Kaleon</t>
        </is>
      </c>
      <c r="H919" s="1" t="inlineStr">
        <is>
          <t>Tara Kaleon</t>
        </is>
      </c>
      <c r="I919" s="30" t="n">
        <v>45968</v>
      </c>
      <c r="J919" s="1" t="inlineStr">
        <is>
          <t>146 Birchwood Lane</t>
        </is>
      </c>
      <c r="K919" s="1" t="inlineStr">
        <is>
          <t>Emerald Road</t>
        </is>
      </c>
      <c r="L919" s="1" t="inlineStr">
        <is>
          <t>PIN:698609 ARMADALE</t>
        </is>
      </c>
      <c r="M919" s="2" t="inlineStr">
        <is>
          <t>MHA/IND/01010</t>
        </is>
      </c>
      <c r="N919" s="30" t="n">
        <v>45846</v>
      </c>
    </row>
    <row r="920">
      <c r="A920" s="28" t="n">
        <v>919</v>
      </c>
      <c r="B920" s="1" t="inlineStr">
        <is>
          <t>KABIR SHARMA</t>
        </is>
      </c>
      <c r="C920" s="30" t="n">
        <v>45910</v>
      </c>
      <c r="D920" s="1" t="inlineStr">
        <is>
          <t>PARKVILLE</t>
        </is>
      </c>
      <c r="E920" s="12" t="inlineStr">
        <is>
          <t>IND/MEL/00919</t>
        </is>
      </c>
      <c r="F920" s="1" t="inlineStr">
        <is>
          <t>F</t>
        </is>
      </c>
      <c r="G920" s="1" t="inlineStr">
        <is>
          <t>Ishan Kaleon</t>
        </is>
      </c>
      <c r="H920" s="1" t="inlineStr">
        <is>
          <t>Nina Kaleon</t>
        </is>
      </c>
      <c r="I920" s="30" t="n">
        <v>45999</v>
      </c>
      <c r="J920" s="1" t="inlineStr">
        <is>
          <t>94 Birchwood Lane</t>
        </is>
      </c>
      <c r="K920" s="1" t="inlineStr">
        <is>
          <t>Emerald Road</t>
        </is>
      </c>
      <c r="L920" s="1" t="inlineStr">
        <is>
          <t>PIN:243403 PARKVILLE</t>
        </is>
      </c>
      <c r="M920" s="2" t="inlineStr">
        <is>
          <t>MHA/IND/01011</t>
        </is>
      </c>
      <c r="N920" s="30" t="n">
        <v>45896</v>
      </c>
    </row>
    <row r="921">
      <c r="A921" s="28" t="n">
        <v>920</v>
      </c>
      <c r="B921" s="1" t="inlineStr">
        <is>
          <t>ANYA RISHKAN</t>
        </is>
      </c>
      <c r="C921" s="30" t="n">
        <v>45912</v>
      </c>
      <c r="D921" s="1" t="inlineStr">
        <is>
          <t>LIVERPOOL</t>
        </is>
      </c>
      <c r="E921" s="12" t="inlineStr">
        <is>
          <t>IND/MEL/00920</t>
        </is>
      </c>
      <c r="F921" s="1" t="inlineStr">
        <is>
          <t>F</t>
        </is>
      </c>
      <c r="G921" s="1" t="inlineStr">
        <is>
          <t>Rohit Myrthos</t>
        </is>
      </c>
      <c r="H921" s="1" t="inlineStr">
        <is>
          <t>Mira Myrthos</t>
        </is>
      </c>
      <c r="I921" s="30" t="n">
        <v>45979</v>
      </c>
      <c r="J921" s="1" t="inlineStr">
        <is>
          <t>61 Birchwood Lane</t>
        </is>
      </c>
      <c r="K921" s="1" t="inlineStr">
        <is>
          <t>Emerald Road</t>
        </is>
      </c>
      <c r="L921" s="1" t="inlineStr">
        <is>
          <t>PIN:333036 LIVERPOOL</t>
        </is>
      </c>
      <c r="M921" s="2" t="inlineStr">
        <is>
          <t>MHA/IND/01012</t>
        </is>
      </c>
      <c r="N921" s="30" t="n">
        <v>45848</v>
      </c>
    </row>
    <row r="922">
      <c r="A922" s="28" t="n">
        <v>921</v>
      </c>
      <c r="B922" s="1" t="inlineStr">
        <is>
          <t>ISHAN RAO</t>
        </is>
      </c>
      <c r="C922" s="30" t="n">
        <v>45743</v>
      </c>
      <c r="D922" s="1" t="inlineStr">
        <is>
          <t>BEDFORD PARK</t>
        </is>
      </c>
      <c r="E922" s="12" t="inlineStr">
        <is>
          <t>IND/MEL/00921</t>
        </is>
      </c>
      <c r="F922" s="1" t="inlineStr">
        <is>
          <t>M</t>
        </is>
      </c>
      <c r="G922" s="1" t="inlineStr">
        <is>
          <t>Aren Valzari</t>
        </is>
      </c>
      <c r="H922" s="1" t="inlineStr">
        <is>
          <t>Riya Valzari</t>
        </is>
      </c>
      <c r="I922" s="30" t="n">
        <v>45808</v>
      </c>
      <c r="J922" s="1" t="inlineStr">
        <is>
          <t>69 Birchwood Lane</t>
        </is>
      </c>
      <c r="K922" s="1" t="inlineStr">
        <is>
          <t>Emerald Road</t>
        </is>
      </c>
      <c r="L922" s="1" t="inlineStr">
        <is>
          <t>PIN:974106 BEDFORD PARK</t>
        </is>
      </c>
      <c r="M922" s="2" t="inlineStr">
        <is>
          <t>MHA/IND/01013</t>
        </is>
      </c>
      <c r="N922" s="30" t="n">
        <v>45884</v>
      </c>
    </row>
    <row r="923">
      <c r="A923" s="28" t="n">
        <v>922</v>
      </c>
      <c r="B923" s="1" t="inlineStr">
        <is>
          <t>DIYA SHARMA</t>
        </is>
      </c>
      <c r="C923" s="30" t="n">
        <v>45749</v>
      </c>
      <c r="D923" s="1" t="inlineStr">
        <is>
          <t>WODONGA</t>
        </is>
      </c>
      <c r="E923" s="12" t="inlineStr">
        <is>
          <t>IND/MEL/00922</t>
        </is>
      </c>
      <c r="F923" s="1" t="inlineStr">
        <is>
          <t>M</t>
        </is>
      </c>
      <c r="G923" s="1" t="inlineStr">
        <is>
          <t>Rohit Valzari</t>
        </is>
      </c>
      <c r="H923" s="1" t="inlineStr">
        <is>
          <t>Alya Valzari</t>
        </is>
      </c>
      <c r="I923" s="30" t="n">
        <v>45786</v>
      </c>
      <c r="J923" s="1" t="inlineStr">
        <is>
          <t>130 Birchwood Lane</t>
        </is>
      </c>
      <c r="K923" s="1" t="inlineStr">
        <is>
          <t>Emerald Road</t>
        </is>
      </c>
      <c r="L923" s="1" t="inlineStr">
        <is>
          <t>PIN:903256 WODONGA</t>
        </is>
      </c>
      <c r="M923" s="2" t="inlineStr">
        <is>
          <t>MHA/IND/01014</t>
        </is>
      </c>
      <c r="N923" s="30" t="n">
        <v>45872</v>
      </c>
    </row>
    <row r="924">
      <c r="A924" s="28" t="n">
        <v>923</v>
      </c>
      <c r="B924" s="1" t="inlineStr">
        <is>
          <t>SARA KALEON</t>
        </is>
      </c>
      <c r="C924" s="30" t="n">
        <v>45800</v>
      </c>
      <c r="D924" s="1" t="inlineStr">
        <is>
          <t>FRANKSTON</t>
        </is>
      </c>
      <c r="E924" s="12" t="inlineStr">
        <is>
          <t>IND/MEL/00923</t>
        </is>
      </c>
      <c r="F924" s="1" t="inlineStr">
        <is>
          <t>M</t>
        </is>
      </c>
      <c r="G924" s="1" t="inlineStr">
        <is>
          <t>Aren Sindale</t>
        </is>
      </c>
      <c r="H924" s="1" t="inlineStr">
        <is>
          <t>Riya Sindale</t>
        </is>
      </c>
      <c r="I924" s="30" t="n">
        <v>45873</v>
      </c>
      <c r="J924" s="1" t="inlineStr">
        <is>
          <t>161 Birchwood Lane</t>
        </is>
      </c>
      <c r="K924" s="1" t="inlineStr">
        <is>
          <t>Emerald Road</t>
        </is>
      </c>
      <c r="L924" s="1" t="inlineStr">
        <is>
          <t>PIN:724180 FRANKSTON</t>
        </is>
      </c>
      <c r="M924" s="2" t="inlineStr">
        <is>
          <t>MHA/IND/01015</t>
        </is>
      </c>
      <c r="N924" s="30" t="n">
        <v>45841</v>
      </c>
    </row>
    <row r="925">
      <c r="A925" s="28" t="n">
        <v>924</v>
      </c>
      <c r="B925" s="1" t="inlineStr">
        <is>
          <t>KABIR RAO</t>
        </is>
      </c>
      <c r="C925" s="30" t="n">
        <v>45819</v>
      </c>
      <c r="D925" s="1" t="inlineStr">
        <is>
          <t>TUGGERANONG</t>
        </is>
      </c>
      <c r="E925" s="12" t="inlineStr">
        <is>
          <t>IND/MEL/00924</t>
        </is>
      </c>
      <c r="F925" s="1" t="inlineStr">
        <is>
          <t>M</t>
        </is>
      </c>
      <c r="G925" s="1" t="inlineStr">
        <is>
          <t>Dev Sharma</t>
        </is>
      </c>
      <c r="H925" s="1" t="inlineStr">
        <is>
          <t>Nina Sharma</t>
        </is>
      </c>
      <c r="I925" s="30" t="n">
        <v>45937</v>
      </c>
      <c r="J925" s="1" t="inlineStr">
        <is>
          <t>29 Birchwood Lane</t>
        </is>
      </c>
      <c r="K925" s="1" t="inlineStr">
        <is>
          <t>Emerald Road</t>
        </is>
      </c>
      <c r="L925" s="1" t="inlineStr">
        <is>
          <t>PIN:696956 TUGGERANONG</t>
        </is>
      </c>
      <c r="M925" s="2" t="inlineStr">
        <is>
          <t>MHA/IND/01016</t>
        </is>
      </c>
      <c r="N925" s="30" t="n">
        <v>45845</v>
      </c>
    </row>
    <row r="926">
      <c r="A926" s="28" t="n">
        <v>925</v>
      </c>
      <c r="B926" s="1" t="inlineStr">
        <is>
          <t>NEIL SHARMA</t>
        </is>
      </c>
      <c r="C926" s="30" t="n">
        <v>45778</v>
      </c>
      <c r="D926" s="1" t="inlineStr">
        <is>
          <t>LAUNCESTON</t>
        </is>
      </c>
      <c r="E926" s="12" t="inlineStr">
        <is>
          <t>IND/MEL/00925</t>
        </is>
      </c>
      <c r="F926" s="1" t="inlineStr">
        <is>
          <t>F</t>
        </is>
      </c>
      <c r="G926" s="1" t="inlineStr">
        <is>
          <t>Rohit Sharma</t>
        </is>
      </c>
      <c r="H926" s="1" t="inlineStr">
        <is>
          <t>Mira Sharma</t>
        </is>
      </c>
      <c r="I926" s="30" t="n">
        <v>45790</v>
      </c>
      <c r="J926" s="1" t="inlineStr">
        <is>
          <t>193 Birchwood Lane</t>
        </is>
      </c>
      <c r="K926" s="1" t="inlineStr">
        <is>
          <t>Emerald Road</t>
        </is>
      </c>
      <c r="L926" s="1" t="inlineStr">
        <is>
          <t>PIN:866652 LAUNCESTON</t>
        </is>
      </c>
      <c r="M926" s="2" t="inlineStr">
        <is>
          <t>MHA/IND/01017</t>
        </is>
      </c>
      <c r="N926" s="30" t="n">
        <v>45876</v>
      </c>
    </row>
    <row r="927">
      <c r="A927" s="28" t="n">
        <v>926</v>
      </c>
      <c r="B927" s="1" t="inlineStr">
        <is>
          <t>NINA RAO</t>
        </is>
      </c>
      <c r="C927" s="30" t="n">
        <v>45735</v>
      </c>
      <c r="D927" s="1" t="inlineStr">
        <is>
          <t>NORTH ADELAIDE</t>
        </is>
      </c>
      <c r="E927" s="12" t="inlineStr">
        <is>
          <t>IND/MEL/00926</t>
        </is>
      </c>
      <c r="F927" s="1" t="inlineStr">
        <is>
          <t>F</t>
        </is>
      </c>
      <c r="G927" s="1" t="inlineStr">
        <is>
          <t>Rohit Kaleon</t>
        </is>
      </c>
      <c r="H927" s="1" t="inlineStr">
        <is>
          <t>Anya Kaleon</t>
        </is>
      </c>
      <c r="I927" s="30" t="n">
        <v>45767</v>
      </c>
      <c r="J927" s="1" t="inlineStr">
        <is>
          <t>141 Birchwood Lane</t>
        </is>
      </c>
      <c r="K927" s="1" t="inlineStr">
        <is>
          <t>Emerald Road</t>
        </is>
      </c>
      <c r="L927" s="1" t="inlineStr">
        <is>
          <t>PIN:277862 NORTH ADELAIDE</t>
        </is>
      </c>
      <c r="M927" s="2" t="inlineStr">
        <is>
          <t>MHA/IND/01018</t>
        </is>
      </c>
      <c r="N927" s="30" t="n">
        <v>45890</v>
      </c>
    </row>
    <row r="928">
      <c r="A928" s="28" t="n">
        <v>927</v>
      </c>
      <c r="B928" s="1" t="inlineStr">
        <is>
          <t>ANYA VALZARI</t>
        </is>
      </c>
      <c r="C928" s="30" t="n">
        <v>45865</v>
      </c>
      <c r="D928" s="1" t="inlineStr">
        <is>
          <t>TUGGERANONG</t>
        </is>
      </c>
      <c r="E928" s="12" t="inlineStr">
        <is>
          <t>IND/MEL/00927</t>
        </is>
      </c>
      <c r="F928" s="1" t="inlineStr">
        <is>
          <t>F</t>
        </is>
      </c>
      <c r="G928" s="1" t="inlineStr">
        <is>
          <t>Neil Rishkan</t>
        </is>
      </c>
      <c r="H928" s="1" t="inlineStr">
        <is>
          <t>Alya Rishkan</t>
        </is>
      </c>
      <c r="I928" s="30" t="n">
        <v>45873</v>
      </c>
      <c r="J928" s="1" t="inlineStr">
        <is>
          <t>57 Birchwood Lane</t>
        </is>
      </c>
      <c r="K928" s="1" t="inlineStr">
        <is>
          <t>Emerald Road</t>
        </is>
      </c>
      <c r="L928" s="1" t="inlineStr">
        <is>
          <t>PIN:771839 TUGGERANONG</t>
        </is>
      </c>
      <c r="M928" s="2" t="inlineStr">
        <is>
          <t>MHA/IND/01019</t>
        </is>
      </c>
      <c r="N928" s="30" t="n">
        <v>45898</v>
      </c>
    </row>
    <row r="929">
      <c r="A929" s="28" t="n">
        <v>928</v>
      </c>
      <c r="B929" s="1" t="inlineStr">
        <is>
          <t>NINA RISHKAN</t>
        </is>
      </c>
      <c r="C929" s="30" t="n">
        <v>45874</v>
      </c>
      <c r="D929" s="1" t="inlineStr">
        <is>
          <t>LIVERPOOL</t>
        </is>
      </c>
      <c r="E929" s="12" t="inlineStr">
        <is>
          <t>IND/MEL/00928</t>
        </is>
      </c>
      <c r="F929" s="1" t="inlineStr">
        <is>
          <t>F</t>
        </is>
      </c>
      <c r="G929" s="1" t="inlineStr">
        <is>
          <t>Dev Sharma</t>
        </is>
      </c>
      <c r="H929" s="1" t="inlineStr">
        <is>
          <t>Anya Sharma</t>
        </is>
      </c>
      <c r="I929" s="30" t="n">
        <v>45926</v>
      </c>
      <c r="J929" s="1" t="inlineStr">
        <is>
          <t>65 Birchwood Lane</t>
        </is>
      </c>
      <c r="K929" s="1" t="inlineStr">
        <is>
          <t>Emerald Road</t>
        </is>
      </c>
      <c r="L929" s="1" t="inlineStr">
        <is>
          <t>PIN:587081 LIVERPOOL</t>
        </is>
      </c>
      <c r="M929" s="2" t="inlineStr">
        <is>
          <t>MHA/IND/01020</t>
        </is>
      </c>
      <c r="N929" s="30" t="n">
        <v>45866</v>
      </c>
    </row>
    <row r="930">
      <c r="A930" s="28" t="n">
        <v>929</v>
      </c>
      <c r="B930" s="1" t="inlineStr">
        <is>
          <t>MIRA KALEON</t>
        </is>
      </c>
      <c r="C930" s="30" t="n">
        <v>45670</v>
      </c>
      <c r="D930" s="1" t="inlineStr">
        <is>
          <t>BALLARAT CENTRAL</t>
        </is>
      </c>
      <c r="E930" s="12" t="inlineStr">
        <is>
          <t>IND/MEL/00929</t>
        </is>
      </c>
      <c r="F930" s="1" t="inlineStr">
        <is>
          <t>F</t>
        </is>
      </c>
      <c r="G930" s="1" t="inlineStr">
        <is>
          <t>Aren Valzari</t>
        </is>
      </c>
      <c r="H930" s="1" t="inlineStr">
        <is>
          <t>Anya Valzari</t>
        </is>
      </c>
      <c r="I930" s="30" t="n">
        <v>45679</v>
      </c>
      <c r="J930" s="1" t="inlineStr">
        <is>
          <t>74 Birchwood Lane</t>
        </is>
      </c>
      <c r="K930" s="1" t="inlineStr">
        <is>
          <t>Emerald Road</t>
        </is>
      </c>
      <c r="L930" s="1" t="inlineStr">
        <is>
          <t>PIN:832571 BALLARAT CENTRAL</t>
        </is>
      </c>
      <c r="M930" s="2" t="inlineStr">
        <is>
          <t>MHA/IND/01021</t>
        </is>
      </c>
      <c r="N930" s="30" t="n">
        <v>45897</v>
      </c>
    </row>
    <row r="931">
      <c r="A931" s="28" t="n">
        <v>930</v>
      </c>
      <c r="B931" s="1" t="inlineStr">
        <is>
          <t>ROHIT MYRTHOS</t>
        </is>
      </c>
      <c r="C931" s="30" t="n">
        <v>45874</v>
      </c>
      <c r="D931" s="1" t="inlineStr">
        <is>
          <t>FREMANTLE</t>
        </is>
      </c>
      <c r="E931" s="12" t="inlineStr">
        <is>
          <t>IND/MEL/00930</t>
        </is>
      </c>
      <c r="F931" s="1" t="inlineStr">
        <is>
          <t>M</t>
        </is>
      </c>
      <c r="G931" s="1" t="inlineStr">
        <is>
          <t>Ishan Sindale</t>
        </is>
      </c>
      <c r="H931" s="1" t="inlineStr">
        <is>
          <t>Nina Sindale</t>
        </is>
      </c>
      <c r="I931" s="30" t="n">
        <v>45982</v>
      </c>
      <c r="J931" s="1" t="inlineStr">
        <is>
          <t>26 Birchwood Lane</t>
        </is>
      </c>
      <c r="K931" s="1" t="inlineStr">
        <is>
          <t>Emerald Road</t>
        </is>
      </c>
      <c r="L931" s="1" t="inlineStr">
        <is>
          <t>PIN:919321 FREMANTLE</t>
        </is>
      </c>
      <c r="M931" s="2" t="inlineStr">
        <is>
          <t>MHA/IND/01022</t>
        </is>
      </c>
      <c r="N931" s="30" t="n">
        <v>45885</v>
      </c>
    </row>
    <row r="932">
      <c r="A932" s="28" t="n">
        <v>931</v>
      </c>
      <c r="B932" s="1" t="inlineStr">
        <is>
          <t>ISHAN SHARMA</t>
        </is>
      </c>
      <c r="C932" s="30" t="n">
        <v>45783</v>
      </c>
      <c r="D932" s="1" t="inlineStr">
        <is>
          <t>IPSWICH</t>
        </is>
      </c>
      <c r="E932" s="12" t="inlineStr">
        <is>
          <t>IND/MEL/00931</t>
        </is>
      </c>
      <c r="F932" s="1" t="inlineStr">
        <is>
          <t>F</t>
        </is>
      </c>
      <c r="G932" s="1" t="inlineStr">
        <is>
          <t>Rohit Kaleon</t>
        </is>
      </c>
      <c r="H932" s="1" t="inlineStr">
        <is>
          <t>Tara Kaleon</t>
        </is>
      </c>
      <c r="I932" s="30" t="n">
        <v>45863</v>
      </c>
      <c r="J932" s="1" t="inlineStr">
        <is>
          <t>109 Birchwood Lane</t>
        </is>
      </c>
      <c r="K932" s="1" t="inlineStr">
        <is>
          <t>Emerald Road</t>
        </is>
      </c>
      <c r="L932" s="1" t="inlineStr">
        <is>
          <t>PIN:713260 IPSWICH</t>
        </is>
      </c>
      <c r="M932" s="2" t="inlineStr">
        <is>
          <t>MHA/IND/01023</t>
        </is>
      </c>
      <c r="N932" s="30" t="n">
        <v>45868</v>
      </c>
    </row>
    <row r="933">
      <c r="A933" s="28" t="n">
        <v>932</v>
      </c>
      <c r="B933" s="1" t="inlineStr">
        <is>
          <t>DEV VALZARI</t>
        </is>
      </c>
      <c r="C933" s="30" t="n">
        <v>45945</v>
      </c>
      <c r="D933" s="1" t="inlineStr">
        <is>
          <t>MILDURA</t>
        </is>
      </c>
      <c r="E933" s="12" t="inlineStr">
        <is>
          <t>IND/MEL/00932</t>
        </is>
      </c>
      <c r="F933" s="1" t="inlineStr">
        <is>
          <t>M</t>
        </is>
      </c>
      <c r="G933" s="1" t="inlineStr">
        <is>
          <t>Ishan Sharma</t>
        </is>
      </c>
      <c r="H933" s="1" t="inlineStr">
        <is>
          <t>Riya Sharma</t>
        </is>
      </c>
      <c r="I933" s="30" t="n">
        <v>45955</v>
      </c>
      <c r="J933" s="1" t="inlineStr">
        <is>
          <t>21 Birchwood Lane</t>
        </is>
      </c>
      <c r="K933" s="1" t="inlineStr">
        <is>
          <t>Emerald Road</t>
        </is>
      </c>
      <c r="L933" s="1" t="inlineStr">
        <is>
          <t>PIN:384008 MILDURA</t>
        </is>
      </c>
      <c r="M933" s="2" t="inlineStr">
        <is>
          <t>MHA/IND/01024</t>
        </is>
      </c>
      <c r="N933" s="30" t="n">
        <v>45858</v>
      </c>
    </row>
    <row r="934">
      <c r="A934" s="28" t="n">
        <v>933</v>
      </c>
      <c r="B934" s="1" t="inlineStr">
        <is>
          <t>ANYA RAO</t>
        </is>
      </c>
      <c r="C934" s="30" t="n">
        <v>45679</v>
      </c>
      <c r="D934" s="1" t="inlineStr">
        <is>
          <t>ST ALBANS</t>
        </is>
      </c>
      <c r="E934" s="12" t="inlineStr">
        <is>
          <t>IND/MEL/00933</t>
        </is>
      </c>
      <c r="F934" s="1" t="inlineStr">
        <is>
          <t>F</t>
        </is>
      </c>
      <c r="G934" s="1" t="inlineStr">
        <is>
          <t>Neil Rao</t>
        </is>
      </c>
      <c r="H934" s="1" t="inlineStr">
        <is>
          <t>Tara Rao</t>
        </is>
      </c>
      <c r="I934" s="30" t="n">
        <v>45704</v>
      </c>
      <c r="J934" s="1" t="inlineStr">
        <is>
          <t>198 Birchwood Lane</t>
        </is>
      </c>
      <c r="K934" s="1" t="inlineStr">
        <is>
          <t>Emerald Road</t>
        </is>
      </c>
      <c r="L934" s="1" t="inlineStr">
        <is>
          <t>PIN:435572 ST ALBANS</t>
        </is>
      </c>
      <c r="M934" s="2" t="inlineStr">
        <is>
          <t>MHA/IND/01025</t>
        </is>
      </c>
      <c r="N934" s="30" t="n">
        <v>45852</v>
      </c>
    </row>
    <row r="935">
      <c r="A935" s="28" t="n">
        <v>934</v>
      </c>
      <c r="B935" s="1" t="inlineStr">
        <is>
          <t>ROHIT VALZARI</t>
        </is>
      </c>
      <c r="C935" s="30" t="n">
        <v>45928</v>
      </c>
      <c r="D935" s="1" t="inlineStr">
        <is>
          <t>BENDIGO</t>
        </is>
      </c>
      <c r="E935" s="12" t="inlineStr">
        <is>
          <t>IND/MEL/00934</t>
        </is>
      </c>
      <c r="F935" s="1" t="inlineStr">
        <is>
          <t>F</t>
        </is>
      </c>
      <c r="G935" s="1" t="inlineStr">
        <is>
          <t>Rohit Myrthos</t>
        </is>
      </c>
      <c r="H935" s="1" t="inlineStr">
        <is>
          <t>Alya Myrthos</t>
        </is>
      </c>
      <c r="I935" s="30" t="n">
        <v>45960</v>
      </c>
      <c r="J935" s="1" t="inlineStr">
        <is>
          <t>157 Birchwood Lane</t>
        </is>
      </c>
      <c r="K935" s="1" t="inlineStr">
        <is>
          <t>Emerald Road</t>
        </is>
      </c>
      <c r="L935" s="1" t="inlineStr">
        <is>
          <t>PIN:557614 BENDIGO</t>
        </is>
      </c>
      <c r="M935" s="2" t="inlineStr">
        <is>
          <t>MHA/IND/01026</t>
        </is>
      </c>
      <c r="N935" s="30" t="n">
        <v>45855</v>
      </c>
    </row>
    <row r="936">
      <c r="A936" s="28" t="n">
        <v>935</v>
      </c>
      <c r="B936" s="1" t="inlineStr">
        <is>
          <t>ARJUN KALEON</t>
        </is>
      </c>
      <c r="C936" s="30" t="n">
        <v>45947</v>
      </c>
      <c r="D936" s="1" t="inlineStr">
        <is>
          <t>WOLLONGONG</t>
        </is>
      </c>
      <c r="E936" s="12" t="inlineStr">
        <is>
          <t>IND/MEL/00935</t>
        </is>
      </c>
      <c r="F936" s="1" t="inlineStr">
        <is>
          <t>F</t>
        </is>
      </c>
      <c r="G936" s="1" t="inlineStr">
        <is>
          <t>Kabir Rishkan</t>
        </is>
      </c>
      <c r="H936" s="1" t="inlineStr">
        <is>
          <t>Nina Rishkan</t>
        </is>
      </c>
      <c r="I936" s="30" t="n">
        <v>46053</v>
      </c>
      <c r="J936" s="1" t="inlineStr">
        <is>
          <t>77 Birchwood Lane</t>
        </is>
      </c>
      <c r="K936" s="1" t="inlineStr">
        <is>
          <t>Emerald Road</t>
        </is>
      </c>
      <c r="L936" s="1" t="inlineStr">
        <is>
          <t>PIN:990720 WOLLONGONG</t>
        </is>
      </c>
      <c r="M936" s="2" t="inlineStr">
        <is>
          <t>MHA/IND/01027</t>
        </is>
      </c>
      <c r="N936" s="30" t="n">
        <v>45880</v>
      </c>
    </row>
    <row r="937">
      <c r="A937" s="28" t="n">
        <v>936</v>
      </c>
      <c r="B937" s="1" t="inlineStr">
        <is>
          <t>AREN MYRTHOS</t>
        </is>
      </c>
      <c r="C937" s="30" t="n">
        <v>45765</v>
      </c>
      <c r="D937" s="1" t="inlineStr">
        <is>
          <t>WERRIBEE</t>
        </is>
      </c>
      <c r="E937" s="12" t="inlineStr">
        <is>
          <t>IND/MEL/00936</t>
        </is>
      </c>
      <c r="F937" s="1" t="inlineStr">
        <is>
          <t>F</t>
        </is>
      </c>
      <c r="G937" s="1" t="inlineStr">
        <is>
          <t>Neil Valzari</t>
        </is>
      </c>
      <c r="H937" s="1" t="inlineStr">
        <is>
          <t>Diya Valzari</t>
        </is>
      </c>
      <c r="I937" s="30" t="n">
        <v>45824</v>
      </c>
      <c r="J937" s="1" t="inlineStr">
        <is>
          <t>59 Birchwood Lane</t>
        </is>
      </c>
      <c r="K937" s="1" t="inlineStr">
        <is>
          <t>Emerald Road</t>
        </is>
      </c>
      <c r="L937" s="1" t="inlineStr">
        <is>
          <t>PIN:686666 WERRIBEE</t>
        </is>
      </c>
      <c r="M937" s="2" t="inlineStr">
        <is>
          <t>MHA/IND/01028</t>
        </is>
      </c>
      <c r="N937" s="30" t="n">
        <v>45859</v>
      </c>
    </row>
    <row r="938">
      <c r="A938" s="28" t="n">
        <v>937</v>
      </c>
      <c r="B938" s="1" t="inlineStr">
        <is>
          <t>MIRA SINDALE</t>
        </is>
      </c>
      <c r="C938" s="30" t="n">
        <v>45887</v>
      </c>
      <c r="D938" s="1" t="inlineStr">
        <is>
          <t>MIDLAND</t>
        </is>
      </c>
      <c r="E938" s="12" t="inlineStr">
        <is>
          <t>IND/MEL/00937</t>
        </is>
      </c>
      <c r="F938" s="1" t="inlineStr">
        <is>
          <t>M</t>
        </is>
      </c>
      <c r="G938" s="1" t="inlineStr">
        <is>
          <t>Kabir Myrthos</t>
        </is>
      </c>
      <c r="H938" s="1" t="inlineStr">
        <is>
          <t>Mira Myrthos</t>
        </is>
      </c>
      <c r="I938" s="30" t="n">
        <v>45936</v>
      </c>
      <c r="J938" s="1" t="inlineStr">
        <is>
          <t>68 Birchwood Lane</t>
        </is>
      </c>
      <c r="K938" s="1" t="inlineStr">
        <is>
          <t>Emerald Road</t>
        </is>
      </c>
      <c r="L938" s="1" t="inlineStr">
        <is>
          <t>PIN:921614 MIDLAND</t>
        </is>
      </c>
      <c r="M938" s="2" t="inlineStr">
        <is>
          <t>MHA/IND/01029</t>
        </is>
      </c>
      <c r="N938" s="30" t="n">
        <v>45842</v>
      </c>
    </row>
    <row r="939">
      <c r="A939" s="28" t="n">
        <v>938</v>
      </c>
      <c r="B939" s="1" t="inlineStr">
        <is>
          <t>ALYA VALZARI</t>
        </is>
      </c>
      <c r="C939" s="30" t="n">
        <v>45686</v>
      </c>
      <c r="D939" s="1" t="inlineStr">
        <is>
          <t>BUNDOORA</t>
        </is>
      </c>
      <c r="E939" s="12" t="inlineStr">
        <is>
          <t>IND/MEL/00938</t>
        </is>
      </c>
      <c r="F939" s="1" t="inlineStr">
        <is>
          <t>F</t>
        </is>
      </c>
      <c r="G939" s="1" t="inlineStr">
        <is>
          <t>Ishan Myrthos</t>
        </is>
      </c>
      <c r="H939" s="1" t="inlineStr">
        <is>
          <t>Alya Myrthos</t>
        </is>
      </c>
      <c r="I939" s="30" t="n">
        <v>45704</v>
      </c>
      <c r="J939" s="1" t="inlineStr">
        <is>
          <t>191 Birchwood Lane</t>
        </is>
      </c>
      <c r="K939" s="1" t="inlineStr">
        <is>
          <t>Emerald Road</t>
        </is>
      </c>
      <c r="L939" s="1" t="inlineStr">
        <is>
          <t>PIN:383372 BUNDOORA</t>
        </is>
      </c>
      <c r="M939" s="2" t="inlineStr">
        <is>
          <t>MHA/IND/01030</t>
        </is>
      </c>
      <c r="N939" s="30" t="n">
        <v>45886</v>
      </c>
    </row>
    <row r="940">
      <c r="A940" s="28" t="n">
        <v>939</v>
      </c>
      <c r="B940" s="1" t="inlineStr">
        <is>
          <t>ARJUN RISHKAN</t>
        </is>
      </c>
      <c r="C940" s="30" t="n">
        <v>45768</v>
      </c>
      <c r="D940" s="1" t="inlineStr">
        <is>
          <t>ADELAIDE</t>
        </is>
      </c>
      <c r="E940" s="12" t="inlineStr">
        <is>
          <t>IND/MEL/00939</t>
        </is>
      </c>
      <c r="F940" s="1" t="inlineStr">
        <is>
          <t>M</t>
        </is>
      </c>
      <c r="G940" s="1" t="inlineStr">
        <is>
          <t>Aren Sindale</t>
        </is>
      </c>
      <c r="H940" s="1" t="inlineStr">
        <is>
          <t>Alya Sindale</t>
        </is>
      </c>
      <c r="I940" s="30" t="n">
        <v>45805</v>
      </c>
      <c r="J940" s="1" t="inlineStr">
        <is>
          <t>28 Birchwood Lane</t>
        </is>
      </c>
      <c r="K940" s="1" t="inlineStr">
        <is>
          <t>Emerald Road</t>
        </is>
      </c>
      <c r="L940" s="1" t="inlineStr">
        <is>
          <t>PIN:703922 ADELAIDE</t>
        </is>
      </c>
      <c r="M940" s="2" t="inlineStr">
        <is>
          <t>MHA/IND/01031</t>
        </is>
      </c>
      <c r="N940" s="30" t="n">
        <v>45892</v>
      </c>
    </row>
    <row r="941">
      <c r="A941" s="28" t="n">
        <v>940</v>
      </c>
      <c r="B941" s="1" t="inlineStr">
        <is>
          <t>ANYA RAO</t>
        </is>
      </c>
      <c r="C941" s="30" t="n">
        <v>45701</v>
      </c>
      <c r="D941" s="1" t="inlineStr">
        <is>
          <t>TOOWOOMBA</t>
        </is>
      </c>
      <c r="E941" s="12" t="inlineStr">
        <is>
          <t>IND/MEL/00940</t>
        </is>
      </c>
      <c r="F941" s="1" t="inlineStr">
        <is>
          <t>F</t>
        </is>
      </c>
      <c r="G941" s="1" t="inlineStr">
        <is>
          <t>Arjun Sharma</t>
        </is>
      </c>
      <c r="H941" s="1" t="inlineStr">
        <is>
          <t>Alya Sharma</t>
        </is>
      </c>
      <c r="I941" s="30" t="n">
        <v>45738</v>
      </c>
      <c r="J941" s="1" t="inlineStr">
        <is>
          <t>185 Birchwood Lane</t>
        </is>
      </c>
      <c r="K941" s="1" t="inlineStr">
        <is>
          <t>Emerald Road</t>
        </is>
      </c>
      <c r="L941" s="1" t="inlineStr">
        <is>
          <t>PIN:926264 TOOWOOMBA</t>
        </is>
      </c>
      <c r="M941" s="2" t="inlineStr">
        <is>
          <t>MHA/IND/01032</t>
        </is>
      </c>
      <c r="N941" s="30" t="n">
        <v>45893</v>
      </c>
    </row>
    <row r="942">
      <c r="A942" s="28" t="n">
        <v>941</v>
      </c>
      <c r="B942" s="1" t="inlineStr">
        <is>
          <t>TARA RISHKAN</t>
        </is>
      </c>
      <c r="C942" s="30" t="n">
        <v>45709</v>
      </c>
      <c r="D942" s="1" t="inlineStr">
        <is>
          <t>PERTH</t>
        </is>
      </c>
      <c r="E942" s="12" t="inlineStr">
        <is>
          <t>IND/MEL/00941</t>
        </is>
      </c>
      <c r="F942" s="1" t="inlineStr">
        <is>
          <t>M</t>
        </is>
      </c>
      <c r="G942" s="1" t="inlineStr">
        <is>
          <t>Arjun Sindale</t>
        </is>
      </c>
      <c r="H942" s="1" t="inlineStr">
        <is>
          <t>Sara Sindale</t>
        </is>
      </c>
      <c r="I942" s="30" t="n">
        <v>45797</v>
      </c>
      <c r="J942" s="1" t="inlineStr">
        <is>
          <t>166 Birchwood Lane</t>
        </is>
      </c>
      <c r="K942" s="1" t="inlineStr">
        <is>
          <t>Emerald Road</t>
        </is>
      </c>
      <c r="L942" s="1" t="inlineStr">
        <is>
          <t>PIN:836568 PERTH</t>
        </is>
      </c>
      <c r="M942" s="2" t="inlineStr">
        <is>
          <t>MHA/IND/01033</t>
        </is>
      </c>
      <c r="N942" s="30" t="n">
        <v>45877</v>
      </c>
    </row>
    <row r="943">
      <c r="A943" s="28" t="n">
        <v>942</v>
      </c>
      <c r="B943" s="1" t="inlineStr">
        <is>
          <t>ISHAN RAO</t>
        </is>
      </c>
      <c r="C943" s="30" t="n">
        <v>45811</v>
      </c>
      <c r="D943" s="1" t="inlineStr">
        <is>
          <t>NEWCASTLE</t>
        </is>
      </c>
      <c r="E943" s="12" t="inlineStr">
        <is>
          <t>IND/MEL/00942</t>
        </is>
      </c>
      <c r="F943" s="1" t="inlineStr">
        <is>
          <t>F</t>
        </is>
      </c>
      <c r="G943" s="1" t="inlineStr">
        <is>
          <t>Ishan Rao</t>
        </is>
      </c>
      <c r="H943" s="1" t="inlineStr">
        <is>
          <t>Diya Rao</t>
        </is>
      </c>
      <c r="I943" s="30" t="n">
        <v>45898</v>
      </c>
      <c r="J943" s="1" t="inlineStr">
        <is>
          <t>190 Birchwood Lane</t>
        </is>
      </c>
      <c r="K943" s="1" t="inlineStr">
        <is>
          <t>Emerald Road</t>
        </is>
      </c>
      <c r="L943" s="1" t="inlineStr">
        <is>
          <t>PIN:596001 NEWCASTLE</t>
        </is>
      </c>
      <c r="M943" s="2" t="inlineStr">
        <is>
          <t>MHA/IND/01034</t>
        </is>
      </c>
      <c r="N943" s="30" t="n">
        <v>45848</v>
      </c>
    </row>
    <row r="944">
      <c r="A944" s="28" t="n">
        <v>943</v>
      </c>
      <c r="B944" s="1" t="inlineStr">
        <is>
          <t>NEIL RISHKAN</t>
        </is>
      </c>
      <c r="C944" s="30" t="n">
        <v>45699</v>
      </c>
      <c r="D944" s="1" t="inlineStr">
        <is>
          <t>SHEPPARTON</t>
        </is>
      </c>
      <c r="E944" s="12" t="inlineStr">
        <is>
          <t>IND/MEL/00943</t>
        </is>
      </c>
      <c r="F944" s="1" t="inlineStr">
        <is>
          <t>M</t>
        </is>
      </c>
      <c r="G944" s="1" t="inlineStr">
        <is>
          <t>Kabir Sindale</t>
        </is>
      </c>
      <c r="H944" s="1" t="inlineStr">
        <is>
          <t>Tara Sindale</t>
        </is>
      </c>
      <c r="I944" s="30" t="n">
        <v>45721</v>
      </c>
      <c r="J944" s="1" t="inlineStr">
        <is>
          <t>189 Birchwood Lane</t>
        </is>
      </c>
      <c r="K944" s="1" t="inlineStr">
        <is>
          <t>Emerald Road</t>
        </is>
      </c>
      <c r="L944" s="1" t="inlineStr">
        <is>
          <t>PIN:454480 SHEPPARTON</t>
        </is>
      </c>
      <c r="M944" s="2" t="inlineStr">
        <is>
          <t>MHA/IND/01035</t>
        </is>
      </c>
      <c r="N944" s="30" t="n">
        <v>45881</v>
      </c>
    </row>
    <row r="945">
      <c r="A945" s="28" t="n">
        <v>944</v>
      </c>
      <c r="B945" s="1" t="inlineStr">
        <is>
          <t>KIRAN MYRTHOS</t>
        </is>
      </c>
      <c r="C945" s="30" t="n">
        <v>45945</v>
      </c>
      <c r="D945" s="1" t="inlineStr">
        <is>
          <t>MOUNT WAVERLEY</t>
        </is>
      </c>
      <c r="E945" s="12" t="inlineStr">
        <is>
          <t>IND/MEL/00944</t>
        </is>
      </c>
      <c r="F945" s="1" t="inlineStr">
        <is>
          <t>M</t>
        </is>
      </c>
      <c r="G945" s="1" t="inlineStr">
        <is>
          <t>Aren Kaleon</t>
        </is>
      </c>
      <c r="H945" s="1" t="inlineStr">
        <is>
          <t>Nina Kaleon</t>
        </is>
      </c>
      <c r="I945" s="30" t="n">
        <v>46061</v>
      </c>
      <c r="J945" s="1" t="inlineStr">
        <is>
          <t>137 Birchwood Lane</t>
        </is>
      </c>
      <c r="K945" s="1" t="inlineStr">
        <is>
          <t>Emerald Road</t>
        </is>
      </c>
      <c r="L945" s="1" t="inlineStr">
        <is>
          <t>PIN:600100 MOUNT WAVERLEY</t>
        </is>
      </c>
      <c r="M945" s="2" t="inlineStr">
        <is>
          <t>MHA/IND/01036</t>
        </is>
      </c>
      <c r="N945" s="30" t="n">
        <v>45878</v>
      </c>
    </row>
    <row r="946">
      <c r="A946" s="28" t="n">
        <v>945</v>
      </c>
      <c r="B946" s="1" t="inlineStr">
        <is>
          <t>DEV RISHKAN</t>
        </is>
      </c>
      <c r="C946" s="30" t="n">
        <v>45736</v>
      </c>
      <c r="D946" s="1" t="inlineStr">
        <is>
          <t>DEVONPORT</t>
        </is>
      </c>
      <c r="E946" s="12" t="inlineStr">
        <is>
          <t>IND/MEL/00945</t>
        </is>
      </c>
      <c r="F946" s="1" t="inlineStr">
        <is>
          <t>M</t>
        </is>
      </c>
      <c r="G946" s="1" t="inlineStr">
        <is>
          <t>Arjun Myrthos</t>
        </is>
      </c>
      <c r="H946" s="1" t="inlineStr">
        <is>
          <t>Mira Myrthos</t>
        </is>
      </c>
      <c r="I946" s="30" t="n">
        <v>45837</v>
      </c>
      <c r="J946" s="1" t="inlineStr">
        <is>
          <t>125 Birchwood Lane</t>
        </is>
      </c>
      <c r="K946" s="1" t="inlineStr">
        <is>
          <t>Emerald Road</t>
        </is>
      </c>
      <c r="L946" s="1" t="inlineStr">
        <is>
          <t>PIN:206474 DEVONPORT</t>
        </is>
      </c>
      <c r="M946" s="2" t="inlineStr">
        <is>
          <t>MHA/IND/01037</t>
        </is>
      </c>
      <c r="N946" s="30" t="n">
        <v>45877</v>
      </c>
    </row>
    <row r="947">
      <c r="A947" s="28" t="n">
        <v>946</v>
      </c>
      <c r="B947" s="1" t="inlineStr">
        <is>
          <t>SARA VALZARI</t>
        </is>
      </c>
      <c r="C947" s="30" t="n">
        <v>45828</v>
      </c>
      <c r="D947" s="1" t="inlineStr">
        <is>
          <t>BENDIGO</t>
        </is>
      </c>
      <c r="E947" s="12" t="inlineStr">
        <is>
          <t>IND/MEL/00946</t>
        </is>
      </c>
      <c r="F947" s="1" t="inlineStr">
        <is>
          <t>M</t>
        </is>
      </c>
      <c r="G947" s="1" t="inlineStr">
        <is>
          <t>Aren Myrthos</t>
        </is>
      </c>
      <c r="H947" s="1" t="inlineStr">
        <is>
          <t>Anya Myrthos</t>
        </is>
      </c>
      <c r="I947" s="30" t="n">
        <v>45844</v>
      </c>
      <c r="J947" s="1" t="inlineStr">
        <is>
          <t>153 Birchwood Lane</t>
        </is>
      </c>
      <c r="K947" s="1" t="inlineStr">
        <is>
          <t>Emerald Road</t>
        </is>
      </c>
      <c r="L947" s="1" t="inlineStr">
        <is>
          <t>PIN:734089 BENDIGO</t>
        </is>
      </c>
      <c r="M947" s="2" t="inlineStr">
        <is>
          <t>MHA/IND/01038</t>
        </is>
      </c>
      <c r="N947" s="30" t="n">
        <v>45864</v>
      </c>
    </row>
    <row r="948">
      <c r="A948" s="28" t="n">
        <v>947</v>
      </c>
      <c r="B948" s="1" t="inlineStr">
        <is>
          <t>ROHIT MYRTHOS</t>
        </is>
      </c>
      <c r="C948" s="30" t="n">
        <v>45838</v>
      </c>
      <c r="D948" s="1" t="inlineStr">
        <is>
          <t>SHEPPARTON</t>
        </is>
      </c>
      <c r="E948" s="12" t="inlineStr">
        <is>
          <t>IND/MEL/00947</t>
        </is>
      </c>
      <c r="F948" s="1" t="inlineStr">
        <is>
          <t>M</t>
        </is>
      </c>
      <c r="G948" s="1" t="inlineStr">
        <is>
          <t>Kiran Sindale</t>
        </is>
      </c>
      <c r="H948" s="1" t="inlineStr">
        <is>
          <t>Tara Sindale</t>
        </is>
      </c>
      <c r="I948" s="30" t="n">
        <v>45918</v>
      </c>
      <c r="J948" s="1" t="inlineStr">
        <is>
          <t>62 Birchwood Lane</t>
        </is>
      </c>
      <c r="K948" s="1" t="inlineStr">
        <is>
          <t>Emerald Road</t>
        </is>
      </c>
      <c r="L948" s="1" t="inlineStr">
        <is>
          <t>PIN:334715 SHEPPARTON</t>
        </is>
      </c>
      <c r="M948" s="2" t="inlineStr">
        <is>
          <t>MHA/IND/01039</t>
        </is>
      </c>
      <c r="N948" s="30" t="n">
        <v>45857</v>
      </c>
    </row>
    <row r="949">
      <c r="A949" s="28" t="n">
        <v>948</v>
      </c>
      <c r="B949" s="1" t="inlineStr">
        <is>
          <t>KABIR RAO</t>
        </is>
      </c>
      <c r="C949" s="30" t="n">
        <v>45900</v>
      </c>
      <c r="D949" s="1" t="inlineStr">
        <is>
          <t>WODONGA</t>
        </is>
      </c>
      <c r="E949" s="12" t="inlineStr">
        <is>
          <t>IND/MEL/00948</t>
        </is>
      </c>
      <c r="F949" s="1" t="inlineStr">
        <is>
          <t>M</t>
        </is>
      </c>
      <c r="G949" s="1" t="inlineStr">
        <is>
          <t>Dev Sharma</t>
        </is>
      </c>
      <c r="H949" s="1" t="inlineStr">
        <is>
          <t>Riya Sharma</t>
        </is>
      </c>
      <c r="I949" s="30" t="n">
        <v>45984</v>
      </c>
      <c r="J949" s="1" t="inlineStr">
        <is>
          <t>93 Birchwood Lane</t>
        </is>
      </c>
      <c r="K949" s="1" t="inlineStr">
        <is>
          <t>Emerald Road</t>
        </is>
      </c>
      <c r="L949" s="1" t="inlineStr">
        <is>
          <t>PIN:490957 WODONGA</t>
        </is>
      </c>
      <c r="M949" s="2" t="inlineStr">
        <is>
          <t>MHA/IND/01040</t>
        </is>
      </c>
      <c r="N949" s="30" t="n">
        <v>45844</v>
      </c>
    </row>
    <row r="950">
      <c r="A950" s="28" t="n">
        <v>949</v>
      </c>
      <c r="B950" s="1" t="inlineStr">
        <is>
          <t>DIYA RAO</t>
        </is>
      </c>
      <c r="C950" s="30" t="n">
        <v>45953</v>
      </c>
      <c r="D950" s="1" t="inlineStr">
        <is>
          <t>PENRITH</t>
        </is>
      </c>
      <c r="E950" s="12" t="inlineStr">
        <is>
          <t>IND/MEL/00949</t>
        </is>
      </c>
      <c r="F950" s="1" t="inlineStr">
        <is>
          <t>F</t>
        </is>
      </c>
      <c r="G950" s="1" t="inlineStr">
        <is>
          <t>Neil Rao</t>
        </is>
      </c>
      <c r="H950" s="1" t="inlineStr">
        <is>
          <t>Mira Rao</t>
        </is>
      </c>
      <c r="I950" s="30" t="n">
        <v>45959</v>
      </c>
      <c r="J950" s="1" t="inlineStr">
        <is>
          <t>159 Birchwood Lane</t>
        </is>
      </c>
      <c r="K950" s="1" t="inlineStr">
        <is>
          <t>Emerald Road</t>
        </is>
      </c>
      <c r="L950" s="1" t="inlineStr">
        <is>
          <t>PIN:895389 PENRITH</t>
        </is>
      </c>
      <c r="M950" s="2" t="inlineStr">
        <is>
          <t>MHA/IND/01041</t>
        </is>
      </c>
      <c r="N950" s="30" t="n">
        <v>45864</v>
      </c>
    </row>
    <row r="951">
      <c r="A951" s="28" t="n">
        <v>950</v>
      </c>
      <c r="B951" s="1" t="inlineStr">
        <is>
          <t>KIRAN MYRTHOS</t>
        </is>
      </c>
      <c r="C951" s="30" t="n">
        <v>45774</v>
      </c>
      <c r="D951" s="1" t="inlineStr">
        <is>
          <t>WODONGA</t>
        </is>
      </c>
      <c r="E951" s="12" t="inlineStr">
        <is>
          <t>IND/MEL/00950</t>
        </is>
      </c>
      <c r="F951" s="1" t="inlineStr">
        <is>
          <t>F</t>
        </is>
      </c>
      <c r="G951" s="1" t="inlineStr">
        <is>
          <t>Ishan Kaleon</t>
        </is>
      </c>
      <c r="H951" s="1" t="inlineStr">
        <is>
          <t>Alya Kaleon</t>
        </is>
      </c>
      <c r="I951" s="30" t="n">
        <v>45805</v>
      </c>
      <c r="J951" s="1" t="inlineStr">
        <is>
          <t>21 Birchwood Lane</t>
        </is>
      </c>
      <c r="K951" s="1" t="inlineStr">
        <is>
          <t>Emerald Road</t>
        </is>
      </c>
      <c r="L951" s="1" t="inlineStr">
        <is>
          <t>PIN:899035 WODONGA</t>
        </is>
      </c>
      <c r="M951" s="2" t="inlineStr">
        <is>
          <t>MHA/IND/01042</t>
        </is>
      </c>
      <c r="N951" s="30" t="n">
        <v>45840</v>
      </c>
    </row>
    <row r="952">
      <c r="A952" s="28" t="n">
        <v>951</v>
      </c>
      <c r="B952" s="1" t="inlineStr">
        <is>
          <t>NEIL SINDALE</t>
        </is>
      </c>
      <c r="C952" s="30" t="n">
        <v>45936</v>
      </c>
      <c r="D952" s="1" t="inlineStr">
        <is>
          <t>IPSWICH</t>
        </is>
      </c>
      <c r="E952" s="12" t="inlineStr">
        <is>
          <t>IND/MEL/00951</t>
        </is>
      </c>
      <c r="F952" s="1" t="inlineStr">
        <is>
          <t>F</t>
        </is>
      </c>
      <c r="G952" s="1" t="inlineStr">
        <is>
          <t>Neil Rao</t>
        </is>
      </c>
      <c r="H952" s="1" t="inlineStr">
        <is>
          <t>Diya Rao</t>
        </is>
      </c>
      <c r="I952" s="30" t="n">
        <v>45992</v>
      </c>
      <c r="J952" s="1" t="inlineStr">
        <is>
          <t>125 Birchwood Lane</t>
        </is>
      </c>
      <c r="K952" s="1" t="inlineStr">
        <is>
          <t>Emerald Road</t>
        </is>
      </c>
      <c r="L952" s="1" t="inlineStr">
        <is>
          <t>PIN:344922 IPSWICH</t>
        </is>
      </c>
      <c r="M952" s="2" t="inlineStr">
        <is>
          <t>MHA/IND/01043</t>
        </is>
      </c>
      <c r="N952" s="30" t="n">
        <v>45868</v>
      </c>
    </row>
    <row r="953">
      <c r="A953" s="28" t="n">
        <v>952</v>
      </c>
      <c r="B953" s="1" t="inlineStr">
        <is>
          <t>ANYA RISHKAN</t>
        </is>
      </c>
      <c r="C953" s="30" t="n">
        <v>45743</v>
      </c>
      <c r="D953" s="1" t="inlineStr">
        <is>
          <t>BERWICK</t>
        </is>
      </c>
      <c r="E953" s="12" t="inlineStr">
        <is>
          <t>IND/MEL/00952</t>
        </is>
      </c>
      <c r="F953" s="1" t="inlineStr">
        <is>
          <t>F</t>
        </is>
      </c>
      <c r="G953" s="1" t="inlineStr">
        <is>
          <t>Arjun Kaleon</t>
        </is>
      </c>
      <c r="H953" s="1" t="inlineStr">
        <is>
          <t>Anya Kaleon</t>
        </is>
      </c>
      <c r="I953" s="30" t="n">
        <v>45754</v>
      </c>
      <c r="J953" s="1" t="inlineStr">
        <is>
          <t>68 Birchwood Lane</t>
        </is>
      </c>
      <c r="K953" s="1" t="inlineStr">
        <is>
          <t>Emerald Road</t>
        </is>
      </c>
      <c r="L953" s="1" t="inlineStr">
        <is>
          <t>PIN:360661 BERWICK</t>
        </is>
      </c>
      <c r="M953" s="2" t="inlineStr">
        <is>
          <t>MHA/IND/01044</t>
        </is>
      </c>
      <c r="N953" s="30" t="n">
        <v>45849</v>
      </c>
    </row>
    <row r="954">
      <c r="A954" s="28" t="n">
        <v>953</v>
      </c>
      <c r="B954" s="1" t="inlineStr">
        <is>
          <t>ISHAN MYRTHOS</t>
        </is>
      </c>
      <c r="C954" s="30" t="n">
        <v>45950</v>
      </c>
      <c r="D954" s="1" t="inlineStr">
        <is>
          <t>CANBERRA</t>
        </is>
      </c>
      <c r="E954" s="12" t="inlineStr">
        <is>
          <t>IND/MEL/00953</t>
        </is>
      </c>
      <c r="F954" s="1" t="inlineStr">
        <is>
          <t>F</t>
        </is>
      </c>
      <c r="G954" s="1" t="inlineStr">
        <is>
          <t>Arjun Myrthos</t>
        </is>
      </c>
      <c r="H954" s="1" t="inlineStr">
        <is>
          <t>Nina Myrthos</t>
        </is>
      </c>
      <c r="I954" s="30" t="n">
        <v>45969</v>
      </c>
      <c r="J954" s="1" t="inlineStr">
        <is>
          <t>196 Birchwood Lane</t>
        </is>
      </c>
      <c r="K954" s="1" t="inlineStr">
        <is>
          <t>Emerald Road</t>
        </is>
      </c>
      <c r="L954" s="1" t="inlineStr">
        <is>
          <t>PIN:308984 CANBERRA</t>
        </is>
      </c>
      <c r="M954" s="2" t="inlineStr">
        <is>
          <t>MHA/IND/01045</t>
        </is>
      </c>
      <c r="N954" s="30" t="n">
        <v>45855</v>
      </c>
    </row>
    <row r="955">
      <c r="A955" s="28" t="n">
        <v>954</v>
      </c>
      <c r="B955" s="1" t="inlineStr">
        <is>
          <t>ROHIT KALEON</t>
        </is>
      </c>
      <c r="C955" s="30" t="n">
        <v>45659</v>
      </c>
      <c r="D955" s="1" t="inlineStr">
        <is>
          <t>CLAYTON</t>
        </is>
      </c>
      <c r="E955" s="12" t="inlineStr">
        <is>
          <t>IND/MEL/00954</t>
        </is>
      </c>
      <c r="F955" s="1" t="inlineStr">
        <is>
          <t>F</t>
        </is>
      </c>
      <c r="G955" s="1" t="inlineStr">
        <is>
          <t>Aren Kaleon</t>
        </is>
      </c>
      <c r="H955" s="1" t="inlineStr">
        <is>
          <t>Alya Kaleon</t>
        </is>
      </c>
      <c r="I955" s="30" t="n">
        <v>45686</v>
      </c>
      <c r="J955" s="1" t="inlineStr">
        <is>
          <t>37 Birchwood Lane</t>
        </is>
      </c>
      <c r="K955" s="1" t="inlineStr">
        <is>
          <t>Emerald Road</t>
        </is>
      </c>
      <c r="L955" s="1" t="inlineStr">
        <is>
          <t>PIN:907143 CLAYTON</t>
        </is>
      </c>
      <c r="M955" s="2" t="inlineStr">
        <is>
          <t>MHA/IND/01046</t>
        </is>
      </c>
      <c r="N955" s="30" t="n">
        <v>45879</v>
      </c>
    </row>
    <row r="956">
      <c r="A956" s="28" t="n">
        <v>955</v>
      </c>
      <c r="B956" s="1" t="inlineStr">
        <is>
          <t>NEIL KALEON</t>
        </is>
      </c>
      <c r="C956" s="30" t="n">
        <v>45841</v>
      </c>
      <c r="D956" s="1" t="inlineStr">
        <is>
          <t>BRISBANE</t>
        </is>
      </c>
      <c r="E956" s="12" t="inlineStr">
        <is>
          <t>IND/MEL/00955</t>
        </is>
      </c>
      <c r="F956" s="1" t="inlineStr">
        <is>
          <t>F</t>
        </is>
      </c>
      <c r="G956" s="1" t="inlineStr">
        <is>
          <t>Aren Myrthos</t>
        </is>
      </c>
      <c r="H956" s="1" t="inlineStr">
        <is>
          <t>Sara Myrthos</t>
        </is>
      </c>
      <c r="I956" s="30" t="n">
        <v>45924</v>
      </c>
      <c r="J956" s="1" t="inlineStr">
        <is>
          <t>78 Birchwood Lane</t>
        </is>
      </c>
      <c r="K956" s="1" t="inlineStr">
        <is>
          <t>Emerald Road</t>
        </is>
      </c>
      <c r="L956" s="1" t="inlineStr">
        <is>
          <t>PIN:350260 BRISBANE</t>
        </is>
      </c>
      <c r="M956" s="2" t="inlineStr">
        <is>
          <t>MHA/IND/01047</t>
        </is>
      </c>
      <c r="N956" s="30" t="n">
        <v>45897</v>
      </c>
    </row>
    <row r="957">
      <c r="A957" s="28" t="n">
        <v>956</v>
      </c>
      <c r="B957" s="1" t="inlineStr">
        <is>
          <t>MIRA KALEON</t>
        </is>
      </c>
      <c r="C957" s="30" t="n">
        <v>45835</v>
      </c>
      <c r="D957" s="1" t="inlineStr">
        <is>
          <t>KINGSWOOD</t>
        </is>
      </c>
      <c r="E957" s="12" t="inlineStr">
        <is>
          <t>IND/MEL/00956</t>
        </is>
      </c>
      <c r="F957" s="1" t="inlineStr">
        <is>
          <t>M</t>
        </is>
      </c>
      <c r="G957" s="1" t="inlineStr">
        <is>
          <t>Kiran Kaleon</t>
        </is>
      </c>
      <c r="H957" s="1" t="inlineStr">
        <is>
          <t>Diya Kaleon</t>
        </is>
      </c>
      <c r="I957" s="30" t="n">
        <v>45893</v>
      </c>
      <c r="J957" s="1" t="inlineStr">
        <is>
          <t>112 Birchwood Lane</t>
        </is>
      </c>
      <c r="K957" s="1" t="inlineStr">
        <is>
          <t>Emerald Road</t>
        </is>
      </c>
      <c r="L957" s="1" t="inlineStr">
        <is>
          <t>PIN:337234 KINGSWOOD</t>
        </is>
      </c>
      <c r="M957" s="2" t="inlineStr">
        <is>
          <t>MHA/IND/01048</t>
        </is>
      </c>
      <c r="N957" s="30" t="n">
        <v>45839</v>
      </c>
    </row>
    <row r="958">
      <c r="A958" s="28" t="n">
        <v>957</v>
      </c>
      <c r="B958" s="1" t="inlineStr">
        <is>
          <t>DIYA KALEON</t>
        </is>
      </c>
      <c r="C958" s="30" t="n">
        <v>45926</v>
      </c>
      <c r="D958" s="1" t="inlineStr">
        <is>
          <t>CAMPBELLTOWN</t>
        </is>
      </c>
      <c r="E958" s="12" t="inlineStr">
        <is>
          <t>IND/MEL/00957</t>
        </is>
      </c>
      <c r="F958" s="1" t="inlineStr">
        <is>
          <t>M</t>
        </is>
      </c>
      <c r="G958" s="1" t="inlineStr">
        <is>
          <t>Arjun Sharma</t>
        </is>
      </c>
      <c r="H958" s="1" t="inlineStr">
        <is>
          <t>Mira Sharma</t>
        </is>
      </c>
      <c r="I958" s="30" t="n">
        <v>45969</v>
      </c>
      <c r="J958" s="1" t="inlineStr">
        <is>
          <t>84 Birchwood Lane</t>
        </is>
      </c>
      <c r="K958" s="1" t="inlineStr">
        <is>
          <t>Emerald Road</t>
        </is>
      </c>
      <c r="L958" s="1" t="inlineStr">
        <is>
          <t>PIN:403707 CAMPBELLTOWN</t>
        </is>
      </c>
      <c r="M958" s="2" t="inlineStr">
        <is>
          <t>MHA/IND/01049</t>
        </is>
      </c>
      <c r="N958" s="30" t="n">
        <v>45893</v>
      </c>
    </row>
    <row r="959">
      <c r="A959" s="28" t="n">
        <v>958</v>
      </c>
      <c r="B959" s="1" t="inlineStr">
        <is>
          <t>KABIR MYRTHOS</t>
        </is>
      </c>
      <c r="C959" s="30" t="n">
        <v>45663</v>
      </c>
      <c r="D959" s="1" t="inlineStr">
        <is>
          <t>BERWICK</t>
        </is>
      </c>
      <c r="E959" s="12" t="inlineStr">
        <is>
          <t>IND/MEL/00958</t>
        </is>
      </c>
      <c r="F959" s="1" t="inlineStr">
        <is>
          <t>F</t>
        </is>
      </c>
      <c r="G959" s="1" t="inlineStr">
        <is>
          <t>Arjun Rishkan</t>
        </is>
      </c>
      <c r="H959" s="1" t="inlineStr">
        <is>
          <t>Mira Rishkan</t>
        </is>
      </c>
      <c r="I959" s="30" t="n">
        <v>45730</v>
      </c>
      <c r="J959" s="1" t="inlineStr">
        <is>
          <t>61 Birchwood Lane</t>
        </is>
      </c>
      <c r="K959" s="1" t="inlineStr">
        <is>
          <t>Emerald Road</t>
        </is>
      </c>
      <c r="L959" s="1" t="inlineStr">
        <is>
          <t>PIN:379882 BERWICK</t>
        </is>
      </c>
      <c r="M959" s="2" t="inlineStr">
        <is>
          <t>MHA/IND/01050</t>
        </is>
      </c>
      <c r="N959" s="30" t="n">
        <v>45881</v>
      </c>
    </row>
    <row r="960">
      <c r="A960" s="28" t="n">
        <v>959</v>
      </c>
      <c r="B960" s="1" t="inlineStr">
        <is>
          <t>ROHIT RISHKAN</t>
        </is>
      </c>
      <c r="C960" s="30" t="n">
        <v>45706</v>
      </c>
      <c r="D960" s="1" t="inlineStr">
        <is>
          <t>PERTH</t>
        </is>
      </c>
      <c r="E960" s="12" t="inlineStr">
        <is>
          <t>IND/MEL/00959</t>
        </is>
      </c>
      <c r="F960" s="1" t="inlineStr">
        <is>
          <t>M</t>
        </is>
      </c>
      <c r="G960" s="1" t="inlineStr">
        <is>
          <t>Arjun Rao</t>
        </is>
      </c>
      <c r="H960" s="1" t="inlineStr">
        <is>
          <t>Mira Rao</t>
        </is>
      </c>
      <c r="I960" s="30" t="n">
        <v>45815</v>
      </c>
      <c r="J960" s="1" t="inlineStr">
        <is>
          <t>15 Birchwood Lane</t>
        </is>
      </c>
      <c r="K960" s="1" t="inlineStr">
        <is>
          <t>Emerald Road</t>
        </is>
      </c>
      <c r="L960" s="1" t="inlineStr">
        <is>
          <t>PIN:909065 PERTH</t>
        </is>
      </c>
      <c r="M960" s="2" t="inlineStr">
        <is>
          <t>MHA/IND/01051</t>
        </is>
      </c>
      <c r="N960" s="30" t="n">
        <v>45862</v>
      </c>
    </row>
    <row r="961">
      <c r="A961" s="28" t="n">
        <v>960</v>
      </c>
      <c r="B961" s="1" t="inlineStr">
        <is>
          <t>ROHIT MYRTHOS</t>
        </is>
      </c>
      <c r="C961" s="30" t="n">
        <v>45854</v>
      </c>
      <c r="D961" s="1" t="inlineStr">
        <is>
          <t>TRARALGON</t>
        </is>
      </c>
      <c r="E961" s="12" t="inlineStr">
        <is>
          <t>IND/MEL/00960</t>
        </is>
      </c>
      <c r="F961" s="1" t="inlineStr">
        <is>
          <t>F</t>
        </is>
      </c>
      <c r="G961" s="1" t="inlineStr">
        <is>
          <t>Rohit Sharma</t>
        </is>
      </c>
      <c r="H961" s="1" t="inlineStr">
        <is>
          <t>Anya Sharma</t>
        </is>
      </c>
      <c r="I961" s="30" t="n">
        <v>45971</v>
      </c>
      <c r="J961" s="1" t="inlineStr">
        <is>
          <t>105 Birchwood Lane</t>
        </is>
      </c>
      <c r="K961" s="1" t="inlineStr">
        <is>
          <t>Emerald Road</t>
        </is>
      </c>
      <c r="L961" s="1" t="inlineStr">
        <is>
          <t>PIN:749689 TRARALGON</t>
        </is>
      </c>
      <c r="M961" s="2" t="inlineStr">
        <is>
          <t>MHA/IND/01052</t>
        </is>
      </c>
      <c r="N961" s="30" t="n">
        <v>45886</v>
      </c>
    </row>
    <row r="962">
      <c r="A962" s="28" t="n">
        <v>961</v>
      </c>
      <c r="B962" s="1" t="inlineStr">
        <is>
          <t>ALYA RAO</t>
        </is>
      </c>
      <c r="C962" s="30" t="n">
        <v>45946</v>
      </c>
      <c r="D962" s="1" t="inlineStr">
        <is>
          <t>BRISBANE</t>
        </is>
      </c>
      <c r="E962" s="12" t="inlineStr">
        <is>
          <t>IND/MEL/00961</t>
        </is>
      </c>
      <c r="F962" s="1" t="inlineStr">
        <is>
          <t>F</t>
        </is>
      </c>
      <c r="G962" s="1" t="inlineStr">
        <is>
          <t>Ishan Kaleon</t>
        </is>
      </c>
      <c r="H962" s="1" t="inlineStr">
        <is>
          <t>Nina Kaleon</t>
        </is>
      </c>
      <c r="I962" s="30" t="n">
        <v>46009</v>
      </c>
      <c r="J962" s="1" t="inlineStr">
        <is>
          <t>151 Birchwood Lane</t>
        </is>
      </c>
      <c r="K962" s="1" t="inlineStr">
        <is>
          <t>Emerald Road</t>
        </is>
      </c>
      <c r="L962" s="1" t="inlineStr">
        <is>
          <t>PIN:690803 BRISBANE</t>
        </is>
      </c>
      <c r="M962" s="2" t="inlineStr">
        <is>
          <t>MHA/IND/01053</t>
        </is>
      </c>
      <c r="N962" s="30" t="n">
        <v>45866</v>
      </c>
    </row>
    <row r="963">
      <c r="A963" s="28" t="n">
        <v>962</v>
      </c>
      <c r="B963" s="1" t="inlineStr">
        <is>
          <t>NEIL RISHKAN</t>
        </is>
      </c>
      <c r="C963" s="30" t="n">
        <v>45940</v>
      </c>
      <c r="D963" s="1" t="inlineStr">
        <is>
          <t>GEELONG</t>
        </is>
      </c>
      <c r="E963" s="12" t="inlineStr">
        <is>
          <t>IND/MEL/00962</t>
        </is>
      </c>
      <c r="F963" s="1" t="inlineStr">
        <is>
          <t>M</t>
        </is>
      </c>
      <c r="G963" s="1" t="inlineStr">
        <is>
          <t>Neil Rao</t>
        </is>
      </c>
      <c r="H963" s="1" t="inlineStr">
        <is>
          <t>Riya Rao</t>
        </is>
      </c>
      <c r="I963" s="30" t="n">
        <v>46053</v>
      </c>
      <c r="J963" s="1" t="inlineStr">
        <is>
          <t>28 Birchwood Lane</t>
        </is>
      </c>
      <c r="K963" s="1" t="inlineStr">
        <is>
          <t>Emerald Road</t>
        </is>
      </c>
      <c r="L963" s="1" t="inlineStr">
        <is>
          <t>PIN:862049 GEELONG</t>
        </is>
      </c>
      <c r="M963" s="2" t="inlineStr">
        <is>
          <t>MHA/IND/01054</t>
        </is>
      </c>
      <c r="N963" s="30" t="n">
        <v>45851</v>
      </c>
    </row>
    <row r="964">
      <c r="A964" s="28" t="n">
        <v>963</v>
      </c>
      <c r="B964" s="1" t="inlineStr">
        <is>
          <t>RIYA SHARMA</t>
        </is>
      </c>
      <c r="C964" s="30" t="n">
        <v>45698</v>
      </c>
      <c r="D964" s="1" t="inlineStr">
        <is>
          <t>WONTHAGGI</t>
        </is>
      </c>
      <c r="E964" s="12" t="inlineStr">
        <is>
          <t>IND/MEL/00963</t>
        </is>
      </c>
      <c r="F964" s="1" t="inlineStr">
        <is>
          <t>M</t>
        </is>
      </c>
      <c r="G964" s="1" t="inlineStr">
        <is>
          <t>Aren Sharma</t>
        </is>
      </c>
      <c r="H964" s="1" t="inlineStr">
        <is>
          <t>Tara Sharma</t>
        </is>
      </c>
      <c r="I964" s="30" t="n">
        <v>45746</v>
      </c>
      <c r="J964" s="1" t="inlineStr">
        <is>
          <t>49 Birchwood Lane</t>
        </is>
      </c>
      <c r="K964" s="1" t="inlineStr">
        <is>
          <t>Emerald Road</t>
        </is>
      </c>
      <c r="L964" s="1" t="inlineStr">
        <is>
          <t>PIN:481640 WONTHAGGI</t>
        </is>
      </c>
      <c r="M964" s="2" t="inlineStr">
        <is>
          <t>MHA/IND/01055</t>
        </is>
      </c>
      <c r="N964" s="30" t="n">
        <v>45885</v>
      </c>
    </row>
    <row r="965">
      <c r="A965" s="28" t="n">
        <v>964</v>
      </c>
      <c r="B965" s="1" t="inlineStr">
        <is>
          <t>ALYA SHARMA</t>
        </is>
      </c>
      <c r="C965" s="30" t="n">
        <v>45786</v>
      </c>
      <c r="D965" s="1" t="inlineStr">
        <is>
          <t>BELCONNEN</t>
        </is>
      </c>
      <c r="E965" s="12" t="inlineStr">
        <is>
          <t>IND/MEL/00964</t>
        </is>
      </c>
      <c r="F965" s="1" t="inlineStr">
        <is>
          <t>F</t>
        </is>
      </c>
      <c r="G965" s="1" t="inlineStr">
        <is>
          <t>Neil Rao</t>
        </is>
      </c>
      <c r="H965" s="1" t="inlineStr">
        <is>
          <t>Anya Rao</t>
        </is>
      </c>
      <c r="I965" s="30" t="n">
        <v>45815</v>
      </c>
      <c r="J965" s="1" t="inlineStr">
        <is>
          <t>139 Birchwood Lane</t>
        </is>
      </c>
      <c r="K965" s="1" t="inlineStr">
        <is>
          <t>Emerald Road</t>
        </is>
      </c>
      <c r="L965" s="1" t="inlineStr">
        <is>
          <t>PIN:562907 BELCONNEN</t>
        </is>
      </c>
      <c r="M965" s="2" t="inlineStr">
        <is>
          <t>MHA/IND/01056</t>
        </is>
      </c>
      <c r="N965" s="30" t="n">
        <v>45897</v>
      </c>
    </row>
    <row r="966">
      <c r="A966" s="28" t="n">
        <v>965</v>
      </c>
      <c r="B966" s="1" t="inlineStr">
        <is>
          <t>SARA KALEON</t>
        </is>
      </c>
      <c r="C966" s="30" t="n">
        <v>45828</v>
      </c>
      <c r="D966" s="1" t="inlineStr">
        <is>
          <t>ST ALBANS</t>
        </is>
      </c>
      <c r="E966" s="12" t="inlineStr">
        <is>
          <t>IND/MEL/00965</t>
        </is>
      </c>
      <c r="F966" s="1" t="inlineStr">
        <is>
          <t>F</t>
        </is>
      </c>
      <c r="G966" s="1" t="inlineStr">
        <is>
          <t>Dev Valzari</t>
        </is>
      </c>
      <c r="H966" s="1" t="inlineStr">
        <is>
          <t>Tara Valzari</t>
        </is>
      </c>
      <c r="I966" s="30" t="n">
        <v>45852</v>
      </c>
      <c r="J966" s="1" t="inlineStr">
        <is>
          <t>121 Birchwood Lane</t>
        </is>
      </c>
      <c r="K966" s="1" t="inlineStr">
        <is>
          <t>Emerald Road</t>
        </is>
      </c>
      <c r="L966" s="1" t="inlineStr">
        <is>
          <t>PIN:447933 ST ALBANS</t>
        </is>
      </c>
      <c r="M966" s="2" t="inlineStr">
        <is>
          <t>MHA/IND/01057</t>
        </is>
      </c>
      <c r="N966" s="30" t="n">
        <v>45858</v>
      </c>
    </row>
    <row r="967">
      <c r="A967" s="28" t="n">
        <v>966</v>
      </c>
      <c r="B967" s="1" t="inlineStr">
        <is>
          <t>ARJUN VALZARI</t>
        </is>
      </c>
      <c r="C967" s="30" t="n">
        <v>45699</v>
      </c>
      <c r="D967" s="1" t="inlineStr">
        <is>
          <t>TOWNSVILLE</t>
        </is>
      </c>
      <c r="E967" s="12" t="inlineStr">
        <is>
          <t>IND/MEL/00966</t>
        </is>
      </c>
      <c r="F967" s="1" t="inlineStr">
        <is>
          <t>F</t>
        </is>
      </c>
      <c r="G967" s="1" t="inlineStr">
        <is>
          <t>Rohit Rishkan</t>
        </is>
      </c>
      <c r="H967" s="1" t="inlineStr">
        <is>
          <t>Diya Rishkan</t>
        </is>
      </c>
      <c r="I967" s="30" t="n">
        <v>45809</v>
      </c>
      <c r="J967" s="1" t="inlineStr">
        <is>
          <t>13 Birchwood Lane</t>
        </is>
      </c>
      <c r="K967" s="1" t="inlineStr">
        <is>
          <t>Emerald Road</t>
        </is>
      </c>
      <c r="L967" s="1" t="inlineStr">
        <is>
          <t>PIN:803740 TOWNSVILLE</t>
        </is>
      </c>
      <c r="M967" s="2" t="inlineStr">
        <is>
          <t>MHA/IND/01058</t>
        </is>
      </c>
      <c r="N967" s="30" t="n">
        <v>45859</v>
      </c>
    </row>
    <row r="968">
      <c r="A968" s="28" t="n">
        <v>967</v>
      </c>
      <c r="B968" s="1" t="inlineStr">
        <is>
          <t>NEIL VALZARI</t>
        </is>
      </c>
      <c r="C968" s="30" t="n">
        <v>45703</v>
      </c>
      <c r="D968" s="1" t="inlineStr">
        <is>
          <t>WOLLONGONG</t>
        </is>
      </c>
      <c r="E968" s="12" t="inlineStr">
        <is>
          <t>IND/MEL/00967</t>
        </is>
      </c>
      <c r="F968" s="1" t="inlineStr">
        <is>
          <t>F</t>
        </is>
      </c>
      <c r="G968" s="1" t="inlineStr">
        <is>
          <t>Kabir Kaleon</t>
        </is>
      </c>
      <c r="H968" s="1" t="inlineStr">
        <is>
          <t>Riya Kaleon</t>
        </is>
      </c>
      <c r="I968" s="30" t="n">
        <v>45820</v>
      </c>
      <c r="J968" s="1" t="inlineStr">
        <is>
          <t>31 Birchwood Lane</t>
        </is>
      </c>
      <c r="K968" s="1" t="inlineStr">
        <is>
          <t>Emerald Road</t>
        </is>
      </c>
      <c r="L968" s="1" t="inlineStr">
        <is>
          <t>PIN:595547 WOLLONGONG</t>
        </is>
      </c>
      <c r="M968" s="2" t="inlineStr">
        <is>
          <t>MHA/IND/01059</t>
        </is>
      </c>
      <c r="N968" s="30" t="n">
        <v>45895</v>
      </c>
    </row>
    <row r="969">
      <c r="A969" s="28" t="n">
        <v>968</v>
      </c>
      <c r="B969" s="1" t="inlineStr">
        <is>
          <t>ANYA RISHKAN</t>
        </is>
      </c>
      <c r="C969" s="30" t="n">
        <v>45737</v>
      </c>
      <c r="D969" s="1" t="inlineStr">
        <is>
          <t>CAMPBELLTOWN</t>
        </is>
      </c>
      <c r="E969" s="12" t="inlineStr">
        <is>
          <t>IND/MEL/00968</t>
        </is>
      </c>
      <c r="F969" s="1" t="inlineStr">
        <is>
          <t>M</t>
        </is>
      </c>
      <c r="G969" s="1" t="inlineStr">
        <is>
          <t>Rohit Myrthos</t>
        </is>
      </c>
      <c r="H969" s="1" t="inlineStr">
        <is>
          <t>Alya Myrthos</t>
        </is>
      </c>
      <c r="I969" s="30" t="n">
        <v>45800</v>
      </c>
      <c r="J969" s="1" t="inlineStr">
        <is>
          <t>59 Birchwood Lane</t>
        </is>
      </c>
      <c r="K969" s="1" t="inlineStr">
        <is>
          <t>Emerald Road</t>
        </is>
      </c>
      <c r="L969" s="1" t="inlineStr">
        <is>
          <t>PIN:475285 CAMPBELLTOWN</t>
        </is>
      </c>
      <c r="M969" s="2" t="inlineStr">
        <is>
          <t>MHA/IND/01060</t>
        </is>
      </c>
      <c r="N969" s="30" t="n">
        <v>45884</v>
      </c>
    </row>
    <row r="970">
      <c r="A970" s="28" t="n">
        <v>969</v>
      </c>
      <c r="B970" s="1" t="inlineStr">
        <is>
          <t>RIYA VALZARI</t>
        </is>
      </c>
      <c r="C970" s="30" t="n">
        <v>45955</v>
      </c>
      <c r="D970" s="1" t="inlineStr">
        <is>
          <t>LENAH VALLEY</t>
        </is>
      </c>
      <c r="E970" s="12" t="inlineStr">
        <is>
          <t>IND/MEL/00969</t>
        </is>
      </c>
      <c r="F970" s="1" t="inlineStr">
        <is>
          <t>M</t>
        </is>
      </c>
      <c r="G970" s="1" t="inlineStr">
        <is>
          <t>Dev Sharma</t>
        </is>
      </c>
      <c r="H970" s="1" t="inlineStr">
        <is>
          <t>Riya Sharma</t>
        </is>
      </c>
      <c r="I970" s="30" t="n">
        <v>45983</v>
      </c>
      <c r="J970" s="1" t="inlineStr">
        <is>
          <t>55 Birchwood Lane</t>
        </is>
      </c>
      <c r="K970" s="1" t="inlineStr">
        <is>
          <t>Emerald Road</t>
        </is>
      </c>
      <c r="L970" s="1" t="inlineStr">
        <is>
          <t>PIN:883192 LENAH VALLEY</t>
        </is>
      </c>
      <c r="M970" s="2" t="inlineStr">
        <is>
          <t>MHA/IND/01061</t>
        </is>
      </c>
      <c r="N970" s="30" t="n">
        <v>45857</v>
      </c>
    </row>
    <row r="971">
      <c r="A971" s="28" t="n">
        <v>970</v>
      </c>
      <c r="B971" s="1" t="inlineStr">
        <is>
          <t>NINA MYRTHOS</t>
        </is>
      </c>
      <c r="C971" s="30" t="n">
        <v>45826</v>
      </c>
      <c r="D971" s="1" t="inlineStr">
        <is>
          <t>PARRAMATTA</t>
        </is>
      </c>
      <c r="E971" s="12" t="inlineStr">
        <is>
          <t>IND/MEL/00970</t>
        </is>
      </c>
      <c r="F971" s="1" t="inlineStr">
        <is>
          <t>M</t>
        </is>
      </c>
      <c r="G971" s="1" t="inlineStr">
        <is>
          <t>Kabir Valzari</t>
        </is>
      </c>
      <c r="H971" s="1" t="inlineStr">
        <is>
          <t>Anya Valzari</t>
        </is>
      </c>
      <c r="I971" s="30" t="n">
        <v>45840</v>
      </c>
      <c r="J971" s="1" t="inlineStr">
        <is>
          <t>18 Birchwood Lane</t>
        </is>
      </c>
      <c r="K971" s="1" t="inlineStr">
        <is>
          <t>Emerald Road</t>
        </is>
      </c>
      <c r="L971" s="1" t="inlineStr">
        <is>
          <t>PIN:623840 PARRAMATTA</t>
        </is>
      </c>
      <c r="M971" s="2" t="inlineStr">
        <is>
          <t>MHA/IND/01062</t>
        </is>
      </c>
      <c r="N971" s="30" t="n">
        <v>45856</v>
      </c>
    </row>
    <row r="972">
      <c r="A972" s="28" t="n">
        <v>971</v>
      </c>
      <c r="B972" s="1" t="inlineStr">
        <is>
          <t>KABIR KALEON</t>
        </is>
      </c>
      <c r="C972" s="30" t="n">
        <v>45782</v>
      </c>
      <c r="D972" s="1" t="inlineStr">
        <is>
          <t>GEELONG</t>
        </is>
      </c>
      <c r="E972" s="12" t="inlineStr">
        <is>
          <t>IND/MEL/00971</t>
        </is>
      </c>
      <c r="F972" s="1" t="inlineStr">
        <is>
          <t>F</t>
        </is>
      </c>
      <c r="G972" s="1" t="inlineStr">
        <is>
          <t>Rohit Rao</t>
        </is>
      </c>
      <c r="H972" s="1" t="inlineStr">
        <is>
          <t>Alya Rao</t>
        </is>
      </c>
      <c r="I972" s="30" t="n">
        <v>45787</v>
      </c>
      <c r="J972" s="1" t="inlineStr">
        <is>
          <t>112 Birchwood Lane</t>
        </is>
      </c>
      <c r="K972" s="1" t="inlineStr">
        <is>
          <t>Emerald Road</t>
        </is>
      </c>
      <c r="L972" s="1" t="inlineStr">
        <is>
          <t>PIN:153426 GEELONG</t>
        </is>
      </c>
      <c r="M972" s="2" t="inlineStr">
        <is>
          <t>MHA/IND/01063</t>
        </is>
      </c>
      <c r="N972" s="30" t="n">
        <v>45870</v>
      </c>
    </row>
    <row r="973">
      <c r="A973" s="28" t="n">
        <v>972</v>
      </c>
      <c r="B973" s="1" t="inlineStr">
        <is>
          <t>MIRA MYRTHOS</t>
        </is>
      </c>
      <c r="C973" s="30" t="n">
        <v>45754</v>
      </c>
      <c r="D973" s="1" t="inlineStr">
        <is>
          <t>PALMERSTON</t>
        </is>
      </c>
      <c r="E973" s="12" t="inlineStr">
        <is>
          <t>IND/MEL/00972</t>
        </is>
      </c>
      <c r="F973" s="1" t="inlineStr">
        <is>
          <t>M</t>
        </is>
      </c>
      <c r="G973" s="1" t="inlineStr">
        <is>
          <t>Aren Valzari</t>
        </is>
      </c>
      <c r="H973" s="1" t="inlineStr">
        <is>
          <t>Anya Valzari</t>
        </is>
      </c>
      <c r="I973" s="30" t="n">
        <v>45765</v>
      </c>
      <c r="J973" s="1" t="inlineStr">
        <is>
          <t>20 Birchwood Lane</t>
        </is>
      </c>
      <c r="K973" s="1" t="inlineStr">
        <is>
          <t>Emerald Road</t>
        </is>
      </c>
      <c r="L973" s="1" t="inlineStr">
        <is>
          <t>PIN:548726 PALMERSTON</t>
        </is>
      </c>
      <c r="M973" s="2" t="inlineStr">
        <is>
          <t>MHA/IND/01064</t>
        </is>
      </c>
      <c r="N973" s="30" t="n">
        <v>45885</v>
      </c>
    </row>
    <row r="974">
      <c r="A974" s="28" t="n">
        <v>973</v>
      </c>
      <c r="B974" s="1" t="inlineStr">
        <is>
          <t>KIRAN SHARMA</t>
        </is>
      </c>
      <c r="C974" s="30" t="n">
        <v>45951</v>
      </c>
      <c r="D974" s="1" t="inlineStr">
        <is>
          <t>LENAH VALLEY</t>
        </is>
      </c>
      <c r="E974" s="12" t="inlineStr">
        <is>
          <t>IND/MEL/00973</t>
        </is>
      </c>
      <c r="F974" s="1" t="inlineStr">
        <is>
          <t>M</t>
        </is>
      </c>
      <c r="G974" s="1" t="inlineStr">
        <is>
          <t>Kabir Kaleon</t>
        </is>
      </c>
      <c r="H974" s="1" t="inlineStr">
        <is>
          <t>Riya Kaleon</t>
        </is>
      </c>
      <c r="I974" s="30" t="n">
        <v>46031</v>
      </c>
      <c r="J974" s="1" t="inlineStr">
        <is>
          <t>163 Birchwood Lane</t>
        </is>
      </c>
      <c r="K974" s="1" t="inlineStr">
        <is>
          <t>Emerald Road</t>
        </is>
      </c>
      <c r="L974" s="1" t="inlineStr">
        <is>
          <t>PIN:398774 LENAH VALLEY</t>
        </is>
      </c>
      <c r="M974" s="2" t="inlineStr">
        <is>
          <t>MHA/IND/01065</t>
        </is>
      </c>
      <c r="N974" s="30" t="n">
        <v>45871</v>
      </c>
    </row>
    <row r="975">
      <c r="A975" s="28" t="n">
        <v>974</v>
      </c>
      <c r="B975" s="1" t="inlineStr">
        <is>
          <t>KIRAN KALEON</t>
        </is>
      </c>
      <c r="C975" s="30" t="n">
        <v>45804</v>
      </c>
      <c r="D975" s="1" t="inlineStr">
        <is>
          <t>MIDLAND</t>
        </is>
      </c>
      <c r="E975" s="12" t="inlineStr">
        <is>
          <t>IND/MEL/00974</t>
        </is>
      </c>
      <c r="F975" s="1" t="inlineStr">
        <is>
          <t>M</t>
        </is>
      </c>
      <c r="G975" s="1" t="inlineStr">
        <is>
          <t>Kabir Myrthos</t>
        </is>
      </c>
      <c r="H975" s="1" t="inlineStr">
        <is>
          <t>Nina Myrthos</t>
        </is>
      </c>
      <c r="I975" s="30" t="n">
        <v>45918</v>
      </c>
      <c r="J975" s="1" t="inlineStr">
        <is>
          <t>179 Birchwood Lane</t>
        </is>
      </c>
      <c r="K975" s="1" t="inlineStr">
        <is>
          <t>Emerald Road</t>
        </is>
      </c>
      <c r="L975" s="1" t="inlineStr">
        <is>
          <t>PIN:688803 MIDLAND</t>
        </is>
      </c>
      <c r="M975" s="2" t="inlineStr">
        <is>
          <t>MHA/IND/01066</t>
        </is>
      </c>
      <c r="N975" s="30" t="n">
        <v>45861</v>
      </c>
    </row>
    <row r="976">
      <c r="A976" s="28" t="n">
        <v>975</v>
      </c>
      <c r="B976" s="1" t="inlineStr">
        <is>
          <t>TARA SINDALE</t>
        </is>
      </c>
      <c r="C976" s="30" t="n">
        <v>45908</v>
      </c>
      <c r="D976" s="1" t="inlineStr">
        <is>
          <t>ROCKHAMPTON</t>
        </is>
      </c>
      <c r="E976" s="12" t="inlineStr">
        <is>
          <t>IND/MEL/00975</t>
        </is>
      </c>
      <c r="F976" s="1" t="inlineStr">
        <is>
          <t>F</t>
        </is>
      </c>
      <c r="G976" s="1" t="inlineStr">
        <is>
          <t>Ishan Sindale</t>
        </is>
      </c>
      <c r="H976" s="1" t="inlineStr">
        <is>
          <t>Anya Sindale</t>
        </is>
      </c>
      <c r="I976" s="30" t="n">
        <v>45915</v>
      </c>
      <c r="J976" s="1" t="inlineStr">
        <is>
          <t>11 Birchwood Lane</t>
        </is>
      </c>
      <c r="K976" s="1" t="inlineStr">
        <is>
          <t>Emerald Road</t>
        </is>
      </c>
      <c r="L976" s="1" t="inlineStr">
        <is>
          <t>PIN:572879 ROCKHAMPTON</t>
        </is>
      </c>
      <c r="M976" s="2" t="inlineStr">
        <is>
          <t>MHA/IND/01067</t>
        </is>
      </c>
      <c r="N976" s="30" t="n">
        <v>45873</v>
      </c>
    </row>
    <row r="977">
      <c r="A977" s="28" t="n">
        <v>976</v>
      </c>
      <c r="B977" s="1" t="inlineStr">
        <is>
          <t>DEV RAO</t>
        </is>
      </c>
      <c r="C977" s="30" t="n">
        <v>45692</v>
      </c>
      <c r="D977" s="1" t="inlineStr">
        <is>
          <t>MANDURAH</t>
        </is>
      </c>
      <c r="E977" s="12" t="inlineStr">
        <is>
          <t>IND/MEL/00976</t>
        </is>
      </c>
      <c r="F977" s="1" t="inlineStr">
        <is>
          <t>F</t>
        </is>
      </c>
      <c r="G977" s="1" t="inlineStr">
        <is>
          <t>Dev Valzari</t>
        </is>
      </c>
      <c r="H977" s="1" t="inlineStr">
        <is>
          <t>Alya Valzari</t>
        </is>
      </c>
      <c r="I977" s="30" t="n">
        <v>45717</v>
      </c>
      <c r="J977" s="1" t="inlineStr">
        <is>
          <t>69 Birchwood Lane</t>
        </is>
      </c>
      <c r="K977" s="1" t="inlineStr">
        <is>
          <t>Emerald Road</t>
        </is>
      </c>
      <c r="L977" s="1" t="inlineStr">
        <is>
          <t>PIN:775685 MANDURAH</t>
        </is>
      </c>
      <c r="M977" s="2" t="inlineStr">
        <is>
          <t>MHA/IND/01068</t>
        </is>
      </c>
      <c r="N977" s="30" t="n">
        <v>45853</v>
      </c>
    </row>
    <row r="978">
      <c r="A978" s="28" t="n">
        <v>977</v>
      </c>
      <c r="B978" s="1" t="inlineStr">
        <is>
          <t>ISHAN RISHKAN</t>
        </is>
      </c>
      <c r="C978" s="30" t="n">
        <v>45695</v>
      </c>
      <c r="D978" s="1" t="inlineStr">
        <is>
          <t>DALBY</t>
        </is>
      </c>
      <c r="E978" s="12" t="inlineStr">
        <is>
          <t>IND/MEL/00977</t>
        </is>
      </c>
      <c r="F978" s="1" t="inlineStr">
        <is>
          <t>M</t>
        </is>
      </c>
      <c r="G978" s="1" t="inlineStr">
        <is>
          <t>Arjun Rishkan</t>
        </is>
      </c>
      <c r="H978" s="1" t="inlineStr">
        <is>
          <t>Riya Rishkan</t>
        </is>
      </c>
      <c r="I978" s="30" t="n">
        <v>45747</v>
      </c>
      <c r="J978" s="1" t="inlineStr">
        <is>
          <t>16 Birchwood Lane</t>
        </is>
      </c>
      <c r="K978" s="1" t="inlineStr">
        <is>
          <t>Emerald Road</t>
        </is>
      </c>
      <c r="L978" s="1" t="inlineStr">
        <is>
          <t>PIN:294333 DALBY</t>
        </is>
      </c>
      <c r="M978" s="2" t="inlineStr">
        <is>
          <t>MHA/IND/01069</t>
        </is>
      </c>
      <c r="N978" s="30" t="n">
        <v>45865</v>
      </c>
    </row>
    <row r="979">
      <c r="A979" s="28" t="n">
        <v>978</v>
      </c>
      <c r="B979" s="1" t="inlineStr">
        <is>
          <t>KABIR SINDALE</t>
        </is>
      </c>
      <c r="C979" s="30" t="n">
        <v>45833</v>
      </c>
      <c r="D979" s="1" t="inlineStr">
        <is>
          <t>PARKVILLE</t>
        </is>
      </c>
      <c r="E979" s="12" t="inlineStr">
        <is>
          <t>IND/MEL/00978</t>
        </is>
      </c>
      <c r="F979" s="1" t="inlineStr">
        <is>
          <t>F</t>
        </is>
      </c>
      <c r="G979" s="1" t="inlineStr">
        <is>
          <t>Ishan Rao</t>
        </is>
      </c>
      <c r="H979" s="1" t="inlineStr">
        <is>
          <t>Riya Rao</t>
        </is>
      </c>
      <c r="I979" s="30" t="n">
        <v>45856</v>
      </c>
      <c r="J979" s="1" t="inlineStr">
        <is>
          <t>89 Birchwood Lane</t>
        </is>
      </c>
      <c r="K979" s="1" t="inlineStr">
        <is>
          <t>Emerald Road</t>
        </is>
      </c>
      <c r="L979" s="1" t="inlineStr">
        <is>
          <t>PIN:778480 PARKVILLE</t>
        </is>
      </c>
      <c r="M979" s="2" t="inlineStr">
        <is>
          <t>MHA/IND/01070</t>
        </is>
      </c>
      <c r="N979" s="30" t="n">
        <v>45840</v>
      </c>
    </row>
    <row r="980">
      <c r="A980" s="28" t="n">
        <v>979</v>
      </c>
      <c r="B980" s="1" t="inlineStr">
        <is>
          <t>KABIR SINDALE</t>
        </is>
      </c>
      <c r="C980" s="30" t="n">
        <v>45812</v>
      </c>
      <c r="D980" s="1" t="inlineStr">
        <is>
          <t>ADELAIDE</t>
        </is>
      </c>
      <c r="E980" s="12" t="inlineStr">
        <is>
          <t>IND/MEL/00979</t>
        </is>
      </c>
      <c r="F980" s="1" t="inlineStr">
        <is>
          <t>F</t>
        </is>
      </c>
      <c r="G980" s="1" t="inlineStr">
        <is>
          <t>Kabir Rishkan</t>
        </is>
      </c>
      <c r="H980" s="1" t="inlineStr">
        <is>
          <t>Sara Rishkan</t>
        </is>
      </c>
      <c r="I980" s="30" t="n">
        <v>45931</v>
      </c>
      <c r="J980" s="1" t="inlineStr">
        <is>
          <t>77 Birchwood Lane</t>
        </is>
      </c>
      <c r="K980" s="1" t="inlineStr">
        <is>
          <t>Emerald Road</t>
        </is>
      </c>
      <c r="L980" s="1" t="inlineStr">
        <is>
          <t>PIN:952963 ADELAIDE</t>
        </is>
      </c>
      <c r="M980" s="2" t="inlineStr">
        <is>
          <t>MHA/IND/01071</t>
        </is>
      </c>
      <c r="N980" s="30" t="n">
        <v>45878</v>
      </c>
    </row>
    <row r="981">
      <c r="A981" s="28" t="n">
        <v>980</v>
      </c>
      <c r="B981" s="1" t="inlineStr">
        <is>
          <t>AREN RAO</t>
        </is>
      </c>
      <c r="C981" s="30" t="n">
        <v>45833</v>
      </c>
      <c r="D981" s="1" t="inlineStr">
        <is>
          <t>LOGAN</t>
        </is>
      </c>
      <c r="E981" s="12" t="inlineStr">
        <is>
          <t>IND/MEL/00980</t>
        </is>
      </c>
      <c r="F981" s="1" t="inlineStr">
        <is>
          <t>M</t>
        </is>
      </c>
      <c r="G981" s="1" t="inlineStr">
        <is>
          <t>Arjun Rao</t>
        </is>
      </c>
      <c r="H981" s="1" t="inlineStr">
        <is>
          <t>Nina Rao</t>
        </is>
      </c>
      <c r="I981" s="30" t="n">
        <v>45935</v>
      </c>
      <c r="J981" s="1" t="inlineStr">
        <is>
          <t>190 Birchwood Lane</t>
        </is>
      </c>
      <c r="K981" s="1" t="inlineStr">
        <is>
          <t>Emerald Road</t>
        </is>
      </c>
      <c r="L981" s="1" t="inlineStr">
        <is>
          <t>PIN:921501 LOGAN</t>
        </is>
      </c>
      <c r="M981" s="2" t="inlineStr">
        <is>
          <t>MHA/IND/01072</t>
        </is>
      </c>
      <c r="N981" s="30" t="n">
        <v>45845</v>
      </c>
    </row>
    <row r="982">
      <c r="A982" s="28" t="n">
        <v>981</v>
      </c>
      <c r="B982" s="1" t="inlineStr">
        <is>
          <t>ANYA KALEON</t>
        </is>
      </c>
      <c r="C982" s="30" t="n">
        <v>45834</v>
      </c>
      <c r="D982" s="1" t="inlineStr">
        <is>
          <t>FRANKSTON</t>
        </is>
      </c>
      <c r="E982" s="12" t="inlineStr">
        <is>
          <t>IND/MEL/00981</t>
        </is>
      </c>
      <c r="F982" s="1" t="inlineStr">
        <is>
          <t>M</t>
        </is>
      </c>
      <c r="G982" s="1" t="inlineStr">
        <is>
          <t>Neil Rishkan</t>
        </is>
      </c>
      <c r="H982" s="1" t="inlineStr">
        <is>
          <t>Tara Rishkan</t>
        </is>
      </c>
      <c r="I982" s="30" t="n">
        <v>45866</v>
      </c>
      <c r="J982" s="1" t="inlineStr">
        <is>
          <t>135 Birchwood Lane</t>
        </is>
      </c>
      <c r="K982" s="1" t="inlineStr">
        <is>
          <t>Emerald Road</t>
        </is>
      </c>
      <c r="L982" s="1" t="inlineStr">
        <is>
          <t>PIN:461997 FRANKSTON</t>
        </is>
      </c>
      <c r="M982" s="2" t="inlineStr">
        <is>
          <t>MHA/IND/01073</t>
        </is>
      </c>
      <c r="N982" s="30" t="n">
        <v>45858</v>
      </c>
    </row>
    <row r="983">
      <c r="A983" s="28" t="n">
        <v>982</v>
      </c>
      <c r="B983" s="1" t="inlineStr">
        <is>
          <t>TARA SHARMA</t>
        </is>
      </c>
      <c r="C983" s="30" t="n">
        <v>45787</v>
      </c>
      <c r="D983" s="1" t="inlineStr">
        <is>
          <t>ST ALBANS</t>
        </is>
      </c>
      <c r="E983" s="12" t="inlineStr">
        <is>
          <t>IND/MEL/00982</t>
        </is>
      </c>
      <c r="F983" s="1" t="inlineStr">
        <is>
          <t>M</t>
        </is>
      </c>
      <c r="G983" s="1" t="inlineStr">
        <is>
          <t>Arjun Myrthos</t>
        </is>
      </c>
      <c r="H983" s="1" t="inlineStr">
        <is>
          <t>Sara Myrthos</t>
        </is>
      </c>
      <c r="I983" s="30" t="n">
        <v>45833</v>
      </c>
      <c r="J983" s="1" t="inlineStr">
        <is>
          <t>118 Birchwood Lane</t>
        </is>
      </c>
      <c r="K983" s="1" t="inlineStr">
        <is>
          <t>Emerald Road</t>
        </is>
      </c>
      <c r="L983" s="1" t="inlineStr">
        <is>
          <t>PIN:541304 ST ALBANS</t>
        </is>
      </c>
      <c r="M983" s="2" t="inlineStr">
        <is>
          <t>MHA/IND/01074</t>
        </is>
      </c>
      <c r="N983" s="30" t="n">
        <v>45865</v>
      </c>
    </row>
    <row r="984">
      <c r="A984" s="28" t="n">
        <v>983</v>
      </c>
      <c r="B984" s="1" t="inlineStr">
        <is>
          <t>NINA RISHKAN</t>
        </is>
      </c>
      <c r="C984" s="30" t="n">
        <v>45667</v>
      </c>
      <c r="D984" s="1" t="inlineStr">
        <is>
          <t>MANDURAH</t>
        </is>
      </c>
      <c r="E984" s="12" t="inlineStr">
        <is>
          <t>IND/MEL/00983</t>
        </is>
      </c>
      <c r="F984" s="1" t="inlineStr">
        <is>
          <t>M</t>
        </is>
      </c>
      <c r="G984" s="1" t="inlineStr">
        <is>
          <t>Arjun Rishkan</t>
        </is>
      </c>
      <c r="H984" s="1" t="inlineStr">
        <is>
          <t>Sara Rishkan</t>
        </is>
      </c>
      <c r="I984" s="30" t="n">
        <v>45721</v>
      </c>
      <c r="J984" s="1" t="inlineStr">
        <is>
          <t>10 Birchwood Lane</t>
        </is>
      </c>
      <c r="K984" s="1" t="inlineStr">
        <is>
          <t>Emerald Road</t>
        </is>
      </c>
      <c r="L984" s="1" t="inlineStr">
        <is>
          <t>PIN:613365 MANDURAH</t>
        </is>
      </c>
      <c r="M984" s="2" t="inlineStr">
        <is>
          <t>MHA/IND/01075</t>
        </is>
      </c>
      <c r="N984" s="30" t="n">
        <v>45885</v>
      </c>
    </row>
    <row r="985">
      <c r="A985" s="28" t="n">
        <v>984</v>
      </c>
      <c r="B985" s="1" t="inlineStr">
        <is>
          <t>ISHAN SHARMA</t>
        </is>
      </c>
      <c r="C985" s="30" t="n">
        <v>45956</v>
      </c>
      <c r="D985" s="1" t="inlineStr">
        <is>
          <t>BEDFORD PARK</t>
        </is>
      </c>
      <c r="E985" s="12" t="inlineStr">
        <is>
          <t>IND/MEL/00984</t>
        </is>
      </c>
      <c r="F985" s="1" t="inlineStr">
        <is>
          <t>F</t>
        </is>
      </c>
      <c r="G985" s="1" t="inlineStr">
        <is>
          <t>Arjun Valzari</t>
        </is>
      </c>
      <c r="H985" s="1" t="inlineStr">
        <is>
          <t>Diya Valzari</t>
        </is>
      </c>
      <c r="I985" s="30" t="n">
        <v>45962</v>
      </c>
      <c r="J985" s="1" t="inlineStr">
        <is>
          <t>184 Birchwood Lane</t>
        </is>
      </c>
      <c r="K985" s="1" t="inlineStr">
        <is>
          <t>Emerald Road</t>
        </is>
      </c>
      <c r="L985" s="1" t="inlineStr">
        <is>
          <t>PIN:462170 BEDFORD PARK</t>
        </is>
      </c>
      <c r="M985" s="2" t="inlineStr">
        <is>
          <t>MHA/IND/01076</t>
        </is>
      </c>
      <c r="N985" s="30" t="n">
        <v>45867</v>
      </c>
    </row>
    <row r="986">
      <c r="A986" s="28" t="n">
        <v>985</v>
      </c>
      <c r="B986" s="1" t="inlineStr">
        <is>
          <t>DIYA KALEON</t>
        </is>
      </c>
      <c r="C986" s="30" t="n">
        <v>45901</v>
      </c>
      <c r="D986" s="1" t="inlineStr">
        <is>
          <t>WERRIBEE</t>
        </is>
      </c>
      <c r="E986" s="12" t="inlineStr">
        <is>
          <t>IND/MEL/00985</t>
        </is>
      </c>
      <c r="F986" s="1" t="inlineStr">
        <is>
          <t>M</t>
        </is>
      </c>
      <c r="G986" s="1" t="inlineStr">
        <is>
          <t>Arjun Myrthos</t>
        </is>
      </c>
      <c r="H986" s="1" t="inlineStr">
        <is>
          <t>Nina Myrthos</t>
        </is>
      </c>
      <c r="I986" s="30" t="n">
        <v>45941</v>
      </c>
      <c r="J986" s="1" t="inlineStr">
        <is>
          <t>35 Birchwood Lane</t>
        </is>
      </c>
      <c r="K986" s="1" t="inlineStr">
        <is>
          <t>Emerald Road</t>
        </is>
      </c>
      <c r="L986" s="1" t="inlineStr">
        <is>
          <t>PIN:345085 WERRIBEE</t>
        </is>
      </c>
      <c r="M986" s="2" t="inlineStr">
        <is>
          <t>MHA/IND/01077</t>
        </is>
      </c>
      <c r="N986" s="30" t="n">
        <v>45895</v>
      </c>
    </row>
    <row r="987">
      <c r="A987" s="28" t="n">
        <v>986</v>
      </c>
      <c r="B987" s="1" t="inlineStr">
        <is>
          <t>SARA SINDALE</t>
        </is>
      </c>
      <c r="C987" s="30" t="n">
        <v>45860</v>
      </c>
      <c r="D987" s="1" t="inlineStr">
        <is>
          <t>BUNDABERG</t>
        </is>
      </c>
      <c r="E987" s="12" t="inlineStr">
        <is>
          <t>IND/MEL/00986</t>
        </is>
      </c>
      <c r="F987" s="1" t="inlineStr">
        <is>
          <t>M</t>
        </is>
      </c>
      <c r="G987" s="1" t="inlineStr">
        <is>
          <t>Neil Rao</t>
        </is>
      </c>
      <c r="H987" s="1" t="inlineStr">
        <is>
          <t>Sara Rao</t>
        </is>
      </c>
      <c r="I987" s="30" t="n">
        <v>45905</v>
      </c>
      <c r="J987" s="1" t="inlineStr">
        <is>
          <t>131 Birchwood Lane</t>
        </is>
      </c>
      <c r="K987" s="1" t="inlineStr">
        <is>
          <t>Emerald Road</t>
        </is>
      </c>
      <c r="L987" s="1" t="inlineStr">
        <is>
          <t>PIN:834366 BUNDABERG</t>
        </is>
      </c>
      <c r="M987" s="2" t="inlineStr">
        <is>
          <t>MHA/IND/01078</t>
        </is>
      </c>
      <c r="N987" s="30" t="n">
        <v>45847</v>
      </c>
    </row>
    <row r="988">
      <c r="A988" s="28" t="n">
        <v>987</v>
      </c>
      <c r="B988" s="1" t="inlineStr">
        <is>
          <t>ANYA RISHKAN</t>
        </is>
      </c>
      <c r="C988" s="30" t="n">
        <v>45828</v>
      </c>
      <c r="D988" s="1" t="inlineStr">
        <is>
          <t>PERTH</t>
        </is>
      </c>
      <c r="E988" s="12" t="inlineStr">
        <is>
          <t>IND/MEL/00987</t>
        </is>
      </c>
      <c r="F988" s="1" t="inlineStr">
        <is>
          <t>F</t>
        </is>
      </c>
      <c r="G988" s="1" t="inlineStr">
        <is>
          <t>Neil Rao</t>
        </is>
      </c>
      <c r="H988" s="1" t="inlineStr">
        <is>
          <t>Riya Rao</t>
        </is>
      </c>
      <c r="I988" s="30" t="n">
        <v>45872</v>
      </c>
      <c r="J988" s="1" t="inlineStr">
        <is>
          <t>32 Birchwood Lane</t>
        </is>
      </c>
      <c r="K988" s="1" t="inlineStr">
        <is>
          <t>Emerald Road</t>
        </is>
      </c>
      <c r="L988" s="1" t="inlineStr">
        <is>
          <t>PIN:127602 PERTH</t>
        </is>
      </c>
      <c r="M988" s="2" t="inlineStr">
        <is>
          <t>MHA/IND/01079</t>
        </is>
      </c>
      <c r="N988" s="30" t="n">
        <v>45896</v>
      </c>
    </row>
    <row r="989">
      <c r="A989" s="28" t="n">
        <v>988</v>
      </c>
      <c r="B989" s="1" t="inlineStr">
        <is>
          <t>ISHAN VALZARI</t>
        </is>
      </c>
      <c r="C989" s="30" t="n">
        <v>45775</v>
      </c>
      <c r="D989" s="1" t="inlineStr">
        <is>
          <t>NEWCASTLE</t>
        </is>
      </c>
      <c r="E989" s="12" t="inlineStr">
        <is>
          <t>IND/MEL/00988</t>
        </is>
      </c>
      <c r="F989" s="1" t="inlineStr">
        <is>
          <t>M</t>
        </is>
      </c>
      <c r="G989" s="1" t="inlineStr">
        <is>
          <t>Ishan Myrthos</t>
        </is>
      </c>
      <c r="H989" s="1" t="inlineStr">
        <is>
          <t>Anya Myrthos</t>
        </is>
      </c>
      <c r="I989" s="30" t="n">
        <v>45873</v>
      </c>
      <c r="J989" s="1" t="inlineStr">
        <is>
          <t>139 Birchwood Lane</t>
        </is>
      </c>
      <c r="K989" s="1" t="inlineStr">
        <is>
          <t>Emerald Road</t>
        </is>
      </c>
      <c r="L989" s="1" t="inlineStr">
        <is>
          <t>PIN:884260 NEWCASTLE</t>
        </is>
      </c>
      <c r="M989" s="2" t="inlineStr">
        <is>
          <t>MHA/IND/01080</t>
        </is>
      </c>
      <c r="N989" s="30" t="n">
        <v>45858</v>
      </c>
    </row>
    <row r="990">
      <c r="A990" s="28" t="n">
        <v>989</v>
      </c>
      <c r="B990" s="1" t="inlineStr">
        <is>
          <t>ANYA SHARMA</t>
        </is>
      </c>
      <c r="C990" s="30" t="n">
        <v>46012</v>
      </c>
      <c r="D990" s="1" t="inlineStr">
        <is>
          <t>NORTH LEONARD</t>
        </is>
      </c>
      <c r="E990" s="12" t="inlineStr">
        <is>
          <t>IND/MEL/00989</t>
        </is>
      </c>
      <c r="F990" s="1" t="inlineStr">
        <is>
          <t>F</t>
        </is>
      </c>
      <c r="G990" s="1" t="inlineStr">
        <is>
          <t>Cristian Duffy</t>
        </is>
      </c>
      <c r="H990" s="1" t="inlineStr">
        <is>
          <t>Sarah Weaver</t>
        </is>
      </c>
      <c r="I990" s="30" t="n">
        <v>46065</v>
      </c>
      <c r="J990" s="1" t="inlineStr">
        <is>
          <t>2679 Bender Stravenue</t>
        </is>
      </c>
      <c r="K990" s="1" t="inlineStr">
        <is>
          <t>Apt. 991</t>
        </is>
      </c>
      <c r="L990" s="1" t="inlineStr">
        <is>
          <t>PIN:36472 LAKE JAMES</t>
        </is>
      </c>
      <c r="M990" s="2" t="inlineStr">
        <is>
          <t>MHA/IND/01081</t>
        </is>
      </c>
      <c r="N990" s="30" t="n">
        <v>45869</v>
      </c>
    </row>
    <row r="991">
      <c r="A991" s="28" t="n">
        <v>990</v>
      </c>
      <c r="B991" s="1" t="inlineStr">
        <is>
          <t>AREN SHARMA</t>
        </is>
      </c>
      <c r="C991" s="30" t="n">
        <v>46012</v>
      </c>
      <c r="D991" s="1" t="inlineStr">
        <is>
          <t>NORTH LEONARD</t>
        </is>
      </c>
      <c r="E991" s="12" t="inlineStr">
        <is>
          <t>IND/MEL/00990</t>
        </is>
      </c>
      <c r="F991" s="1" t="inlineStr">
        <is>
          <t>F</t>
        </is>
      </c>
      <c r="G991" s="1" t="inlineStr">
        <is>
          <t>Cristian Duffy</t>
        </is>
      </c>
      <c r="H991" s="1" t="inlineStr">
        <is>
          <t>Sarah Weaver</t>
        </is>
      </c>
      <c r="I991" s="30" t="n">
        <v>46065</v>
      </c>
      <c r="J991" s="1" t="inlineStr">
        <is>
          <t>2679 Bender Stravenue</t>
        </is>
      </c>
      <c r="K991" s="1" t="inlineStr">
        <is>
          <t>Apt. 991</t>
        </is>
      </c>
      <c r="L991" s="1" t="inlineStr">
        <is>
          <t>PIN:36472 LAKE JAMES</t>
        </is>
      </c>
      <c r="M991" s="2" t="inlineStr">
        <is>
          <t>MHA/IND/01081</t>
        </is>
      </c>
      <c r="N991" s="30" t="n">
        <v>45853</v>
      </c>
    </row>
    <row r="992">
      <c r="A992" s="28" t="n">
        <v>991</v>
      </c>
      <c r="B992" s="1" t="inlineStr">
        <is>
          <t>KIRAN RAO</t>
        </is>
      </c>
      <c r="C992" s="30" t="n">
        <v>45751</v>
      </c>
      <c r="D992" s="1" t="inlineStr">
        <is>
          <t>GAILBURGH</t>
        </is>
      </c>
      <c r="E992" s="12" t="inlineStr">
        <is>
          <t>IND/MEL/00991</t>
        </is>
      </c>
      <c r="F992" s="1" t="inlineStr">
        <is>
          <t>F</t>
        </is>
      </c>
      <c r="G992" s="1" t="inlineStr">
        <is>
          <t>Richard White</t>
        </is>
      </c>
      <c r="H992" s="1" t="inlineStr">
        <is>
          <t>Jeanne Baker</t>
        </is>
      </c>
      <c r="I992" s="30" t="n">
        <v>46065</v>
      </c>
      <c r="J992" s="1" t="inlineStr">
        <is>
          <t>730 Patton Roads Suite 968</t>
        </is>
      </c>
      <c r="K992" s="1" t="inlineStr">
        <is>
          <t>Apt. 059</t>
        </is>
      </c>
      <c r="L992" s="1" t="inlineStr">
        <is>
          <t>PIN:12864 HOPKINSSTAD</t>
        </is>
      </c>
      <c r="M992" s="2" t="inlineStr">
        <is>
          <t>MHA/IND/01082</t>
        </is>
      </c>
      <c r="N992" s="30" t="n">
        <v>45893</v>
      </c>
    </row>
    <row r="993">
      <c r="A993" s="28" t="n">
        <v>992</v>
      </c>
      <c r="B993" s="1" t="inlineStr">
        <is>
          <t>DIYA MYRTHOS</t>
        </is>
      </c>
      <c r="C993" s="30" t="n">
        <v>45751</v>
      </c>
      <c r="D993" s="1" t="inlineStr">
        <is>
          <t>GAILBURGH</t>
        </is>
      </c>
      <c r="E993" s="12" t="inlineStr">
        <is>
          <t>IND/MEL/00992</t>
        </is>
      </c>
      <c r="F993" s="1" t="inlineStr">
        <is>
          <t>F</t>
        </is>
      </c>
      <c r="G993" s="1" t="inlineStr">
        <is>
          <t>Richard White</t>
        </is>
      </c>
      <c r="H993" s="1" t="inlineStr">
        <is>
          <t>Jeanne Baker</t>
        </is>
      </c>
      <c r="I993" s="30" t="n">
        <v>46065</v>
      </c>
      <c r="J993" s="1" t="inlineStr">
        <is>
          <t>730 Patton Roads Suite 968</t>
        </is>
      </c>
      <c r="K993" s="1" t="inlineStr">
        <is>
          <t>Apt. 059</t>
        </is>
      </c>
      <c r="L993" s="1" t="inlineStr">
        <is>
          <t>PIN:12864 HOPKINSSTAD</t>
        </is>
      </c>
      <c r="M993" s="2" t="inlineStr">
        <is>
          <t>MHA/IND/01082</t>
        </is>
      </c>
      <c r="N993" s="30" t="n">
        <v>45868</v>
      </c>
    </row>
    <row r="994">
      <c r="A994" s="28" t="n">
        <v>993</v>
      </c>
      <c r="B994" s="1" t="inlineStr">
        <is>
          <t>RIYA KALEON</t>
        </is>
      </c>
      <c r="C994" s="30" t="n">
        <v>45992</v>
      </c>
      <c r="D994" s="1" t="inlineStr">
        <is>
          <t>SOUTH BRIAN</t>
        </is>
      </c>
      <c r="E994" s="12" t="inlineStr">
        <is>
          <t>IND/MEL/00993</t>
        </is>
      </c>
      <c r="F994" s="1" t="inlineStr">
        <is>
          <t>M</t>
        </is>
      </c>
      <c r="G994" s="1" t="inlineStr">
        <is>
          <t>Maurice Davis</t>
        </is>
      </c>
      <c r="H994" s="1" t="inlineStr">
        <is>
          <t>Angela Brown MD</t>
        </is>
      </c>
      <c r="I994" s="30" t="n">
        <v>46065</v>
      </c>
      <c r="J994" s="1" t="inlineStr">
        <is>
          <t>178 Gomez Brook</t>
        </is>
      </c>
      <c r="K994" s="1" t="inlineStr">
        <is>
          <t>Apt. 678</t>
        </is>
      </c>
      <c r="L994" s="1" t="inlineStr">
        <is>
          <t>PIN:37134 JORDANHAVEN</t>
        </is>
      </c>
      <c r="M994" s="2" t="inlineStr">
        <is>
          <t>MHA/IND/01083</t>
        </is>
      </c>
      <c r="N994" s="30" t="n">
        <v>45885</v>
      </c>
    </row>
    <row r="995">
      <c r="A995" s="28" t="n">
        <v>994</v>
      </c>
      <c r="B995" s="1" t="inlineStr">
        <is>
          <t>AREN VALZARI</t>
        </is>
      </c>
      <c r="C995" s="30" t="n">
        <v>45992</v>
      </c>
      <c r="D995" s="1" t="inlineStr">
        <is>
          <t>SOUTH BRIAN</t>
        </is>
      </c>
      <c r="E995" s="12" t="inlineStr">
        <is>
          <t>IND/MEL/00994</t>
        </is>
      </c>
      <c r="F995" s="1" t="inlineStr">
        <is>
          <t>M</t>
        </is>
      </c>
      <c r="G995" s="1" t="inlineStr">
        <is>
          <t>Maurice Davis</t>
        </is>
      </c>
      <c r="H995" s="1" t="inlineStr">
        <is>
          <t>Angela Brown MD</t>
        </is>
      </c>
      <c r="I995" s="30" t="n">
        <v>46065</v>
      </c>
      <c r="J995" s="1" t="inlineStr">
        <is>
          <t>178 Gomez Brook</t>
        </is>
      </c>
      <c r="K995" s="1" t="inlineStr">
        <is>
          <t>Apt. 678</t>
        </is>
      </c>
      <c r="L995" s="1" t="inlineStr">
        <is>
          <t>PIN:37134 JORDANHAVEN</t>
        </is>
      </c>
      <c r="M995" s="2" t="inlineStr">
        <is>
          <t>MHA/IND/01083</t>
        </is>
      </c>
      <c r="N995" s="30" t="n">
        <v>45878</v>
      </c>
    </row>
    <row r="996">
      <c r="A996" s="28" t="n">
        <v>995</v>
      </c>
      <c r="B996" s="1" t="inlineStr">
        <is>
          <t>SARA VALZARI</t>
        </is>
      </c>
      <c r="C996" s="30" t="n">
        <v>45941</v>
      </c>
      <c r="D996" s="1" t="inlineStr">
        <is>
          <t>SARAHBURY</t>
        </is>
      </c>
      <c r="E996" s="12" t="inlineStr">
        <is>
          <t>IND/MEL/00995</t>
        </is>
      </c>
      <c r="F996" s="1" t="inlineStr">
        <is>
          <t>F</t>
        </is>
      </c>
      <c r="G996" s="1" t="inlineStr">
        <is>
          <t>Bryan Mayer</t>
        </is>
      </c>
      <c r="H996" s="1" t="inlineStr">
        <is>
          <t>Misty Jackson DDS</t>
        </is>
      </c>
      <c r="I996" s="30" t="n">
        <v>46065</v>
      </c>
      <c r="J996" s="1" t="inlineStr">
        <is>
          <t>68226 Hill Stravenue</t>
        </is>
      </c>
      <c r="K996" s="1" t="inlineStr">
        <is>
          <t>Apt. 954</t>
        </is>
      </c>
      <c r="L996" s="1" t="inlineStr">
        <is>
          <t>PIN:73369 AMYPORT</t>
        </is>
      </c>
      <c r="M996" s="2" t="inlineStr">
        <is>
          <t>MHA/IND/01084</t>
        </is>
      </c>
      <c r="N996" s="30" t="n">
        <v>45854</v>
      </c>
    </row>
    <row r="997">
      <c r="A997" s="28" t="n">
        <v>996</v>
      </c>
      <c r="B997" s="1" t="inlineStr">
        <is>
          <t>KABIR MYRTHOS</t>
        </is>
      </c>
      <c r="C997" s="30" t="n">
        <v>45941</v>
      </c>
      <c r="D997" s="1" t="inlineStr">
        <is>
          <t>SARAHBURY</t>
        </is>
      </c>
      <c r="E997" s="12" t="inlineStr">
        <is>
          <t>IND/MEL/00996</t>
        </is>
      </c>
      <c r="F997" s="1" t="inlineStr">
        <is>
          <t>F</t>
        </is>
      </c>
      <c r="G997" s="1" t="inlineStr">
        <is>
          <t>Bryan Mayer</t>
        </is>
      </c>
      <c r="H997" s="1" t="inlineStr">
        <is>
          <t>Misty Jackson DDS</t>
        </is>
      </c>
      <c r="I997" s="30" t="n">
        <v>46065</v>
      </c>
      <c r="J997" s="1" t="inlineStr">
        <is>
          <t>68226 Hill Stravenue</t>
        </is>
      </c>
      <c r="K997" s="1" t="inlineStr">
        <is>
          <t>Apt. 954</t>
        </is>
      </c>
      <c r="L997" s="1" t="inlineStr">
        <is>
          <t>PIN:73369 AMYPORT</t>
        </is>
      </c>
      <c r="M997" s="2" t="inlineStr">
        <is>
          <t>MHA/IND/01084</t>
        </is>
      </c>
      <c r="N997" s="30" t="n">
        <v>45844</v>
      </c>
    </row>
    <row r="998">
      <c r="A998" s="28" t="n">
        <v>997</v>
      </c>
      <c r="B998" s="1" t="inlineStr">
        <is>
          <t>KIRAN SHARMA</t>
        </is>
      </c>
      <c r="C998" s="30" t="n">
        <v>46003</v>
      </c>
      <c r="D998" s="1" t="inlineStr">
        <is>
          <t>PORT BETHANYVIEW</t>
        </is>
      </c>
      <c r="E998" s="12" t="inlineStr">
        <is>
          <t>IND/MEL/00997</t>
        </is>
      </c>
      <c r="F998" s="1" t="inlineStr">
        <is>
          <t>F</t>
        </is>
      </c>
      <c r="G998" s="1" t="inlineStr">
        <is>
          <t>David Brandt</t>
        </is>
      </c>
      <c r="H998" s="1" t="inlineStr">
        <is>
          <t>Amanda Lawson</t>
        </is>
      </c>
      <c r="I998" s="30" t="n">
        <v>46065</v>
      </c>
      <c r="J998" s="1" t="inlineStr">
        <is>
          <t>12541 Casey Landing</t>
        </is>
      </c>
      <c r="K998" s="1" t="inlineStr">
        <is>
          <t>Suite 978</t>
        </is>
      </c>
      <c r="L998" s="1" t="inlineStr">
        <is>
          <t>PIN:86124 PORT WANDA</t>
        </is>
      </c>
      <c r="M998" s="2" t="inlineStr">
        <is>
          <t>MHA/IND/01085</t>
        </is>
      </c>
      <c r="N998" s="30" t="n">
        <v>45885</v>
      </c>
    </row>
    <row r="999">
      <c r="A999" s="28" t="n">
        <v>998</v>
      </c>
      <c r="B999" s="1" t="inlineStr">
        <is>
          <t>TARA SINDALE</t>
        </is>
      </c>
      <c r="C999" s="30" t="n">
        <v>46003</v>
      </c>
      <c r="D999" s="1" t="inlineStr">
        <is>
          <t>PORT BETHANYVIEW</t>
        </is>
      </c>
      <c r="E999" s="12" t="inlineStr">
        <is>
          <t>IND/MEL/00998</t>
        </is>
      </c>
      <c r="F999" s="1" t="inlineStr">
        <is>
          <t>F</t>
        </is>
      </c>
      <c r="G999" s="1" t="inlineStr">
        <is>
          <t>David Brandt</t>
        </is>
      </c>
      <c r="H999" s="1" t="inlineStr">
        <is>
          <t>Amanda Lawson</t>
        </is>
      </c>
      <c r="I999" s="30" t="n">
        <v>46065</v>
      </c>
      <c r="J999" s="1" t="inlineStr">
        <is>
          <t>12541 Casey Landing</t>
        </is>
      </c>
      <c r="K999" s="1" t="inlineStr">
        <is>
          <t>Suite 978</t>
        </is>
      </c>
      <c r="L999" s="1" t="inlineStr">
        <is>
          <t>PIN:86124 PORT WANDA</t>
        </is>
      </c>
      <c r="M999" s="2" t="inlineStr">
        <is>
          <t>MHA/IND/01085</t>
        </is>
      </c>
      <c r="N999" s="30" t="n">
        <v>45891</v>
      </c>
    </row>
    <row r="1000">
      <c r="A1000" s="28" t="n">
        <v>999</v>
      </c>
      <c r="B1000" s="1" t="inlineStr">
        <is>
          <t>ARJUN KALEON</t>
        </is>
      </c>
      <c r="C1000" s="30" t="n">
        <v>45854</v>
      </c>
      <c r="D1000" s="1" t="inlineStr">
        <is>
          <t>HERRERABURGH</t>
        </is>
      </c>
      <c r="E1000" s="12" t="inlineStr">
        <is>
          <t>IND/MEL/00999</t>
        </is>
      </c>
      <c r="F1000" s="1" t="inlineStr">
        <is>
          <t>F</t>
        </is>
      </c>
      <c r="G1000" s="1" t="inlineStr">
        <is>
          <t>Christopher Brown</t>
        </is>
      </c>
      <c r="H1000" s="1" t="inlineStr">
        <is>
          <t>Lisa Jones</t>
        </is>
      </c>
      <c r="I1000" s="30" t="n">
        <v>46065</v>
      </c>
      <c r="J1000" s="1" t="inlineStr">
        <is>
          <t>7447 Chad Estate</t>
        </is>
      </c>
      <c r="K1000" s="1" t="inlineStr">
        <is>
          <t>Apt. 153</t>
        </is>
      </c>
      <c r="L1000" s="1" t="inlineStr">
        <is>
          <t>PIN:74060 AMYSIDE</t>
        </is>
      </c>
      <c r="M1000" s="2" t="inlineStr">
        <is>
          <t>MHA/IND/01086</t>
        </is>
      </c>
      <c r="N1000" s="30" t="n">
        <v>45847</v>
      </c>
    </row>
    <row r="1001">
      <c r="A1001" s="28" t="n">
        <v>1000</v>
      </c>
      <c r="B1001" s="1" t="inlineStr">
        <is>
          <t>DEV SHARMA</t>
        </is>
      </c>
      <c r="C1001" s="30" t="n">
        <v>45854</v>
      </c>
      <c r="D1001" s="1" t="inlineStr">
        <is>
          <t>HERRERABURGH</t>
        </is>
      </c>
      <c r="E1001" s="12" t="inlineStr">
        <is>
          <t>IND/MEL/01000</t>
        </is>
      </c>
      <c r="F1001" s="1" t="inlineStr">
        <is>
          <t>F</t>
        </is>
      </c>
      <c r="G1001" s="1" t="inlineStr">
        <is>
          <t>Christopher Brown</t>
        </is>
      </c>
      <c r="H1001" s="1" t="inlineStr">
        <is>
          <t>Lisa Jones</t>
        </is>
      </c>
      <c r="I1001" s="30" t="n">
        <v>46065</v>
      </c>
      <c r="J1001" s="1" t="inlineStr">
        <is>
          <t>7447 Chad Estate</t>
        </is>
      </c>
      <c r="K1001" s="1" t="inlineStr">
        <is>
          <t>Apt. 153</t>
        </is>
      </c>
      <c r="L1001" s="1" t="inlineStr">
        <is>
          <t>PIN:74060 AMYSIDE</t>
        </is>
      </c>
      <c r="M1001" s="2" t="inlineStr">
        <is>
          <t>MHA/IND/01086</t>
        </is>
      </c>
      <c r="N1001" s="30" t="n">
        <v>45884</v>
      </c>
    </row>
    <row r="1002">
      <c r="A1002" s="28" t="n">
        <v>1001</v>
      </c>
      <c r="B1002" s="1" t="inlineStr">
        <is>
          <t>KABIR KALEON</t>
        </is>
      </c>
      <c r="C1002" s="30" t="n">
        <v>45965</v>
      </c>
      <c r="D1002" s="1" t="inlineStr">
        <is>
          <t>KINGTOWN</t>
        </is>
      </c>
      <c r="E1002" s="12" t="inlineStr">
        <is>
          <t>IND/MEL/01001</t>
        </is>
      </c>
      <c r="F1002" s="1" t="inlineStr">
        <is>
          <t>F</t>
        </is>
      </c>
      <c r="G1002" s="1" t="inlineStr">
        <is>
          <t>Alex Ruiz</t>
        </is>
      </c>
      <c r="H1002" s="1" t="inlineStr">
        <is>
          <t>Miss Teresa Hernandez</t>
        </is>
      </c>
      <c r="I1002" s="30" t="n">
        <v>46065</v>
      </c>
      <c r="J1002" s="1" t="inlineStr">
        <is>
          <t>2500 Alicia Squares Suite 319</t>
        </is>
      </c>
      <c r="K1002" s="1" t="inlineStr">
        <is>
          <t>Apt. 911</t>
        </is>
      </c>
      <c r="L1002" s="1" t="inlineStr">
        <is>
          <t>PIN:51258 GARYFORT</t>
        </is>
      </c>
      <c r="M1002" s="2" t="inlineStr">
        <is>
          <t>MHA/IND/01087</t>
        </is>
      </c>
      <c r="N1002" s="30" t="n">
        <v>45873</v>
      </c>
    </row>
    <row r="1003">
      <c r="A1003" s="28" t="n">
        <v>1002</v>
      </c>
      <c r="B1003" s="1" t="inlineStr">
        <is>
          <t>ALYA SINDALE</t>
        </is>
      </c>
      <c r="C1003" s="30" t="n">
        <v>45965</v>
      </c>
      <c r="D1003" s="1" t="inlineStr">
        <is>
          <t>KINGTOWN</t>
        </is>
      </c>
      <c r="E1003" s="12" t="inlineStr">
        <is>
          <t>IND/MEL/01002</t>
        </is>
      </c>
      <c r="F1003" s="1" t="inlineStr">
        <is>
          <t>F</t>
        </is>
      </c>
      <c r="G1003" s="1" t="inlineStr">
        <is>
          <t>Alex Ruiz</t>
        </is>
      </c>
      <c r="H1003" s="1" t="inlineStr">
        <is>
          <t>Miss Teresa Hernandez</t>
        </is>
      </c>
      <c r="I1003" s="30" t="n">
        <v>46065</v>
      </c>
      <c r="J1003" s="1" t="inlineStr">
        <is>
          <t>2500 Alicia Squares Suite 319</t>
        </is>
      </c>
      <c r="K1003" s="1" t="inlineStr">
        <is>
          <t>Apt. 911</t>
        </is>
      </c>
      <c r="L1003" s="1" t="inlineStr">
        <is>
          <t>PIN:51258 GARYFORT</t>
        </is>
      </c>
      <c r="M1003" s="2" t="inlineStr">
        <is>
          <t>MHA/IND/01087</t>
        </is>
      </c>
      <c r="N1003" s="30" t="n">
        <v>45844</v>
      </c>
    </row>
    <row r="1004">
      <c r="A1004" s="28" t="n">
        <v>1003</v>
      </c>
      <c r="B1004" s="1" t="inlineStr">
        <is>
          <t>MIRA KALEON</t>
        </is>
      </c>
      <c r="C1004" s="30" t="n">
        <v>45720</v>
      </c>
      <c r="D1004" s="1" t="inlineStr">
        <is>
          <t>BOYDVILLE</t>
        </is>
      </c>
      <c r="E1004" s="12" t="inlineStr">
        <is>
          <t>IND/MEL/01003</t>
        </is>
      </c>
      <c r="F1004" s="1" t="inlineStr">
        <is>
          <t>M</t>
        </is>
      </c>
      <c r="G1004" s="1" t="inlineStr">
        <is>
          <t>Frank Gonzalez</t>
        </is>
      </c>
      <c r="H1004" s="1" t="inlineStr">
        <is>
          <t>Jennifer Powell</t>
        </is>
      </c>
      <c r="I1004" s="30" t="n">
        <v>46065</v>
      </c>
      <c r="J1004" s="1" t="inlineStr">
        <is>
          <t>967 Devin Rue Suite 129</t>
        </is>
      </c>
      <c r="K1004" s="1" t="inlineStr">
        <is>
          <t>Apt. 860</t>
        </is>
      </c>
      <c r="L1004" s="1" t="inlineStr">
        <is>
          <t>PIN:73321 PORT MICHAELTON</t>
        </is>
      </c>
      <c r="M1004" s="2" t="inlineStr">
        <is>
          <t>MHA/IND/01088</t>
        </is>
      </c>
      <c r="N1004" s="30" t="n">
        <v>45887</v>
      </c>
    </row>
    <row r="1005">
      <c r="A1005" s="28" t="n">
        <v>1004</v>
      </c>
      <c r="B1005" s="1" t="inlineStr">
        <is>
          <t>ROHIT MYRTHOS</t>
        </is>
      </c>
      <c r="C1005" s="30" t="n">
        <v>45720</v>
      </c>
      <c r="D1005" s="1" t="inlineStr">
        <is>
          <t>BOYDVILLE</t>
        </is>
      </c>
      <c r="E1005" s="12" t="inlineStr">
        <is>
          <t>IND/MEL/01004</t>
        </is>
      </c>
      <c r="F1005" s="1" t="inlineStr">
        <is>
          <t>M</t>
        </is>
      </c>
      <c r="G1005" s="1" t="inlineStr">
        <is>
          <t>Frank Gonzalez</t>
        </is>
      </c>
      <c r="H1005" s="1" t="inlineStr">
        <is>
          <t>Jennifer Powell</t>
        </is>
      </c>
      <c r="I1005" s="30" t="n">
        <v>46065</v>
      </c>
      <c r="J1005" s="1" t="inlineStr">
        <is>
          <t>967 Devin Rue Suite 129</t>
        </is>
      </c>
      <c r="K1005" s="1" t="inlineStr">
        <is>
          <t>Apt. 860</t>
        </is>
      </c>
      <c r="L1005" s="1" t="inlineStr">
        <is>
          <t>PIN:73321 PORT MICHAELTON</t>
        </is>
      </c>
      <c r="M1005" s="2" t="inlineStr">
        <is>
          <t>MHA/IND/01088</t>
        </is>
      </c>
      <c r="N1005" s="30" t="n">
        <v>45858</v>
      </c>
    </row>
    <row r="1006">
      <c r="A1006" s="28" t="n">
        <v>1005</v>
      </c>
      <c r="B1006" s="1" t="inlineStr">
        <is>
          <t>TARA SINDALE</t>
        </is>
      </c>
      <c r="C1006" s="30" t="n">
        <v>45841</v>
      </c>
      <c r="D1006" s="1" t="inlineStr">
        <is>
          <t>LAKE ALEXISHAVEN</t>
        </is>
      </c>
      <c r="E1006" s="12" t="inlineStr">
        <is>
          <t>IND/MEL/01005</t>
        </is>
      </c>
      <c r="F1006" s="1" t="inlineStr">
        <is>
          <t>M</t>
        </is>
      </c>
      <c r="G1006" s="1" t="inlineStr">
        <is>
          <t>Ronald Mcdowell</t>
        </is>
      </c>
      <c r="H1006" s="1" t="inlineStr">
        <is>
          <t>Lauren Howe</t>
        </is>
      </c>
      <c r="I1006" s="30" t="n">
        <v>46065</v>
      </c>
      <c r="J1006" s="1" t="inlineStr">
        <is>
          <t>07857 James Fork</t>
        </is>
      </c>
      <c r="K1006" s="1" t="inlineStr">
        <is>
          <t>Apt. 135</t>
        </is>
      </c>
      <c r="L1006" s="1" t="inlineStr">
        <is>
          <t>PIN:30488 HUGHESBOROUGH</t>
        </is>
      </c>
      <c r="M1006" s="2" t="inlineStr">
        <is>
          <t>MHA/IND/01089</t>
        </is>
      </c>
      <c r="N1006" s="30" t="n">
        <v>45860</v>
      </c>
    </row>
    <row r="1007">
      <c r="A1007" s="28" t="n">
        <v>1006</v>
      </c>
      <c r="B1007" s="1" t="inlineStr">
        <is>
          <t>ANYA RAO</t>
        </is>
      </c>
      <c r="C1007" s="30" t="n">
        <v>45841</v>
      </c>
      <c r="D1007" s="1" t="inlineStr">
        <is>
          <t>LAKE ALEXISHAVEN</t>
        </is>
      </c>
      <c r="E1007" s="12" t="inlineStr">
        <is>
          <t>IND/MEL/01006</t>
        </is>
      </c>
      <c r="F1007" s="1" t="inlineStr">
        <is>
          <t>M</t>
        </is>
      </c>
      <c r="G1007" s="1" t="inlineStr">
        <is>
          <t>Ronald Mcdowell</t>
        </is>
      </c>
      <c r="H1007" s="1" t="inlineStr">
        <is>
          <t>Lauren Howe</t>
        </is>
      </c>
      <c r="I1007" s="30" t="n">
        <v>46065</v>
      </c>
      <c r="J1007" s="1" t="inlineStr">
        <is>
          <t>07857 James Fork</t>
        </is>
      </c>
      <c r="K1007" s="1" t="inlineStr">
        <is>
          <t>Apt. 135</t>
        </is>
      </c>
      <c r="L1007" s="1" t="inlineStr">
        <is>
          <t>PIN:30488 HUGHESBOROUGH</t>
        </is>
      </c>
      <c r="M1007" s="2" t="inlineStr">
        <is>
          <t>MHA/IND/01089</t>
        </is>
      </c>
      <c r="N1007" s="30" t="n">
        <v>45870</v>
      </c>
    </row>
    <row r="1008">
      <c r="A1008" s="28" t="n">
        <v>1007</v>
      </c>
      <c r="B1008" s="1" t="inlineStr">
        <is>
          <t>TARA RISHKAN</t>
        </is>
      </c>
      <c r="C1008" s="30" t="n">
        <v>45760</v>
      </c>
      <c r="D1008" s="1" t="inlineStr">
        <is>
          <t>ROBERTMOUTH</t>
        </is>
      </c>
      <c r="E1008" s="12" t="inlineStr">
        <is>
          <t>IND/MEL/01007</t>
        </is>
      </c>
      <c r="F1008" s="1" t="inlineStr">
        <is>
          <t>M</t>
        </is>
      </c>
      <c r="G1008" s="1" t="inlineStr">
        <is>
          <t>Kenneth Turner</t>
        </is>
      </c>
      <c r="H1008" s="1" t="inlineStr">
        <is>
          <t>Jessica Mcguire</t>
        </is>
      </c>
      <c r="I1008" s="30" t="n">
        <v>46065</v>
      </c>
      <c r="J1008" s="1" t="inlineStr">
        <is>
          <t>855 Timothy Stream Suite 051</t>
        </is>
      </c>
      <c r="K1008" s="1" t="inlineStr">
        <is>
          <t>Suite 297</t>
        </is>
      </c>
      <c r="L1008" s="1" t="inlineStr">
        <is>
          <t>PIN:78523 POTTERBURY</t>
        </is>
      </c>
      <c r="M1008" s="2" t="inlineStr">
        <is>
          <t>MHA/IND/01090</t>
        </is>
      </c>
      <c r="N1008" s="30" t="n">
        <v>45866</v>
      </c>
    </row>
    <row r="1009">
      <c r="A1009" s="28" t="n">
        <v>1008</v>
      </c>
      <c r="B1009" s="1" t="inlineStr">
        <is>
          <t>KABIR SINDALE</t>
        </is>
      </c>
      <c r="C1009" s="30" t="n">
        <v>45760</v>
      </c>
      <c r="D1009" s="1" t="inlineStr">
        <is>
          <t>ROBERTMOUTH</t>
        </is>
      </c>
      <c r="E1009" s="12" t="inlineStr">
        <is>
          <t>IND/MEL/01008</t>
        </is>
      </c>
      <c r="F1009" s="1" t="inlineStr">
        <is>
          <t>M</t>
        </is>
      </c>
      <c r="G1009" s="1" t="inlineStr">
        <is>
          <t>Kenneth Turner</t>
        </is>
      </c>
      <c r="H1009" s="1" t="inlineStr">
        <is>
          <t>Jessica Mcguire</t>
        </is>
      </c>
      <c r="I1009" s="30" t="n">
        <v>46065</v>
      </c>
      <c r="J1009" s="1" t="inlineStr">
        <is>
          <t>855 Timothy Stream Suite 051</t>
        </is>
      </c>
      <c r="K1009" s="1" t="inlineStr">
        <is>
          <t>Suite 297</t>
        </is>
      </c>
      <c r="L1009" s="1" t="inlineStr">
        <is>
          <t>PIN:78523 POTTERBURY</t>
        </is>
      </c>
      <c r="M1009" s="2" t="inlineStr">
        <is>
          <t>MHA/IND/01090</t>
        </is>
      </c>
      <c r="N1009" s="30" t="n">
        <v>45858</v>
      </c>
    </row>
    <row r="1010">
      <c r="A1010" s="28" t="n">
        <v>1009</v>
      </c>
      <c r="B1010" s="1" t="inlineStr">
        <is>
          <t>MIRA SHARMA</t>
        </is>
      </c>
      <c r="C1010" s="30" t="n">
        <v>45894</v>
      </c>
      <c r="D1010" s="1" t="inlineStr">
        <is>
          <t>EAST DEREK</t>
        </is>
      </c>
      <c r="E1010" s="12" t="inlineStr">
        <is>
          <t>IND/MEL/01009</t>
        </is>
      </c>
      <c r="F1010" s="1" t="inlineStr">
        <is>
          <t>F</t>
        </is>
      </c>
      <c r="G1010" s="1" t="inlineStr">
        <is>
          <t>Joshua Mccoy</t>
        </is>
      </c>
      <c r="H1010" s="1" t="inlineStr">
        <is>
          <t>Kelly Cain</t>
        </is>
      </c>
      <c r="I1010" s="30" t="n">
        <v>46065</v>
      </c>
      <c r="J1010" s="1" t="inlineStr">
        <is>
          <t>205 Phillips Lane Suite 650</t>
        </is>
      </c>
      <c r="K1010" s="1" t="inlineStr">
        <is>
          <t>Suite 714</t>
        </is>
      </c>
      <c r="L1010" s="1" t="inlineStr">
        <is>
          <t>PIN:73709 EDWARDSIDE</t>
        </is>
      </c>
      <c r="M1010" s="2" t="inlineStr">
        <is>
          <t>MHA/IND/01091</t>
        </is>
      </c>
      <c r="N1010" s="30" t="n">
        <v>45880</v>
      </c>
    </row>
    <row r="1011">
      <c r="A1011" s="28" t="n">
        <v>1010</v>
      </c>
      <c r="B1011" s="1" t="inlineStr">
        <is>
          <t>ANYA KALEON</t>
        </is>
      </c>
      <c r="C1011" s="30" t="n">
        <v>45894</v>
      </c>
      <c r="D1011" s="1" t="inlineStr">
        <is>
          <t>EAST DEREK</t>
        </is>
      </c>
      <c r="E1011" s="12" t="inlineStr">
        <is>
          <t>IND/MEL/01010</t>
        </is>
      </c>
      <c r="F1011" s="1" t="inlineStr">
        <is>
          <t>F</t>
        </is>
      </c>
      <c r="G1011" s="1" t="inlineStr">
        <is>
          <t>Joshua Mccoy</t>
        </is>
      </c>
      <c r="H1011" s="1" t="inlineStr">
        <is>
          <t>Kelly Cain</t>
        </is>
      </c>
      <c r="I1011" s="30" t="n">
        <v>46065</v>
      </c>
      <c r="J1011" s="1" t="inlineStr">
        <is>
          <t>205 Phillips Lane Suite 650</t>
        </is>
      </c>
      <c r="K1011" s="1" t="inlineStr">
        <is>
          <t>Suite 714</t>
        </is>
      </c>
      <c r="L1011" s="1" t="inlineStr">
        <is>
          <t>PIN:73709 EDWARDSIDE</t>
        </is>
      </c>
      <c r="M1011" s="2" t="inlineStr">
        <is>
          <t>MHA/IND/01091</t>
        </is>
      </c>
      <c r="N1011" s="30" t="n">
        <v>45878</v>
      </c>
    </row>
    <row r="1012">
      <c r="A1012" s="28" t="n">
        <v>1011</v>
      </c>
      <c r="B1012" s="1" t="inlineStr">
        <is>
          <t>ALYA KALEON</t>
        </is>
      </c>
      <c r="C1012" s="30" t="n">
        <v>46020</v>
      </c>
      <c r="D1012" s="1" t="inlineStr">
        <is>
          <t>MASSEYFURT</t>
        </is>
      </c>
      <c r="E1012" s="12" t="inlineStr">
        <is>
          <t>IND/MEL/01011</t>
        </is>
      </c>
      <c r="F1012" s="1" t="inlineStr">
        <is>
          <t>M</t>
        </is>
      </c>
      <c r="G1012" s="1" t="inlineStr">
        <is>
          <t>Marvin Young</t>
        </is>
      </c>
      <c r="H1012" s="1" t="inlineStr">
        <is>
          <t>Barbara White</t>
        </is>
      </c>
      <c r="I1012" s="30" t="n">
        <v>46065</v>
      </c>
      <c r="J1012" s="1" t="inlineStr">
        <is>
          <t>95822 Brown Springs Apt. 401</t>
        </is>
      </c>
      <c r="K1012" s="1" t="inlineStr">
        <is>
          <t>Suite 076</t>
        </is>
      </c>
      <c r="L1012" s="1" t="inlineStr">
        <is>
          <t>PIN:48135 MICHELELAND</t>
        </is>
      </c>
      <c r="M1012" s="2" t="inlineStr">
        <is>
          <t>MHA/IND/01092</t>
        </is>
      </c>
      <c r="N1012" s="30" t="n">
        <v>45895</v>
      </c>
    </row>
    <row r="1013">
      <c r="A1013" s="28" t="n">
        <v>1012</v>
      </c>
      <c r="B1013" s="1" t="inlineStr">
        <is>
          <t>ANYA MYRTHOS</t>
        </is>
      </c>
      <c r="C1013" s="30" t="n">
        <v>46020</v>
      </c>
      <c r="D1013" s="1" t="inlineStr">
        <is>
          <t>MASSEYFURT</t>
        </is>
      </c>
      <c r="E1013" s="12" t="inlineStr">
        <is>
          <t>IND/MEL/01012</t>
        </is>
      </c>
      <c r="F1013" s="1" t="inlineStr">
        <is>
          <t>M</t>
        </is>
      </c>
      <c r="G1013" s="1" t="inlineStr">
        <is>
          <t>Marvin Young</t>
        </is>
      </c>
      <c r="H1013" s="1" t="inlineStr">
        <is>
          <t>Barbara White</t>
        </is>
      </c>
      <c r="I1013" s="30" t="n">
        <v>46065</v>
      </c>
      <c r="J1013" s="1" t="inlineStr">
        <is>
          <t>95822 Brown Springs Apt. 401</t>
        </is>
      </c>
      <c r="K1013" s="1" t="inlineStr">
        <is>
          <t>Suite 076</t>
        </is>
      </c>
      <c r="L1013" s="1" t="inlineStr">
        <is>
          <t>PIN:48135 MICHELELAND</t>
        </is>
      </c>
      <c r="M1013" s="2" t="inlineStr">
        <is>
          <t>MHA/IND/01092</t>
        </is>
      </c>
      <c r="N1013" s="30" t="n">
        <v>45894</v>
      </c>
    </row>
    <row r="1014">
      <c r="A1014" s="28" t="n">
        <v>1013</v>
      </c>
      <c r="B1014" s="1" t="inlineStr">
        <is>
          <t>ROHIT VALZARI</t>
        </is>
      </c>
      <c r="C1014" s="30" t="n">
        <v>45729</v>
      </c>
      <c r="D1014" s="1" t="inlineStr">
        <is>
          <t>NEW PATRICIABURGH</t>
        </is>
      </c>
      <c r="E1014" s="12" t="inlineStr">
        <is>
          <t>IND/MEL/01013</t>
        </is>
      </c>
      <c r="F1014" s="1" t="inlineStr">
        <is>
          <t>M</t>
        </is>
      </c>
      <c r="G1014" s="1" t="inlineStr">
        <is>
          <t>Robert Kim</t>
        </is>
      </c>
      <c r="H1014" s="1" t="inlineStr">
        <is>
          <t>Nicole Tucker</t>
        </is>
      </c>
      <c r="I1014" s="30" t="n">
        <v>46065</v>
      </c>
      <c r="J1014" s="1" t="inlineStr">
        <is>
          <t>1979 Woods Union</t>
        </is>
      </c>
      <c r="K1014" s="1" t="inlineStr">
        <is>
          <t>Apt. 325</t>
        </is>
      </c>
      <c r="L1014" s="1" t="inlineStr">
        <is>
          <t>PIN:84616 BOOKERBURY</t>
        </is>
      </c>
      <c r="M1014" s="2" t="inlineStr">
        <is>
          <t>MHA/IND/01093</t>
        </is>
      </c>
      <c r="N1014" s="30" t="n">
        <v>45846</v>
      </c>
    </row>
    <row r="1015">
      <c r="A1015" s="28" t="n">
        <v>1014</v>
      </c>
      <c r="B1015" s="1" t="inlineStr">
        <is>
          <t>KIRAN VALZARI</t>
        </is>
      </c>
      <c r="C1015" s="30" t="n">
        <v>45729</v>
      </c>
      <c r="D1015" s="1" t="inlineStr">
        <is>
          <t>NEW PATRICIABURGH</t>
        </is>
      </c>
      <c r="E1015" s="12" t="inlineStr">
        <is>
          <t>IND/MEL/01014</t>
        </is>
      </c>
      <c r="F1015" s="1" t="inlineStr">
        <is>
          <t>M</t>
        </is>
      </c>
      <c r="G1015" s="1" t="inlineStr">
        <is>
          <t>Robert Kim</t>
        </is>
      </c>
      <c r="H1015" s="1" t="inlineStr">
        <is>
          <t>Nicole Tucker</t>
        </is>
      </c>
      <c r="I1015" s="30" t="n">
        <v>46065</v>
      </c>
      <c r="J1015" s="1" t="inlineStr">
        <is>
          <t>1979 Woods Union</t>
        </is>
      </c>
      <c r="K1015" s="1" t="inlineStr">
        <is>
          <t>Apt. 325</t>
        </is>
      </c>
      <c r="L1015" s="1" t="inlineStr">
        <is>
          <t>PIN:84616 BOOKERBURY</t>
        </is>
      </c>
      <c r="M1015" s="2" t="inlineStr">
        <is>
          <t>MHA/IND/01093</t>
        </is>
      </c>
      <c r="N1015" s="30" t="n">
        <v>45862</v>
      </c>
    </row>
    <row r="1016">
      <c r="A1016" s="28" t="n">
        <v>1015</v>
      </c>
      <c r="B1016" s="1" t="inlineStr">
        <is>
          <t>DEV SINDALE</t>
        </is>
      </c>
      <c r="C1016" s="30" t="n">
        <v>45961</v>
      </c>
      <c r="D1016" s="1" t="inlineStr">
        <is>
          <t>CHERYLTOWN</t>
        </is>
      </c>
      <c r="E1016" s="12" t="inlineStr">
        <is>
          <t>IND/MEL/01015</t>
        </is>
      </c>
      <c r="F1016" s="1" t="inlineStr">
        <is>
          <t>M</t>
        </is>
      </c>
      <c r="G1016" s="1" t="inlineStr">
        <is>
          <t>Jonathan Lewis</t>
        </is>
      </c>
      <c r="H1016" s="1" t="inlineStr">
        <is>
          <t>Brittany West</t>
        </is>
      </c>
      <c r="I1016" s="30" t="n">
        <v>46065</v>
      </c>
      <c r="J1016" s="1" t="inlineStr">
        <is>
          <t>743 William Plains</t>
        </is>
      </c>
      <c r="K1016" s="1" t="inlineStr">
        <is>
          <t>Apt. 288</t>
        </is>
      </c>
      <c r="L1016" s="1" t="inlineStr">
        <is>
          <t>PIN:43918 SHAWSTAD</t>
        </is>
      </c>
      <c r="M1016" s="2" t="inlineStr">
        <is>
          <t>MHA/IND/01094</t>
        </is>
      </c>
      <c r="N1016" s="30" t="n">
        <v>45878</v>
      </c>
    </row>
    <row r="1017">
      <c r="A1017" s="28" t="n">
        <v>1016</v>
      </c>
      <c r="B1017" s="1" t="inlineStr">
        <is>
          <t>KIRAN SHARMA</t>
        </is>
      </c>
      <c r="C1017" s="30" t="n">
        <v>45961</v>
      </c>
      <c r="D1017" s="1" t="inlineStr">
        <is>
          <t>CHERYLTOWN</t>
        </is>
      </c>
      <c r="E1017" s="12" t="inlineStr">
        <is>
          <t>IND/MEL/01016</t>
        </is>
      </c>
      <c r="F1017" s="1" t="inlineStr">
        <is>
          <t>M</t>
        </is>
      </c>
      <c r="G1017" s="1" t="inlineStr">
        <is>
          <t>Jonathan Lewis</t>
        </is>
      </c>
      <c r="H1017" s="1" t="inlineStr">
        <is>
          <t>Brittany West</t>
        </is>
      </c>
      <c r="I1017" s="30" t="n">
        <v>46065</v>
      </c>
      <c r="J1017" s="1" t="inlineStr">
        <is>
          <t>743 William Plains</t>
        </is>
      </c>
      <c r="K1017" s="1" t="inlineStr">
        <is>
          <t>Apt. 288</t>
        </is>
      </c>
      <c r="L1017" s="1" t="inlineStr">
        <is>
          <t>PIN:43918 SHAWSTAD</t>
        </is>
      </c>
      <c r="M1017" s="2" t="inlineStr">
        <is>
          <t>MHA/IND/01094</t>
        </is>
      </c>
      <c r="N1017" s="30" t="n">
        <v>45895</v>
      </c>
    </row>
    <row r="1018">
      <c r="A1018" s="28" t="n">
        <v>1017</v>
      </c>
      <c r="B1018" s="1" t="inlineStr">
        <is>
          <t>MIRA SHARMA</t>
        </is>
      </c>
      <c r="C1018" s="30" t="n">
        <v>46009</v>
      </c>
      <c r="D1018" s="1" t="inlineStr">
        <is>
          <t>KAUFMANTOWN</t>
        </is>
      </c>
      <c r="E1018" s="12" t="inlineStr">
        <is>
          <t>IND/MEL/01017</t>
        </is>
      </c>
      <c r="F1018" s="1" t="inlineStr">
        <is>
          <t>F</t>
        </is>
      </c>
      <c r="G1018" s="1" t="inlineStr">
        <is>
          <t>Brandon Johnson</t>
        </is>
      </c>
      <c r="H1018" s="1" t="inlineStr">
        <is>
          <t>Laura Lopez</t>
        </is>
      </c>
      <c r="I1018" s="30" t="n">
        <v>46065</v>
      </c>
      <c r="J1018" s="1" t="inlineStr">
        <is>
          <t>9967 Joseph Mall Suite 809</t>
        </is>
      </c>
      <c r="K1018" s="1" t="inlineStr">
        <is>
          <t>Apt. 401</t>
        </is>
      </c>
      <c r="L1018" s="1" t="inlineStr">
        <is>
          <t>PIN:54981 HILLSIDE</t>
        </is>
      </c>
      <c r="M1018" s="2" t="inlineStr">
        <is>
          <t>MHA/IND/01095</t>
        </is>
      </c>
      <c r="N1018" s="30" t="n">
        <v>45844</v>
      </c>
    </row>
    <row r="1019">
      <c r="A1019" s="28" t="n">
        <v>1018</v>
      </c>
      <c r="B1019" s="1" t="inlineStr">
        <is>
          <t>SARA KALEON</t>
        </is>
      </c>
      <c r="C1019" s="30" t="n">
        <v>46009</v>
      </c>
      <c r="D1019" s="1" t="inlineStr">
        <is>
          <t>KAUFMANTOWN</t>
        </is>
      </c>
      <c r="E1019" s="12" t="inlineStr">
        <is>
          <t>IND/MEL/01018</t>
        </is>
      </c>
      <c r="F1019" s="1" t="inlineStr">
        <is>
          <t>F</t>
        </is>
      </c>
      <c r="G1019" s="1" t="inlineStr">
        <is>
          <t>Brandon Johnson</t>
        </is>
      </c>
      <c r="H1019" s="1" t="inlineStr">
        <is>
          <t>Laura Lopez</t>
        </is>
      </c>
      <c r="I1019" s="30" t="n">
        <v>46065</v>
      </c>
      <c r="J1019" s="1" t="inlineStr">
        <is>
          <t>9967 Joseph Mall Suite 809</t>
        </is>
      </c>
      <c r="K1019" s="1" t="inlineStr">
        <is>
          <t>Apt. 401</t>
        </is>
      </c>
      <c r="L1019" s="1" t="inlineStr">
        <is>
          <t>PIN:54981 HILLSIDE</t>
        </is>
      </c>
      <c r="M1019" s="2" t="inlineStr">
        <is>
          <t>MHA/IND/01095</t>
        </is>
      </c>
      <c r="N1019" s="30" t="n">
        <v>45872</v>
      </c>
    </row>
    <row r="1020">
      <c r="A1020" s="28" t="n">
        <v>1019</v>
      </c>
      <c r="B1020" s="1" t="inlineStr">
        <is>
          <t>RIYA RISHKAN</t>
        </is>
      </c>
      <c r="C1020" s="30" t="n">
        <v>45800</v>
      </c>
      <c r="D1020" s="1" t="inlineStr">
        <is>
          <t>PORT NICHOLAS</t>
        </is>
      </c>
      <c r="E1020" s="12" t="inlineStr">
        <is>
          <t>IND/MEL/01019</t>
        </is>
      </c>
      <c r="F1020" s="1" t="inlineStr">
        <is>
          <t>M</t>
        </is>
      </c>
      <c r="G1020" s="1" t="inlineStr">
        <is>
          <t>Joel Rubio</t>
        </is>
      </c>
      <c r="H1020" s="1" t="inlineStr">
        <is>
          <t>Melissa Anderson</t>
        </is>
      </c>
      <c r="I1020" s="30" t="n">
        <v>46065</v>
      </c>
      <c r="J1020" s="1" t="inlineStr">
        <is>
          <t>4137 Ricky Forest</t>
        </is>
      </c>
      <c r="K1020" s="1" t="inlineStr">
        <is>
          <t>Suite 210</t>
        </is>
      </c>
      <c r="L1020" s="1" t="inlineStr">
        <is>
          <t>PIN:48499 NEW ELIZABETH</t>
        </is>
      </c>
      <c r="M1020" s="2" t="inlineStr">
        <is>
          <t>MHA/IND/01096</t>
        </is>
      </c>
      <c r="N1020" s="30" t="n">
        <v>45852</v>
      </c>
    </row>
    <row r="1021">
      <c r="A1021" s="28" t="n">
        <v>1020</v>
      </c>
      <c r="B1021" s="1" t="inlineStr">
        <is>
          <t>ANYA SHARMA</t>
        </is>
      </c>
      <c r="C1021" s="30" t="n">
        <v>45800</v>
      </c>
      <c r="D1021" s="1" t="inlineStr">
        <is>
          <t>PORT NICHOLAS</t>
        </is>
      </c>
      <c r="E1021" s="12" t="inlineStr">
        <is>
          <t>IND/MEL/01020</t>
        </is>
      </c>
      <c r="F1021" s="1" t="inlineStr">
        <is>
          <t>M</t>
        </is>
      </c>
      <c r="G1021" s="1" t="inlineStr">
        <is>
          <t>Joel Rubio</t>
        </is>
      </c>
      <c r="H1021" s="1" t="inlineStr">
        <is>
          <t>Melissa Anderson</t>
        </is>
      </c>
      <c r="I1021" s="30" t="n">
        <v>46065</v>
      </c>
      <c r="J1021" s="1" t="inlineStr">
        <is>
          <t>4137 Ricky Forest</t>
        </is>
      </c>
      <c r="K1021" s="1" t="inlineStr">
        <is>
          <t>Suite 210</t>
        </is>
      </c>
      <c r="L1021" s="1" t="inlineStr">
        <is>
          <t>PIN:48499 NEW ELIZABETH</t>
        </is>
      </c>
      <c r="M1021" s="2" t="inlineStr">
        <is>
          <t>MHA/IND/01096</t>
        </is>
      </c>
      <c r="N1021" s="30" t="n">
        <v>45873</v>
      </c>
    </row>
    <row r="1022">
      <c r="A1022" s="28" t="n">
        <v>1021</v>
      </c>
      <c r="B1022" s="1" t="inlineStr">
        <is>
          <t>ANYA VALZARI</t>
        </is>
      </c>
      <c r="C1022" s="30" t="n">
        <v>45894</v>
      </c>
      <c r="D1022" s="1" t="inlineStr">
        <is>
          <t>COLLEENMOUTH</t>
        </is>
      </c>
      <c r="E1022" s="12" t="inlineStr">
        <is>
          <t>IND/MEL/01021</t>
        </is>
      </c>
      <c r="F1022" s="1" t="inlineStr">
        <is>
          <t>M</t>
        </is>
      </c>
      <c r="G1022" s="1" t="inlineStr">
        <is>
          <t>Mark Mitchell</t>
        </is>
      </c>
      <c r="H1022" s="1" t="inlineStr">
        <is>
          <t>Jamie Caldwell</t>
        </is>
      </c>
      <c r="I1022" s="30" t="n">
        <v>46065</v>
      </c>
      <c r="J1022" s="1" t="inlineStr">
        <is>
          <t>44946 Phillip Springs Apt. 733</t>
        </is>
      </c>
      <c r="K1022" s="1" t="inlineStr">
        <is>
          <t>Apt. 493</t>
        </is>
      </c>
      <c r="L1022" s="1" t="inlineStr">
        <is>
          <t>PIN:30508 REEDBERG</t>
        </is>
      </c>
      <c r="M1022" s="2" t="inlineStr">
        <is>
          <t>MHA/IND/01097</t>
        </is>
      </c>
      <c r="N1022" s="30" t="n">
        <v>45844</v>
      </c>
    </row>
    <row r="1023">
      <c r="A1023" s="28" t="n">
        <v>1022</v>
      </c>
      <c r="B1023" s="1" t="inlineStr">
        <is>
          <t>ARJUN SINDALE</t>
        </is>
      </c>
      <c r="C1023" s="30" t="n">
        <v>45894</v>
      </c>
      <c r="D1023" s="1" t="inlineStr">
        <is>
          <t>COLLEENMOUTH</t>
        </is>
      </c>
      <c r="E1023" s="12" t="inlineStr">
        <is>
          <t>IND/MEL/01022</t>
        </is>
      </c>
      <c r="F1023" s="1" t="inlineStr">
        <is>
          <t>M</t>
        </is>
      </c>
      <c r="G1023" s="1" t="inlineStr">
        <is>
          <t>Mark Mitchell</t>
        </is>
      </c>
      <c r="H1023" s="1" t="inlineStr">
        <is>
          <t>Jamie Caldwell</t>
        </is>
      </c>
      <c r="I1023" s="30" t="n">
        <v>46065</v>
      </c>
      <c r="J1023" s="1" t="inlineStr">
        <is>
          <t>44946 Phillip Springs Apt. 733</t>
        </is>
      </c>
      <c r="K1023" s="1" t="inlineStr">
        <is>
          <t>Apt. 493</t>
        </is>
      </c>
      <c r="L1023" s="1" t="inlineStr">
        <is>
          <t>PIN:30508 REEDBERG</t>
        </is>
      </c>
      <c r="M1023" s="2" t="inlineStr">
        <is>
          <t>MHA/IND/01097</t>
        </is>
      </c>
      <c r="N1023" s="30" t="n">
        <v>45897</v>
      </c>
    </row>
    <row r="1024">
      <c r="A1024" s="28" t="n">
        <v>1023</v>
      </c>
      <c r="B1024" s="1" t="inlineStr">
        <is>
          <t>TARA KALEON</t>
        </is>
      </c>
      <c r="C1024" s="30" t="n">
        <v>45726</v>
      </c>
      <c r="D1024" s="1" t="inlineStr">
        <is>
          <t>DAVISHAVEN</t>
        </is>
      </c>
      <c r="E1024" s="12" t="inlineStr">
        <is>
          <t>IND/MEL/01023</t>
        </is>
      </c>
      <c r="F1024" s="1" t="inlineStr">
        <is>
          <t>F</t>
        </is>
      </c>
      <c r="G1024" s="1" t="inlineStr">
        <is>
          <t>Michael Horton</t>
        </is>
      </c>
      <c r="H1024" s="1" t="inlineStr">
        <is>
          <t>Tammy Graves</t>
        </is>
      </c>
      <c r="I1024" s="30" t="n">
        <v>46065</v>
      </c>
      <c r="J1024" s="1" t="inlineStr">
        <is>
          <t>549 Stacy Plaza</t>
        </is>
      </c>
      <c r="K1024" s="1" t="inlineStr">
        <is>
          <t>Suite 690</t>
        </is>
      </c>
      <c r="L1024" s="1" t="inlineStr">
        <is>
          <t>PIN:15569 SOUTH EMILYBOROUGH</t>
        </is>
      </c>
      <c r="M1024" s="2" t="inlineStr">
        <is>
          <t>MHA/IND/01098</t>
        </is>
      </c>
      <c r="N1024" s="30" t="n">
        <v>45862</v>
      </c>
    </row>
    <row r="1025">
      <c r="A1025" s="28" t="n">
        <v>1024</v>
      </c>
      <c r="B1025" s="1" t="inlineStr">
        <is>
          <t>KIRAN SHARMA</t>
        </is>
      </c>
      <c r="C1025" s="30" t="n">
        <v>45726</v>
      </c>
      <c r="D1025" s="1" t="inlineStr">
        <is>
          <t>DAVISHAVEN</t>
        </is>
      </c>
      <c r="E1025" s="12" t="inlineStr">
        <is>
          <t>IND/MEL/01024</t>
        </is>
      </c>
      <c r="F1025" s="1" t="inlineStr">
        <is>
          <t>F</t>
        </is>
      </c>
      <c r="G1025" s="1" t="inlineStr">
        <is>
          <t>Michael Horton</t>
        </is>
      </c>
      <c r="H1025" s="1" t="inlineStr">
        <is>
          <t>Tammy Graves</t>
        </is>
      </c>
      <c r="I1025" s="30" t="n">
        <v>46065</v>
      </c>
      <c r="J1025" s="1" t="inlineStr">
        <is>
          <t>549 Stacy Plaza</t>
        </is>
      </c>
      <c r="K1025" s="1" t="inlineStr">
        <is>
          <t>Suite 690</t>
        </is>
      </c>
      <c r="L1025" s="1" t="inlineStr">
        <is>
          <t>PIN:15569 SOUTH EMILYBOROUGH</t>
        </is>
      </c>
      <c r="M1025" s="2" t="inlineStr">
        <is>
          <t>MHA/IND/01098</t>
        </is>
      </c>
      <c r="N1025" s="30" t="n">
        <v>45850</v>
      </c>
    </row>
    <row r="1026">
      <c r="A1026" s="28" t="n">
        <v>1025</v>
      </c>
      <c r="B1026" s="1" t="inlineStr">
        <is>
          <t>ANYA RAO</t>
        </is>
      </c>
      <c r="C1026" s="30" t="n">
        <v>45860</v>
      </c>
      <c r="D1026" s="1" t="inlineStr">
        <is>
          <t>WEST TERESA</t>
        </is>
      </c>
      <c r="E1026" s="12" t="inlineStr">
        <is>
          <t>IND/MEL/01025</t>
        </is>
      </c>
      <c r="F1026" s="1" t="inlineStr">
        <is>
          <t>M</t>
        </is>
      </c>
      <c r="G1026" s="1" t="inlineStr">
        <is>
          <t>Gregory Smith</t>
        </is>
      </c>
      <c r="H1026" s="1" t="inlineStr">
        <is>
          <t>Melinda Lester</t>
        </is>
      </c>
      <c r="I1026" s="30" t="n">
        <v>46065</v>
      </c>
      <c r="J1026" s="1" t="inlineStr">
        <is>
          <t>94102 Lawrence Points</t>
        </is>
      </c>
      <c r="K1026" s="1" t="inlineStr">
        <is>
          <t>Suite 024</t>
        </is>
      </c>
      <c r="L1026" s="1" t="inlineStr">
        <is>
          <t>PIN:84426 KELLYBOROUGH</t>
        </is>
      </c>
      <c r="M1026" s="2" t="inlineStr">
        <is>
          <t>MHA/IND/01099</t>
        </is>
      </c>
      <c r="N1026" s="30" t="n">
        <v>45888</v>
      </c>
    </row>
    <row r="1027">
      <c r="A1027" s="28" t="n">
        <v>1026</v>
      </c>
      <c r="B1027" s="1" t="inlineStr">
        <is>
          <t>DIYA MYRTHOS</t>
        </is>
      </c>
      <c r="C1027" s="30" t="n">
        <v>45860</v>
      </c>
      <c r="D1027" s="1" t="inlineStr">
        <is>
          <t>WEST TERESA</t>
        </is>
      </c>
      <c r="E1027" s="12" t="inlineStr">
        <is>
          <t>IND/MEL/01026</t>
        </is>
      </c>
      <c r="F1027" s="1" t="inlineStr">
        <is>
          <t>M</t>
        </is>
      </c>
      <c r="G1027" s="1" t="inlineStr">
        <is>
          <t>Gregory Smith</t>
        </is>
      </c>
      <c r="H1027" s="1" t="inlineStr">
        <is>
          <t>Melinda Lester</t>
        </is>
      </c>
      <c r="I1027" s="30" t="n">
        <v>46065</v>
      </c>
      <c r="J1027" s="1" t="inlineStr">
        <is>
          <t>94102 Lawrence Points</t>
        </is>
      </c>
      <c r="K1027" s="1" t="inlineStr">
        <is>
          <t>Suite 024</t>
        </is>
      </c>
      <c r="L1027" s="1" t="inlineStr">
        <is>
          <t>PIN:84426 KELLYBOROUGH</t>
        </is>
      </c>
      <c r="M1027" s="2" t="inlineStr">
        <is>
          <t>MHA/IND/01099</t>
        </is>
      </c>
      <c r="N1027" s="30" t="n">
        <v>45881</v>
      </c>
    </row>
    <row r="1028">
      <c r="A1028" s="28" t="n">
        <v>1027</v>
      </c>
      <c r="B1028" s="1" t="inlineStr">
        <is>
          <t>DIYA RISHKAN</t>
        </is>
      </c>
      <c r="C1028" s="30" t="n">
        <v>45984</v>
      </c>
      <c r="D1028" s="1" t="inlineStr">
        <is>
          <t>SOUTH RACHELMOUTH</t>
        </is>
      </c>
      <c r="E1028" s="12" t="inlineStr">
        <is>
          <t>IND/MEL/01027</t>
        </is>
      </c>
      <c r="F1028" s="1" t="inlineStr">
        <is>
          <t>F</t>
        </is>
      </c>
      <c r="G1028" s="1" t="inlineStr">
        <is>
          <t>Michael Lee</t>
        </is>
      </c>
      <c r="H1028" s="1" t="inlineStr">
        <is>
          <t>Donna Turner</t>
        </is>
      </c>
      <c r="I1028" s="30" t="n">
        <v>46065</v>
      </c>
      <c r="J1028" s="1" t="inlineStr">
        <is>
          <t>2187 Shah Wells Suite 729</t>
        </is>
      </c>
      <c r="K1028" s="1" t="inlineStr">
        <is>
          <t>Suite 647</t>
        </is>
      </c>
      <c r="L1028" s="1" t="inlineStr">
        <is>
          <t>PIN:40828 NORTH EMILY</t>
        </is>
      </c>
      <c r="M1028" s="2" t="inlineStr">
        <is>
          <t>MHA/IND/01100</t>
        </is>
      </c>
      <c r="N1028" s="30" t="n">
        <v>45870</v>
      </c>
    </row>
    <row r="1029">
      <c r="A1029" s="28" t="n">
        <v>1028</v>
      </c>
      <c r="B1029" s="1" t="inlineStr">
        <is>
          <t>ANYA VALZARI</t>
        </is>
      </c>
      <c r="C1029" s="30" t="n">
        <v>45984</v>
      </c>
      <c r="D1029" s="1" t="inlineStr">
        <is>
          <t>SOUTH RACHELMOUTH</t>
        </is>
      </c>
      <c r="E1029" s="12" t="inlineStr">
        <is>
          <t>IND/MEL/01028</t>
        </is>
      </c>
      <c r="F1029" s="1" t="inlineStr">
        <is>
          <t>F</t>
        </is>
      </c>
      <c r="G1029" s="1" t="inlineStr">
        <is>
          <t>Michael Lee</t>
        </is>
      </c>
      <c r="H1029" s="1" t="inlineStr">
        <is>
          <t>Donna Turner</t>
        </is>
      </c>
      <c r="I1029" s="30" t="n">
        <v>46065</v>
      </c>
      <c r="J1029" s="1" t="inlineStr">
        <is>
          <t>2187 Shah Wells Suite 729</t>
        </is>
      </c>
      <c r="K1029" s="1" t="inlineStr">
        <is>
          <t>Suite 647</t>
        </is>
      </c>
      <c r="L1029" s="1" t="inlineStr">
        <is>
          <t>PIN:40828 NORTH EMILY</t>
        </is>
      </c>
      <c r="M1029" s="2" t="inlineStr">
        <is>
          <t>MHA/IND/01100</t>
        </is>
      </c>
      <c r="N1029" s="30" t="n">
        <v>45879</v>
      </c>
    </row>
    <row r="1030">
      <c r="A1030" s="28" t="n">
        <v>1029</v>
      </c>
      <c r="B1030" s="1" t="inlineStr">
        <is>
          <t>DEV MYRTHOS</t>
        </is>
      </c>
      <c r="C1030" s="30" t="n">
        <v>45890</v>
      </c>
      <c r="D1030" s="1" t="inlineStr">
        <is>
          <t>EAST JOSEPH</t>
        </is>
      </c>
      <c r="E1030" s="12" t="inlineStr">
        <is>
          <t>IND/MEL/01029</t>
        </is>
      </c>
      <c r="F1030" s="1" t="inlineStr">
        <is>
          <t>M</t>
        </is>
      </c>
      <c r="G1030" s="1" t="inlineStr">
        <is>
          <t>Christopher Mccullough</t>
        </is>
      </c>
      <c r="H1030" s="1" t="inlineStr">
        <is>
          <t>Laura Bailey</t>
        </is>
      </c>
      <c r="I1030" s="30" t="n">
        <v>46065</v>
      </c>
      <c r="J1030" s="1" t="inlineStr">
        <is>
          <t>248 Hannah Flat</t>
        </is>
      </c>
      <c r="K1030" s="1" t="inlineStr">
        <is>
          <t>Suite 858</t>
        </is>
      </c>
      <c r="L1030" s="1" t="inlineStr">
        <is>
          <t>PIN:23218 BRIGGSSTAD</t>
        </is>
      </c>
      <c r="M1030" s="2" t="inlineStr">
        <is>
          <t>MHA/IND/01101</t>
        </is>
      </c>
      <c r="N1030" s="30" t="n">
        <v>45844</v>
      </c>
    </row>
    <row r="1031">
      <c r="A1031" s="28" t="n">
        <v>1030</v>
      </c>
      <c r="B1031" s="1" t="inlineStr">
        <is>
          <t>NINA MYRTHOS</t>
        </is>
      </c>
      <c r="C1031" s="30" t="n">
        <v>45890</v>
      </c>
      <c r="D1031" s="1" t="inlineStr">
        <is>
          <t>EAST JOSEPH</t>
        </is>
      </c>
      <c r="E1031" s="12" t="inlineStr">
        <is>
          <t>IND/MEL/01030</t>
        </is>
      </c>
      <c r="F1031" s="1" t="inlineStr">
        <is>
          <t>M</t>
        </is>
      </c>
      <c r="G1031" s="1" t="inlineStr">
        <is>
          <t>Christopher Mccullough</t>
        </is>
      </c>
      <c r="H1031" s="1" t="inlineStr">
        <is>
          <t>Laura Bailey</t>
        </is>
      </c>
      <c r="I1031" s="30" t="n">
        <v>46065</v>
      </c>
      <c r="J1031" s="1" t="inlineStr">
        <is>
          <t>248 Hannah Flat</t>
        </is>
      </c>
      <c r="K1031" s="1" t="inlineStr">
        <is>
          <t>Suite 858</t>
        </is>
      </c>
      <c r="L1031" s="1" t="inlineStr">
        <is>
          <t>PIN:23218 BRIGGSSTAD</t>
        </is>
      </c>
      <c r="M1031" s="2" t="inlineStr">
        <is>
          <t>MHA/IND/01101</t>
        </is>
      </c>
      <c r="N1031" s="30" t="n">
        <v>45898</v>
      </c>
    </row>
    <row r="1032">
      <c r="A1032" s="28" t="n">
        <v>1031</v>
      </c>
      <c r="B1032" s="1" t="inlineStr">
        <is>
          <t>ARJUN SINDALE</t>
        </is>
      </c>
      <c r="C1032" s="30" t="n">
        <v>46035</v>
      </c>
      <c r="D1032" s="1" t="inlineStr">
        <is>
          <t>VICTORIASIDE</t>
        </is>
      </c>
      <c r="E1032" s="12" t="inlineStr">
        <is>
          <t>IND/MEL/01031</t>
        </is>
      </c>
      <c r="F1032" s="1" t="inlineStr">
        <is>
          <t>F</t>
        </is>
      </c>
      <c r="G1032" s="1" t="inlineStr">
        <is>
          <t>Nathan Peterson</t>
        </is>
      </c>
      <c r="H1032" s="1" t="inlineStr">
        <is>
          <t>Amber Young</t>
        </is>
      </c>
      <c r="I1032" s="30" t="n">
        <v>46065</v>
      </c>
      <c r="J1032" s="1" t="inlineStr">
        <is>
          <t>73050 Brian Village</t>
        </is>
      </c>
      <c r="K1032" s="1" t="inlineStr">
        <is>
          <t>Apt. 784</t>
        </is>
      </c>
      <c r="L1032" s="1" t="inlineStr">
        <is>
          <t>PIN:47650 WEST STANLEY</t>
        </is>
      </c>
      <c r="M1032" s="2" t="inlineStr">
        <is>
          <t>MHA/IND/01102</t>
        </is>
      </c>
      <c r="N1032" s="30" t="n">
        <v>45853</v>
      </c>
    </row>
    <row r="1033">
      <c r="A1033" s="28" t="n">
        <v>1032</v>
      </c>
      <c r="B1033" s="1" t="inlineStr">
        <is>
          <t>DIYA SHARMA</t>
        </is>
      </c>
      <c r="C1033" s="30" t="n">
        <v>46035</v>
      </c>
      <c r="D1033" s="1" t="inlineStr">
        <is>
          <t>VICTORIASIDE</t>
        </is>
      </c>
      <c r="E1033" s="12" t="inlineStr">
        <is>
          <t>IND/MEL/01032</t>
        </is>
      </c>
      <c r="F1033" s="1" t="inlineStr">
        <is>
          <t>F</t>
        </is>
      </c>
      <c r="G1033" s="1" t="inlineStr">
        <is>
          <t>Nathan Peterson</t>
        </is>
      </c>
      <c r="H1033" s="1" t="inlineStr">
        <is>
          <t>Amber Young</t>
        </is>
      </c>
      <c r="I1033" s="30" t="n">
        <v>46065</v>
      </c>
      <c r="J1033" s="1" t="inlineStr">
        <is>
          <t>73050 Brian Village</t>
        </is>
      </c>
      <c r="K1033" s="1" t="inlineStr">
        <is>
          <t>Apt. 784</t>
        </is>
      </c>
      <c r="L1033" s="1" t="inlineStr">
        <is>
          <t>PIN:47650 WEST STANLEY</t>
        </is>
      </c>
      <c r="M1033" s="2" t="inlineStr">
        <is>
          <t>MHA/IND/01102</t>
        </is>
      </c>
      <c r="N1033" s="30" t="n">
        <v>45841</v>
      </c>
    </row>
    <row r="1034">
      <c r="A1034" s="28" t="n">
        <v>1033</v>
      </c>
      <c r="B1034" s="1" t="inlineStr">
        <is>
          <t>ISHAN SINDALE</t>
        </is>
      </c>
      <c r="C1034" s="30" t="n">
        <v>45712</v>
      </c>
      <c r="D1034" s="1" t="inlineStr">
        <is>
          <t>THOMPSONTOWN</t>
        </is>
      </c>
      <c r="E1034" s="12" t="inlineStr">
        <is>
          <t>IND/MEL/01033</t>
        </is>
      </c>
      <c r="F1034" s="1" t="inlineStr">
        <is>
          <t>F</t>
        </is>
      </c>
      <c r="G1034" s="1" t="inlineStr">
        <is>
          <t>Charles Skinner</t>
        </is>
      </c>
      <c r="H1034" s="1" t="inlineStr">
        <is>
          <t>Jessica Gutierrez</t>
        </is>
      </c>
      <c r="I1034" s="30" t="n">
        <v>46065</v>
      </c>
      <c r="J1034" s="1" t="inlineStr">
        <is>
          <t>47700 Cameron Islands Apt. 945</t>
        </is>
      </c>
      <c r="K1034" s="1" t="inlineStr">
        <is>
          <t>Suite 157</t>
        </is>
      </c>
      <c r="L1034" s="1" t="inlineStr">
        <is>
          <t>PIN:37858 NORTH RONNIE</t>
        </is>
      </c>
      <c r="M1034" s="2" t="inlineStr">
        <is>
          <t>MHA/IND/01103</t>
        </is>
      </c>
      <c r="N1034" s="30" t="n">
        <v>45851</v>
      </c>
    </row>
    <row r="1035">
      <c r="A1035" s="28" t="n">
        <v>1034</v>
      </c>
      <c r="B1035" s="1" t="inlineStr">
        <is>
          <t>ALYA RAO</t>
        </is>
      </c>
      <c r="C1035" s="30" t="n">
        <v>45712</v>
      </c>
      <c r="D1035" s="1" t="inlineStr">
        <is>
          <t>THOMPSONTOWN</t>
        </is>
      </c>
      <c r="E1035" s="12" t="inlineStr">
        <is>
          <t>IND/MEL/01034</t>
        </is>
      </c>
      <c r="F1035" s="1" t="inlineStr">
        <is>
          <t>F</t>
        </is>
      </c>
      <c r="G1035" s="1" t="inlineStr">
        <is>
          <t>Charles Skinner</t>
        </is>
      </c>
      <c r="H1035" s="1" t="inlineStr">
        <is>
          <t>Jessica Gutierrez</t>
        </is>
      </c>
      <c r="I1035" s="30" t="n">
        <v>46065</v>
      </c>
      <c r="J1035" s="1" t="inlineStr">
        <is>
          <t>47700 Cameron Islands Apt. 945</t>
        </is>
      </c>
      <c r="K1035" s="1" t="inlineStr">
        <is>
          <t>Suite 157</t>
        </is>
      </c>
      <c r="L1035" s="1" t="inlineStr">
        <is>
          <t>PIN:37858 NORTH RONNIE</t>
        </is>
      </c>
      <c r="M1035" s="2" t="inlineStr">
        <is>
          <t>MHA/IND/01103</t>
        </is>
      </c>
      <c r="N1035" s="30" t="n">
        <v>45849</v>
      </c>
    </row>
    <row r="1036">
      <c r="A1036" s="28" t="n">
        <v>1035</v>
      </c>
      <c r="B1036" s="1" t="inlineStr">
        <is>
          <t>ISHAN SINDALE</t>
        </is>
      </c>
      <c r="C1036" s="30" t="n">
        <v>45974</v>
      </c>
      <c r="D1036" s="1" t="inlineStr">
        <is>
          <t>LAKE TREVORFORT</t>
        </is>
      </c>
      <c r="E1036" s="12" t="inlineStr">
        <is>
          <t>IND/MEL/01035</t>
        </is>
      </c>
      <c r="F1036" s="1" t="inlineStr">
        <is>
          <t>M</t>
        </is>
      </c>
      <c r="G1036" s="1" t="inlineStr">
        <is>
          <t>Nathan Gomez</t>
        </is>
      </c>
      <c r="H1036" s="1" t="inlineStr">
        <is>
          <t>Amy Mora</t>
        </is>
      </c>
      <c r="I1036" s="30" t="n">
        <v>46065</v>
      </c>
      <c r="J1036" s="1" t="inlineStr">
        <is>
          <t>21161 Gibson Lodge</t>
        </is>
      </c>
      <c r="K1036" s="1" t="inlineStr">
        <is>
          <t>Suite 667</t>
        </is>
      </c>
      <c r="L1036" s="1" t="inlineStr">
        <is>
          <t>PIN:07129 SOUTH KRISTIN</t>
        </is>
      </c>
      <c r="M1036" s="2" t="inlineStr">
        <is>
          <t>MHA/IND/01104</t>
        </is>
      </c>
      <c r="N1036" s="30" t="n">
        <v>45883</v>
      </c>
    </row>
    <row r="1037">
      <c r="A1037" s="28" t="n">
        <v>1036</v>
      </c>
      <c r="B1037" s="1" t="inlineStr">
        <is>
          <t>ISHAN KALEON</t>
        </is>
      </c>
      <c r="C1037" s="30" t="n">
        <v>45974</v>
      </c>
      <c r="D1037" s="1" t="inlineStr">
        <is>
          <t>LAKE TREVORFORT</t>
        </is>
      </c>
      <c r="E1037" s="12" t="inlineStr">
        <is>
          <t>IND/MEL/01036</t>
        </is>
      </c>
      <c r="F1037" s="1" t="inlineStr">
        <is>
          <t>M</t>
        </is>
      </c>
      <c r="G1037" s="1" t="inlineStr">
        <is>
          <t>Nathan Gomez</t>
        </is>
      </c>
      <c r="H1037" s="1" t="inlineStr">
        <is>
          <t>Amy Mora</t>
        </is>
      </c>
      <c r="I1037" s="30" t="n">
        <v>46065</v>
      </c>
      <c r="J1037" s="1" t="inlineStr">
        <is>
          <t>21161 Gibson Lodge</t>
        </is>
      </c>
      <c r="K1037" s="1" t="inlineStr">
        <is>
          <t>Suite 667</t>
        </is>
      </c>
      <c r="L1037" s="1" t="inlineStr">
        <is>
          <t>PIN:07129 SOUTH KRISTIN</t>
        </is>
      </c>
      <c r="M1037" s="2" t="inlineStr">
        <is>
          <t>MHA/IND/01104</t>
        </is>
      </c>
      <c r="N1037" s="30" t="n">
        <v>45843</v>
      </c>
    </row>
    <row r="1038">
      <c r="A1038" s="28" t="n">
        <v>1037</v>
      </c>
      <c r="B1038" s="1" t="inlineStr">
        <is>
          <t>KIRAN MYRTHOS</t>
        </is>
      </c>
      <c r="C1038" s="30" t="n">
        <v>45991</v>
      </c>
      <c r="D1038" s="1" t="inlineStr">
        <is>
          <t>BROOKSBERG</t>
        </is>
      </c>
      <c r="E1038" s="12" t="inlineStr">
        <is>
          <t>IND/MEL/01037</t>
        </is>
      </c>
      <c r="F1038" s="1" t="inlineStr">
        <is>
          <t>F</t>
        </is>
      </c>
      <c r="G1038" s="1" t="inlineStr">
        <is>
          <t>Jeffrey Baker</t>
        </is>
      </c>
      <c r="H1038" s="1" t="inlineStr">
        <is>
          <t>Elizabeth Kim</t>
        </is>
      </c>
      <c r="I1038" s="30" t="n">
        <v>46065</v>
      </c>
      <c r="J1038" s="1" t="inlineStr">
        <is>
          <t>068 Brent Summit Apt. 991</t>
        </is>
      </c>
      <c r="K1038" s="1" t="inlineStr">
        <is>
          <t>Apt. 866</t>
        </is>
      </c>
      <c r="L1038" s="1" t="inlineStr">
        <is>
          <t>PIN:87903 NEW KATELYN</t>
        </is>
      </c>
      <c r="M1038" s="2" t="inlineStr">
        <is>
          <t>MHA/IND/01105</t>
        </is>
      </c>
      <c r="N1038" s="30" t="n">
        <v>45862</v>
      </c>
    </row>
    <row r="1039">
      <c r="A1039" s="28" t="n">
        <v>1038</v>
      </c>
      <c r="B1039" s="1" t="inlineStr">
        <is>
          <t>ISHAN MYRTHOS</t>
        </is>
      </c>
      <c r="C1039" s="30" t="n">
        <v>45991</v>
      </c>
      <c r="D1039" s="1" t="inlineStr">
        <is>
          <t>BROOKSBERG</t>
        </is>
      </c>
      <c r="E1039" s="12" t="inlineStr">
        <is>
          <t>IND/MEL/01038</t>
        </is>
      </c>
      <c r="F1039" s="1" t="inlineStr">
        <is>
          <t>F</t>
        </is>
      </c>
      <c r="G1039" s="1" t="inlineStr">
        <is>
          <t>Jeffrey Baker</t>
        </is>
      </c>
      <c r="H1039" s="1" t="inlineStr">
        <is>
          <t>Elizabeth Kim</t>
        </is>
      </c>
      <c r="I1039" s="30" t="n">
        <v>46065</v>
      </c>
      <c r="J1039" s="1" t="inlineStr">
        <is>
          <t>068 Brent Summit Apt. 991</t>
        </is>
      </c>
      <c r="K1039" s="1" t="inlineStr">
        <is>
          <t>Apt. 866</t>
        </is>
      </c>
      <c r="L1039" s="1" t="inlineStr">
        <is>
          <t>PIN:87903 NEW KATELYN</t>
        </is>
      </c>
      <c r="M1039" s="2" t="inlineStr">
        <is>
          <t>MHA/IND/01105</t>
        </is>
      </c>
      <c r="N1039" s="30" t="n">
        <v>45844</v>
      </c>
    </row>
    <row r="1040">
      <c r="A1040" s="28" t="n">
        <v>1039</v>
      </c>
      <c r="B1040" s="1" t="inlineStr">
        <is>
          <t>AREN SINDALE</t>
        </is>
      </c>
      <c r="C1040" s="30" t="n">
        <v>46009</v>
      </c>
      <c r="D1040" s="1" t="inlineStr">
        <is>
          <t>NEW EMILYTON</t>
        </is>
      </c>
      <c r="E1040" s="12" t="inlineStr">
        <is>
          <t>IND/MEL/01039</t>
        </is>
      </c>
      <c r="F1040" s="1" t="inlineStr">
        <is>
          <t>M</t>
        </is>
      </c>
      <c r="G1040" s="1" t="inlineStr">
        <is>
          <t>Brandon Smith</t>
        </is>
      </c>
      <c r="H1040" s="1" t="inlineStr">
        <is>
          <t>Jody Brown</t>
        </is>
      </c>
      <c r="I1040" s="30" t="n">
        <v>46065</v>
      </c>
      <c r="J1040" s="1" t="inlineStr">
        <is>
          <t>2543 Bennett Well</t>
        </is>
      </c>
      <c r="K1040" s="1" t="inlineStr">
        <is>
          <t>Apt. 675</t>
        </is>
      </c>
      <c r="L1040" s="1" t="inlineStr">
        <is>
          <t>PIN:56240 DOUGLASMOUTH</t>
        </is>
      </c>
      <c r="M1040" s="2" t="inlineStr">
        <is>
          <t>MHA/IND/01106</t>
        </is>
      </c>
      <c r="N1040" s="30" t="n">
        <v>45890</v>
      </c>
    </row>
    <row r="1041">
      <c r="A1041" s="28" t="n">
        <v>1040</v>
      </c>
      <c r="B1041" s="1" t="inlineStr">
        <is>
          <t>ARJUN SHARMA</t>
        </is>
      </c>
      <c r="C1041" s="30" t="n">
        <v>46009</v>
      </c>
      <c r="D1041" s="1" t="inlineStr">
        <is>
          <t>NEW EMILYTON</t>
        </is>
      </c>
      <c r="E1041" s="12" t="inlineStr">
        <is>
          <t>IND/MEL/01040</t>
        </is>
      </c>
      <c r="F1041" s="1" t="inlineStr">
        <is>
          <t>M</t>
        </is>
      </c>
      <c r="G1041" s="1" t="inlineStr">
        <is>
          <t>Brandon Smith</t>
        </is>
      </c>
      <c r="H1041" s="1" t="inlineStr">
        <is>
          <t>Jody Brown</t>
        </is>
      </c>
      <c r="I1041" s="30" t="n">
        <v>46065</v>
      </c>
      <c r="J1041" s="1" t="inlineStr">
        <is>
          <t>2543 Bennett Well</t>
        </is>
      </c>
      <c r="K1041" s="1" t="inlineStr">
        <is>
          <t>Apt. 675</t>
        </is>
      </c>
      <c r="L1041" s="1" t="inlineStr">
        <is>
          <t>PIN:56240 DOUGLASMOUTH</t>
        </is>
      </c>
      <c r="M1041" s="2" t="inlineStr">
        <is>
          <t>MHA/IND/01106</t>
        </is>
      </c>
      <c r="N1041" s="30" t="n">
        <v>45846</v>
      </c>
    </row>
    <row r="1042">
      <c r="A1042" s="28" t="n">
        <v>1041</v>
      </c>
      <c r="B1042" s="1" t="inlineStr">
        <is>
          <t>ALYA RAO</t>
        </is>
      </c>
      <c r="C1042" s="30" t="n">
        <v>45851</v>
      </c>
      <c r="D1042" s="1" t="inlineStr">
        <is>
          <t>WALKERSHIRE</t>
        </is>
      </c>
      <c r="E1042" s="12" t="inlineStr">
        <is>
          <t>IND/MEL/01041</t>
        </is>
      </c>
      <c r="F1042" s="1" t="inlineStr">
        <is>
          <t>F</t>
        </is>
      </c>
      <c r="G1042" s="1" t="inlineStr">
        <is>
          <t>Edward Phillips</t>
        </is>
      </c>
      <c r="H1042" s="1" t="inlineStr">
        <is>
          <t>Ashley Powell</t>
        </is>
      </c>
      <c r="I1042" s="30" t="n">
        <v>46065</v>
      </c>
      <c r="J1042" s="1" t="inlineStr">
        <is>
          <t>61754 Reilly Shores</t>
        </is>
      </c>
      <c r="K1042" s="1" t="inlineStr">
        <is>
          <t>Suite 213</t>
        </is>
      </c>
      <c r="L1042" s="1" t="inlineStr">
        <is>
          <t>PIN:03313 SOUTH KEVIN</t>
        </is>
      </c>
      <c r="M1042" s="2" t="inlineStr">
        <is>
          <t>MHA/IND/01107</t>
        </is>
      </c>
      <c r="N1042" s="30" t="n">
        <v>45845</v>
      </c>
    </row>
    <row r="1043">
      <c r="A1043" s="28" t="n">
        <v>1042</v>
      </c>
      <c r="B1043" s="1" t="inlineStr">
        <is>
          <t>DIYA KALEON</t>
        </is>
      </c>
      <c r="C1043" s="30" t="n">
        <v>45851</v>
      </c>
      <c r="D1043" s="1" t="inlineStr">
        <is>
          <t>WALKERSHIRE</t>
        </is>
      </c>
      <c r="E1043" s="12" t="inlineStr">
        <is>
          <t>IND/MEL/01042</t>
        </is>
      </c>
      <c r="F1043" s="1" t="inlineStr">
        <is>
          <t>F</t>
        </is>
      </c>
      <c r="G1043" s="1" t="inlineStr">
        <is>
          <t>Edward Phillips</t>
        </is>
      </c>
      <c r="H1043" s="1" t="inlineStr">
        <is>
          <t>Ashley Powell</t>
        </is>
      </c>
      <c r="I1043" s="30" t="n">
        <v>46065</v>
      </c>
      <c r="J1043" s="1" t="inlineStr">
        <is>
          <t>61754 Reilly Shores</t>
        </is>
      </c>
      <c r="K1043" s="1" t="inlineStr">
        <is>
          <t>Suite 213</t>
        </is>
      </c>
      <c r="L1043" s="1" t="inlineStr">
        <is>
          <t>PIN:03313 SOUTH KEVIN</t>
        </is>
      </c>
      <c r="M1043" s="2" t="inlineStr">
        <is>
          <t>MHA/IND/01107</t>
        </is>
      </c>
      <c r="N1043" s="30" t="n">
        <v>45898</v>
      </c>
    </row>
    <row r="1044">
      <c r="A1044" s="28" t="n">
        <v>1043</v>
      </c>
      <c r="B1044" s="1" t="inlineStr">
        <is>
          <t>ANYA RAO</t>
        </is>
      </c>
      <c r="C1044" s="30" t="n">
        <v>45862</v>
      </c>
      <c r="D1044" s="1" t="inlineStr">
        <is>
          <t>LOGANBERG</t>
        </is>
      </c>
      <c r="E1044" s="12" t="inlineStr">
        <is>
          <t>IND/MEL/01043</t>
        </is>
      </c>
      <c r="F1044" s="1" t="inlineStr">
        <is>
          <t>F</t>
        </is>
      </c>
      <c r="G1044" s="1" t="inlineStr">
        <is>
          <t>Christopher Suarez</t>
        </is>
      </c>
      <c r="H1044" s="1" t="inlineStr">
        <is>
          <t>Jennifer Schneider</t>
        </is>
      </c>
      <c r="I1044" s="30" t="n">
        <v>46065</v>
      </c>
      <c r="J1044" s="1" t="inlineStr">
        <is>
          <t>322 Hartman Extensions Suite 854</t>
        </is>
      </c>
      <c r="K1044" s="1" t="inlineStr">
        <is>
          <t>Apt. 763</t>
        </is>
      </c>
      <c r="L1044" s="1" t="inlineStr">
        <is>
          <t>PIN:35770 NORTH DONNACHESTER</t>
        </is>
      </c>
      <c r="M1044" s="2" t="inlineStr">
        <is>
          <t>MHA/IND/01108</t>
        </is>
      </c>
      <c r="N1044" s="30" t="n">
        <v>45877</v>
      </c>
    </row>
    <row r="1045">
      <c r="A1045" s="28" t="n">
        <v>1044</v>
      </c>
      <c r="B1045" s="1" t="inlineStr">
        <is>
          <t>NINA KALEON</t>
        </is>
      </c>
      <c r="C1045" s="30" t="n">
        <v>45862</v>
      </c>
      <c r="D1045" s="1" t="inlineStr">
        <is>
          <t>LOGANBERG</t>
        </is>
      </c>
      <c r="E1045" s="12" t="inlineStr">
        <is>
          <t>IND/MEL/01044</t>
        </is>
      </c>
      <c r="F1045" s="1" t="inlineStr">
        <is>
          <t>F</t>
        </is>
      </c>
      <c r="G1045" s="1" t="inlineStr">
        <is>
          <t>Christopher Suarez</t>
        </is>
      </c>
      <c r="H1045" s="1" t="inlineStr">
        <is>
          <t>Jennifer Schneider</t>
        </is>
      </c>
      <c r="I1045" s="30" t="n">
        <v>46065</v>
      </c>
      <c r="J1045" s="1" t="inlineStr">
        <is>
          <t>322 Hartman Extensions Suite 854</t>
        </is>
      </c>
      <c r="K1045" s="1" t="inlineStr">
        <is>
          <t>Apt. 763</t>
        </is>
      </c>
      <c r="L1045" s="1" t="inlineStr">
        <is>
          <t>PIN:35770 NORTH DONNACHESTER</t>
        </is>
      </c>
      <c r="M1045" s="2" t="inlineStr">
        <is>
          <t>MHA/IND/01108</t>
        </is>
      </c>
      <c r="N1045" s="30" t="n">
        <v>45872</v>
      </c>
    </row>
    <row r="1046">
      <c r="A1046" s="28" t="n">
        <v>1045</v>
      </c>
      <c r="B1046" s="1" t="inlineStr">
        <is>
          <t>ANYA MYRTHOS</t>
        </is>
      </c>
      <c r="C1046" s="30" t="n">
        <v>45760</v>
      </c>
      <c r="D1046" s="1" t="inlineStr">
        <is>
          <t>WEST DALEFURT</t>
        </is>
      </c>
      <c r="E1046" s="12" t="inlineStr">
        <is>
          <t>IND/MEL/01045</t>
        </is>
      </c>
      <c r="F1046" s="1" t="inlineStr">
        <is>
          <t>F</t>
        </is>
      </c>
      <c r="G1046" s="1" t="inlineStr">
        <is>
          <t>Ricardo Black</t>
        </is>
      </c>
      <c r="H1046" s="1" t="inlineStr">
        <is>
          <t>Nicole Hayes</t>
        </is>
      </c>
      <c r="I1046" s="30" t="n">
        <v>46065</v>
      </c>
      <c r="J1046" s="1" t="inlineStr">
        <is>
          <t>318 Willie Via</t>
        </is>
      </c>
      <c r="K1046" s="1" t="inlineStr">
        <is>
          <t>Suite 613</t>
        </is>
      </c>
      <c r="L1046" s="1" t="inlineStr">
        <is>
          <t>PIN:65403 COLLINSSHIRE</t>
        </is>
      </c>
      <c r="M1046" s="2" t="inlineStr">
        <is>
          <t>MHA/IND/01109</t>
        </is>
      </c>
      <c r="N1046" s="30" t="n">
        <v>45840</v>
      </c>
    </row>
    <row r="1047">
      <c r="A1047" s="28" t="n">
        <v>1046</v>
      </c>
      <c r="B1047" s="1" t="inlineStr">
        <is>
          <t>ANYA KALEON</t>
        </is>
      </c>
      <c r="C1047" s="30" t="n">
        <v>45760</v>
      </c>
      <c r="D1047" s="1" t="inlineStr">
        <is>
          <t>WEST DALEFURT</t>
        </is>
      </c>
      <c r="E1047" s="12" t="inlineStr">
        <is>
          <t>IND/MEL/01046</t>
        </is>
      </c>
      <c r="F1047" s="1" t="inlineStr">
        <is>
          <t>F</t>
        </is>
      </c>
      <c r="G1047" s="1" t="inlineStr">
        <is>
          <t>Ricardo Black</t>
        </is>
      </c>
      <c r="H1047" s="1" t="inlineStr">
        <is>
          <t>Nicole Hayes</t>
        </is>
      </c>
      <c r="I1047" s="30" t="n">
        <v>46065</v>
      </c>
      <c r="J1047" s="1" t="inlineStr">
        <is>
          <t>318 Willie Via</t>
        </is>
      </c>
      <c r="K1047" s="1" t="inlineStr">
        <is>
          <t>Suite 613</t>
        </is>
      </c>
      <c r="L1047" s="1" t="inlineStr">
        <is>
          <t>PIN:65403 COLLINSSHIRE</t>
        </is>
      </c>
      <c r="M1047" s="2" t="inlineStr">
        <is>
          <t>MHA/IND/01109</t>
        </is>
      </c>
      <c r="N1047" s="30" t="n">
        <v>45858</v>
      </c>
    </row>
    <row r="1048">
      <c r="A1048" s="28" t="n">
        <v>1047</v>
      </c>
      <c r="B1048" s="1" t="inlineStr">
        <is>
          <t>RIYA MYRTHOS</t>
        </is>
      </c>
      <c r="C1048" s="30" t="n">
        <v>45921</v>
      </c>
      <c r="D1048" s="1" t="inlineStr">
        <is>
          <t>PORT WILLIAMMOUTH</t>
        </is>
      </c>
      <c r="E1048" s="12" t="inlineStr">
        <is>
          <t>IND/MEL/01047</t>
        </is>
      </c>
      <c r="F1048" s="1" t="inlineStr">
        <is>
          <t>F</t>
        </is>
      </c>
      <c r="G1048" s="1" t="inlineStr">
        <is>
          <t>Bradley Castro</t>
        </is>
      </c>
      <c r="H1048" s="1" t="inlineStr">
        <is>
          <t>Pamela Roberts</t>
        </is>
      </c>
      <c r="I1048" s="30" t="n">
        <v>46065</v>
      </c>
      <c r="J1048" s="1" t="inlineStr">
        <is>
          <t>7936 Lopez Club</t>
        </is>
      </c>
      <c r="K1048" s="1" t="inlineStr">
        <is>
          <t>Apt. 337</t>
        </is>
      </c>
      <c r="L1048" s="1" t="inlineStr">
        <is>
          <t>PIN:61936 MICHELEMOUTH</t>
        </is>
      </c>
      <c r="M1048" s="2" t="inlineStr">
        <is>
          <t>MHA/IND/01110</t>
        </is>
      </c>
      <c r="N1048" s="30" t="n">
        <v>45859</v>
      </c>
    </row>
    <row r="1049">
      <c r="A1049" s="28" t="n">
        <v>1048</v>
      </c>
      <c r="B1049" s="1" t="inlineStr">
        <is>
          <t>NEIL KALEON</t>
        </is>
      </c>
      <c r="C1049" s="30" t="n">
        <v>45921</v>
      </c>
      <c r="D1049" s="1" t="inlineStr">
        <is>
          <t>PORT WILLIAMMOUTH</t>
        </is>
      </c>
      <c r="E1049" s="12" t="inlineStr">
        <is>
          <t>IND/MEL/01048</t>
        </is>
      </c>
      <c r="F1049" s="1" t="inlineStr">
        <is>
          <t>F</t>
        </is>
      </c>
      <c r="G1049" s="1" t="inlineStr">
        <is>
          <t>Bradley Castro</t>
        </is>
      </c>
      <c r="H1049" s="1" t="inlineStr">
        <is>
          <t>Pamela Roberts</t>
        </is>
      </c>
      <c r="I1049" s="30" t="n">
        <v>46065</v>
      </c>
      <c r="J1049" s="1" t="inlineStr">
        <is>
          <t>7936 Lopez Club</t>
        </is>
      </c>
      <c r="K1049" s="1" t="inlineStr">
        <is>
          <t>Apt. 337</t>
        </is>
      </c>
      <c r="L1049" s="1" t="inlineStr">
        <is>
          <t>PIN:61936 MICHELEMOUTH</t>
        </is>
      </c>
      <c r="M1049" s="2" t="inlineStr">
        <is>
          <t>MHA/IND/01110</t>
        </is>
      </c>
      <c r="N1049" s="30" t="n">
        <v>45846</v>
      </c>
    </row>
    <row r="1050">
      <c r="A1050" s="28" t="n">
        <v>1049</v>
      </c>
      <c r="B1050" s="1" t="inlineStr">
        <is>
          <t>KABIR SHARMA</t>
        </is>
      </c>
      <c r="C1050" s="30" t="n">
        <v>46034</v>
      </c>
      <c r="D1050" s="1" t="inlineStr">
        <is>
          <t>ANGELAVILLE</t>
        </is>
      </c>
      <c r="E1050" s="12" t="inlineStr">
        <is>
          <t>IND/MEL/01049</t>
        </is>
      </c>
      <c r="F1050" s="1" t="inlineStr">
        <is>
          <t>F</t>
        </is>
      </c>
      <c r="G1050" s="1" t="inlineStr">
        <is>
          <t>David Myers</t>
        </is>
      </c>
      <c r="H1050" s="1" t="inlineStr">
        <is>
          <t>Stephanie Ferguson</t>
        </is>
      </c>
      <c r="I1050" s="30" t="n">
        <v>46065</v>
      </c>
      <c r="J1050" s="1" t="inlineStr">
        <is>
          <t>4818 Kevin Crest</t>
        </is>
      </c>
      <c r="K1050" s="1" t="inlineStr">
        <is>
          <t>Apt. 789</t>
        </is>
      </c>
      <c r="L1050" s="1" t="inlineStr">
        <is>
          <t>PIN:83240 EAST WILLIAM</t>
        </is>
      </c>
      <c r="M1050" s="2" t="inlineStr">
        <is>
          <t>MHA/IND/01111</t>
        </is>
      </c>
      <c r="N1050" s="30" t="n">
        <v>45896</v>
      </c>
    </row>
    <row r="1051">
      <c r="A1051" s="28" t="n">
        <v>1050</v>
      </c>
      <c r="B1051" s="1" t="inlineStr">
        <is>
          <t>ANYA RISHKAN</t>
        </is>
      </c>
      <c r="C1051" s="30" t="n">
        <v>46034</v>
      </c>
      <c r="D1051" s="1" t="inlineStr">
        <is>
          <t>ANGELAVILLE</t>
        </is>
      </c>
      <c r="E1051" s="12" t="inlineStr">
        <is>
          <t>IND/MEL/01050</t>
        </is>
      </c>
      <c r="F1051" s="1" t="inlineStr">
        <is>
          <t>F</t>
        </is>
      </c>
      <c r="G1051" s="1" t="inlineStr">
        <is>
          <t>David Myers</t>
        </is>
      </c>
      <c r="H1051" s="1" t="inlineStr">
        <is>
          <t>Stephanie Ferguson</t>
        </is>
      </c>
      <c r="I1051" s="30" t="n">
        <v>46065</v>
      </c>
      <c r="J1051" s="1" t="inlineStr">
        <is>
          <t>4818 Kevin Crest</t>
        </is>
      </c>
      <c r="K1051" s="1" t="inlineStr">
        <is>
          <t>Apt. 789</t>
        </is>
      </c>
      <c r="L1051" s="1" t="inlineStr">
        <is>
          <t>PIN:83240 EAST WILLIAM</t>
        </is>
      </c>
      <c r="M1051" s="2" t="inlineStr">
        <is>
          <t>MHA/IND/01111</t>
        </is>
      </c>
      <c r="N1051" s="30" t="n">
        <v>45848</v>
      </c>
    </row>
    <row r="1052">
      <c r="A1052" s="28" t="n">
        <v>1051</v>
      </c>
      <c r="B1052" s="1" t="inlineStr">
        <is>
          <t>ISHAN RAO</t>
        </is>
      </c>
      <c r="C1052" s="30" t="n">
        <v>45801</v>
      </c>
      <c r="D1052" s="1" t="inlineStr">
        <is>
          <t>PORT WENDY</t>
        </is>
      </c>
      <c r="E1052" s="12" t="inlineStr">
        <is>
          <t>IND/MEL/01051</t>
        </is>
      </c>
      <c r="F1052" s="1" t="inlineStr">
        <is>
          <t>M</t>
        </is>
      </c>
      <c r="G1052" s="1" t="inlineStr">
        <is>
          <t>John Oconnor</t>
        </is>
      </c>
      <c r="H1052" s="1" t="inlineStr">
        <is>
          <t>Lauren Bullock</t>
        </is>
      </c>
      <c r="I1052" s="30" t="n">
        <v>46065</v>
      </c>
      <c r="J1052" s="1" t="inlineStr">
        <is>
          <t>50762 Duran Shoals Suite 408</t>
        </is>
      </c>
      <c r="K1052" s="1" t="inlineStr">
        <is>
          <t>Apt. 399</t>
        </is>
      </c>
      <c r="L1052" s="1" t="inlineStr">
        <is>
          <t>PIN:56202 TOWNSENDVILLE</t>
        </is>
      </c>
      <c r="M1052" s="2" t="inlineStr">
        <is>
          <t>MHA/IND/01112</t>
        </is>
      </c>
      <c r="N1052" s="30" t="n">
        <v>45884</v>
      </c>
    </row>
    <row r="1053">
      <c r="A1053" s="28" t="n">
        <v>1052</v>
      </c>
      <c r="B1053" s="1" t="inlineStr">
        <is>
          <t>DIYA SHARMA</t>
        </is>
      </c>
      <c r="C1053" s="30" t="n">
        <v>45801</v>
      </c>
      <c r="D1053" s="1" t="inlineStr">
        <is>
          <t>PORT WENDY</t>
        </is>
      </c>
      <c r="E1053" s="12" t="inlineStr">
        <is>
          <t>IND/MEL/01052</t>
        </is>
      </c>
      <c r="F1053" s="1" t="inlineStr">
        <is>
          <t>M</t>
        </is>
      </c>
      <c r="G1053" s="1" t="inlineStr">
        <is>
          <t>John Oconnor</t>
        </is>
      </c>
      <c r="H1053" s="1" t="inlineStr">
        <is>
          <t>Lauren Bullock</t>
        </is>
      </c>
      <c r="I1053" s="30" t="n">
        <v>46065</v>
      </c>
      <c r="J1053" s="1" t="inlineStr">
        <is>
          <t>50762 Duran Shoals Suite 408</t>
        </is>
      </c>
      <c r="K1053" s="1" t="inlineStr">
        <is>
          <t>Apt. 399</t>
        </is>
      </c>
      <c r="L1053" s="1" t="inlineStr">
        <is>
          <t>PIN:56202 TOWNSENDVILLE</t>
        </is>
      </c>
      <c r="M1053" s="2" t="inlineStr">
        <is>
          <t>MHA/IND/01112</t>
        </is>
      </c>
      <c r="N1053" s="30" t="n">
        <v>45872</v>
      </c>
    </row>
    <row r="1054">
      <c r="A1054" s="28" t="n">
        <v>1053</v>
      </c>
      <c r="B1054" s="1" t="inlineStr">
        <is>
          <t>SARA KALEON</t>
        </is>
      </c>
      <c r="C1054" s="30" t="n">
        <v>45903</v>
      </c>
      <c r="D1054" s="1" t="inlineStr">
        <is>
          <t>WEST JOSE</t>
        </is>
      </c>
      <c r="E1054" s="12" t="inlineStr">
        <is>
          <t>IND/MEL/01053</t>
        </is>
      </c>
      <c r="F1054" s="1" t="inlineStr">
        <is>
          <t>M</t>
        </is>
      </c>
      <c r="G1054" s="1" t="inlineStr">
        <is>
          <t>Evan Ramos</t>
        </is>
      </c>
      <c r="H1054" s="1" t="inlineStr">
        <is>
          <t>Angela Kennedy</t>
        </is>
      </c>
      <c r="I1054" s="30" t="n">
        <v>46065</v>
      </c>
      <c r="J1054" s="1" t="inlineStr">
        <is>
          <t>5568 Bell Orchard</t>
        </is>
      </c>
      <c r="K1054" s="1" t="inlineStr">
        <is>
          <t>Suite 592</t>
        </is>
      </c>
      <c r="L1054" s="1" t="inlineStr">
        <is>
          <t>PIN:67840 JASMINEVIEW</t>
        </is>
      </c>
      <c r="M1054" s="2" t="inlineStr">
        <is>
          <t>MHA/IND/01113</t>
        </is>
      </c>
      <c r="N1054" s="30" t="n">
        <v>45841</v>
      </c>
    </row>
    <row r="1055">
      <c r="A1055" s="28" t="n">
        <v>1054</v>
      </c>
      <c r="B1055" s="1" t="inlineStr">
        <is>
          <t>KABIR RAO</t>
        </is>
      </c>
      <c r="C1055" s="30" t="n">
        <v>45903</v>
      </c>
      <c r="D1055" s="1" t="inlineStr">
        <is>
          <t>WEST JOSE</t>
        </is>
      </c>
      <c r="E1055" s="12" t="inlineStr">
        <is>
          <t>IND/MEL/01054</t>
        </is>
      </c>
      <c r="F1055" s="1" t="inlineStr">
        <is>
          <t>M</t>
        </is>
      </c>
      <c r="G1055" s="1" t="inlineStr">
        <is>
          <t>Evan Ramos</t>
        </is>
      </c>
      <c r="H1055" s="1" t="inlineStr">
        <is>
          <t>Angela Kennedy</t>
        </is>
      </c>
      <c r="I1055" s="30" t="n">
        <v>46065</v>
      </c>
      <c r="J1055" s="1" t="inlineStr">
        <is>
          <t>5568 Bell Orchard</t>
        </is>
      </c>
      <c r="K1055" s="1" t="inlineStr">
        <is>
          <t>Suite 592</t>
        </is>
      </c>
      <c r="L1055" s="1" t="inlineStr">
        <is>
          <t>PIN:67840 JASMINEVIEW</t>
        </is>
      </c>
      <c r="M1055" s="2" t="inlineStr">
        <is>
          <t>MHA/IND/01113</t>
        </is>
      </c>
      <c r="N1055" s="30" t="n">
        <v>45845</v>
      </c>
    </row>
    <row r="1056">
      <c r="A1056" s="28" t="n">
        <v>1055</v>
      </c>
      <c r="B1056" s="1" t="inlineStr">
        <is>
          <t>NEIL SHARMA</t>
        </is>
      </c>
      <c r="C1056" s="30" t="n">
        <v>46028</v>
      </c>
      <c r="D1056" s="1" t="inlineStr">
        <is>
          <t>NEW ELIZABETH</t>
        </is>
      </c>
      <c r="E1056" s="12" t="inlineStr">
        <is>
          <t>IND/MEL/01055</t>
        </is>
      </c>
      <c r="F1056" s="1" t="inlineStr">
        <is>
          <t>M</t>
        </is>
      </c>
      <c r="G1056" s="1" t="inlineStr">
        <is>
          <t>Jacob Bates</t>
        </is>
      </c>
      <c r="H1056" s="1" t="inlineStr">
        <is>
          <t>Jillian Williams</t>
        </is>
      </c>
      <c r="I1056" s="30" t="n">
        <v>46065</v>
      </c>
      <c r="J1056" s="1" t="inlineStr">
        <is>
          <t>27246 Anthony Ways Suite 909</t>
        </is>
      </c>
      <c r="K1056" s="1" t="inlineStr">
        <is>
          <t>Suite 087</t>
        </is>
      </c>
      <c r="L1056" s="1" t="inlineStr">
        <is>
          <t>PIN:12448 RYANFORT</t>
        </is>
      </c>
      <c r="M1056" s="2" t="inlineStr">
        <is>
          <t>MHA/IND/01114</t>
        </is>
      </c>
      <c r="N1056" s="30" t="n">
        <v>45876</v>
      </c>
    </row>
    <row r="1057">
      <c r="A1057" s="28" t="n">
        <v>1056</v>
      </c>
      <c r="B1057" s="1" t="inlineStr">
        <is>
          <t>NINA RAO</t>
        </is>
      </c>
      <c r="C1057" s="30" t="n">
        <v>46028</v>
      </c>
      <c r="D1057" s="1" t="inlineStr">
        <is>
          <t>NEW ELIZABETH</t>
        </is>
      </c>
      <c r="E1057" s="12" t="inlineStr">
        <is>
          <t>IND/MEL/01056</t>
        </is>
      </c>
      <c r="F1057" s="1" t="inlineStr">
        <is>
          <t>M</t>
        </is>
      </c>
      <c r="G1057" s="1" t="inlineStr">
        <is>
          <t>Jacob Bates</t>
        </is>
      </c>
      <c r="H1057" s="1" t="inlineStr">
        <is>
          <t>Jillian Williams</t>
        </is>
      </c>
      <c r="I1057" s="30" t="n">
        <v>46065</v>
      </c>
      <c r="J1057" s="1" t="inlineStr">
        <is>
          <t>27246 Anthony Ways Suite 909</t>
        </is>
      </c>
      <c r="K1057" s="1" t="inlineStr">
        <is>
          <t>Suite 087</t>
        </is>
      </c>
      <c r="L1057" s="1" t="inlineStr">
        <is>
          <t>PIN:12448 RYANFORT</t>
        </is>
      </c>
      <c r="M1057" s="2" t="inlineStr">
        <is>
          <t>MHA/IND/01114</t>
        </is>
      </c>
      <c r="N1057" s="30" t="n">
        <v>45890</v>
      </c>
    </row>
    <row r="1058">
      <c r="A1058" s="28" t="n">
        <v>1057</v>
      </c>
      <c r="B1058" s="1" t="inlineStr">
        <is>
          <t>ANYA VALZARI</t>
        </is>
      </c>
      <c r="C1058" s="30" t="n">
        <v>45730</v>
      </c>
      <c r="D1058" s="1" t="inlineStr">
        <is>
          <t>WEST ANTHONY</t>
        </is>
      </c>
      <c r="E1058" s="12" t="inlineStr">
        <is>
          <t>IND/MEL/01057</t>
        </is>
      </c>
      <c r="F1058" s="1" t="inlineStr">
        <is>
          <t>M</t>
        </is>
      </c>
      <c r="G1058" s="1" t="inlineStr">
        <is>
          <t>Corey Gill</t>
        </is>
      </c>
      <c r="H1058" s="1" t="inlineStr">
        <is>
          <t>Ashley Kent</t>
        </is>
      </c>
      <c r="I1058" s="30" t="n">
        <v>46065</v>
      </c>
      <c r="J1058" s="1" t="inlineStr">
        <is>
          <t>836 Harris Harbors</t>
        </is>
      </c>
      <c r="K1058" s="1" t="inlineStr">
        <is>
          <t>Suite 454</t>
        </is>
      </c>
      <c r="L1058" s="1" t="inlineStr">
        <is>
          <t>PIN:20523 BRANDONFURT</t>
        </is>
      </c>
      <c r="M1058" s="2" t="inlineStr">
        <is>
          <t>MHA/IND/01115</t>
        </is>
      </c>
      <c r="N1058" s="30" t="n">
        <v>45898</v>
      </c>
    </row>
    <row r="1059">
      <c r="A1059" s="28" t="n">
        <v>1058</v>
      </c>
      <c r="B1059" s="1" t="inlineStr">
        <is>
          <t>NINA RISHKAN</t>
        </is>
      </c>
      <c r="C1059" s="30" t="n">
        <v>45730</v>
      </c>
      <c r="D1059" s="1" t="inlineStr">
        <is>
          <t>WEST ANTHONY</t>
        </is>
      </c>
      <c r="E1059" s="12" t="inlineStr">
        <is>
          <t>IND/MEL/01058</t>
        </is>
      </c>
      <c r="F1059" s="1" t="inlineStr">
        <is>
          <t>M</t>
        </is>
      </c>
      <c r="G1059" s="1" t="inlineStr">
        <is>
          <t>Corey Gill</t>
        </is>
      </c>
      <c r="H1059" s="1" t="inlineStr">
        <is>
          <t>Ashley Kent</t>
        </is>
      </c>
      <c r="I1059" s="30" t="n">
        <v>46065</v>
      </c>
      <c r="J1059" s="1" t="inlineStr">
        <is>
          <t>836 Harris Harbors</t>
        </is>
      </c>
      <c r="K1059" s="1" t="inlineStr">
        <is>
          <t>Suite 454</t>
        </is>
      </c>
      <c r="L1059" s="1" t="inlineStr">
        <is>
          <t>PIN:20523 BRANDONFURT</t>
        </is>
      </c>
      <c r="M1059" s="2" t="inlineStr">
        <is>
          <t>MHA/IND/01115</t>
        </is>
      </c>
      <c r="N1059" s="30" t="n">
        <v>45866</v>
      </c>
    </row>
    <row r="1060">
      <c r="A1060" s="28" t="n">
        <v>1059</v>
      </c>
      <c r="B1060" s="1" t="inlineStr">
        <is>
          <t>MIRA KALEON</t>
        </is>
      </c>
      <c r="C1060" s="30" t="n">
        <v>45892</v>
      </c>
      <c r="D1060" s="1" t="inlineStr">
        <is>
          <t>NEW GLORIABURY</t>
        </is>
      </c>
      <c r="E1060" s="12" t="inlineStr">
        <is>
          <t>IND/MEL/01059</t>
        </is>
      </c>
      <c r="F1060" s="1" t="inlineStr">
        <is>
          <t>F</t>
        </is>
      </c>
      <c r="G1060" s="1" t="inlineStr">
        <is>
          <t>Kristopher Burton</t>
        </is>
      </c>
      <c r="H1060" s="1" t="inlineStr">
        <is>
          <t>Tasha Lawrence</t>
        </is>
      </c>
      <c r="I1060" s="30" t="n">
        <v>46065</v>
      </c>
      <c r="J1060" s="1" t="inlineStr">
        <is>
          <t>624 Adams Pike Apt. 094</t>
        </is>
      </c>
      <c r="K1060" s="1" t="inlineStr">
        <is>
          <t>Suite 608</t>
        </is>
      </c>
      <c r="L1060" s="1" t="inlineStr">
        <is>
          <t>PIN:43743 NORTH MELISSA</t>
        </is>
      </c>
      <c r="M1060" s="2" t="inlineStr">
        <is>
          <t>MHA/IND/01116</t>
        </is>
      </c>
      <c r="N1060" s="30" t="n">
        <v>45897</v>
      </c>
    </row>
    <row r="1061">
      <c r="A1061" s="28" t="n">
        <v>1060</v>
      </c>
      <c r="B1061" s="1" t="inlineStr">
        <is>
          <t>ROHIT MYRTHOS</t>
        </is>
      </c>
      <c r="C1061" s="30" t="n">
        <v>45892</v>
      </c>
      <c r="D1061" s="1" t="inlineStr">
        <is>
          <t>NEW GLORIABURY</t>
        </is>
      </c>
      <c r="E1061" s="12" t="inlineStr">
        <is>
          <t>IND/MEL/01060</t>
        </is>
      </c>
      <c r="F1061" s="1" t="inlineStr">
        <is>
          <t>F</t>
        </is>
      </c>
      <c r="G1061" s="1" t="inlineStr">
        <is>
          <t>Kristopher Burton</t>
        </is>
      </c>
      <c r="H1061" s="1" t="inlineStr">
        <is>
          <t>Tasha Lawrence</t>
        </is>
      </c>
      <c r="I1061" s="30" t="n">
        <v>46065</v>
      </c>
      <c r="J1061" s="1" t="inlineStr">
        <is>
          <t>624 Adams Pike Apt. 094</t>
        </is>
      </c>
      <c r="K1061" s="1" t="inlineStr">
        <is>
          <t>Suite 608</t>
        </is>
      </c>
      <c r="L1061" s="1" t="inlineStr">
        <is>
          <t>PIN:43743 NORTH MELISSA</t>
        </is>
      </c>
      <c r="M1061" s="2" t="inlineStr">
        <is>
          <t>MHA/IND/01116</t>
        </is>
      </c>
      <c r="N1061" s="30" t="n">
        <v>45885</v>
      </c>
    </row>
    <row r="1062">
      <c r="A1062" s="28" t="n">
        <v>1061</v>
      </c>
      <c r="B1062" s="1" t="inlineStr">
        <is>
          <t>ISHAN SHARMA</t>
        </is>
      </c>
      <c r="C1062" s="30" t="n">
        <v>45866</v>
      </c>
      <c r="D1062" s="1" t="inlineStr">
        <is>
          <t>PORT DOUGLAS</t>
        </is>
      </c>
      <c r="E1062" s="12" t="inlineStr">
        <is>
          <t>IND/MEL/01061</t>
        </is>
      </c>
      <c r="F1062" s="1" t="inlineStr">
        <is>
          <t>F</t>
        </is>
      </c>
      <c r="G1062" s="1" t="inlineStr">
        <is>
          <t>William Jackson</t>
        </is>
      </c>
      <c r="H1062" s="1" t="inlineStr">
        <is>
          <t>Linda Beasley</t>
        </is>
      </c>
      <c r="I1062" s="30" t="n">
        <v>46065</v>
      </c>
      <c r="J1062" s="1" t="inlineStr">
        <is>
          <t>48743 Nichols Unions Apt. 060</t>
        </is>
      </c>
      <c r="K1062" s="1" t="inlineStr">
        <is>
          <t>Suite 073</t>
        </is>
      </c>
      <c r="L1062" s="1" t="inlineStr">
        <is>
          <t>PIN:91349 NORTH LAURA</t>
        </is>
      </c>
      <c r="M1062" s="2" t="inlineStr">
        <is>
          <t>MHA/IND/01117</t>
        </is>
      </c>
      <c r="N1062" s="30" t="n">
        <v>45868</v>
      </c>
    </row>
    <row r="1063">
      <c r="A1063" s="28" t="n">
        <v>1062</v>
      </c>
      <c r="B1063" s="1" t="inlineStr">
        <is>
          <t>DEV VALZARI</t>
        </is>
      </c>
      <c r="C1063" s="30" t="n">
        <v>45866</v>
      </c>
      <c r="D1063" s="1" t="inlineStr">
        <is>
          <t>PORT DOUGLAS</t>
        </is>
      </c>
      <c r="E1063" s="12" t="inlineStr">
        <is>
          <t>IND/MEL/01062</t>
        </is>
      </c>
      <c r="F1063" s="1" t="inlineStr">
        <is>
          <t>F</t>
        </is>
      </c>
      <c r="G1063" s="1" t="inlineStr">
        <is>
          <t>William Jackson</t>
        </is>
      </c>
      <c r="H1063" s="1" t="inlineStr">
        <is>
          <t>Linda Beasley</t>
        </is>
      </c>
      <c r="I1063" s="30" t="n">
        <v>46065</v>
      </c>
      <c r="J1063" s="1" t="inlineStr">
        <is>
          <t>48743 Nichols Unions Apt. 060</t>
        </is>
      </c>
      <c r="K1063" s="1" t="inlineStr">
        <is>
          <t>Suite 073</t>
        </is>
      </c>
      <c r="L1063" s="1" t="inlineStr">
        <is>
          <t>PIN:91349 NORTH LAURA</t>
        </is>
      </c>
      <c r="M1063" s="2" t="inlineStr">
        <is>
          <t>MHA/IND/01117</t>
        </is>
      </c>
      <c r="N1063" s="30" t="n">
        <v>45858</v>
      </c>
    </row>
    <row r="1064">
      <c r="A1064" s="28" t="n">
        <v>1063</v>
      </c>
      <c r="B1064" s="1" t="inlineStr">
        <is>
          <t>ANYA RAO</t>
        </is>
      </c>
      <c r="C1064" s="30" t="n">
        <v>46005</v>
      </c>
      <c r="D1064" s="1" t="inlineStr">
        <is>
          <t>EAST COURTNEY</t>
        </is>
      </c>
      <c r="E1064" s="12" t="inlineStr">
        <is>
          <t>IND/MEL/01063</t>
        </is>
      </c>
      <c r="F1064" s="1" t="inlineStr">
        <is>
          <t>F</t>
        </is>
      </c>
      <c r="G1064" s="1" t="inlineStr">
        <is>
          <t>David Bowen</t>
        </is>
      </c>
      <c r="H1064" s="1" t="inlineStr">
        <is>
          <t>Deanna Smith</t>
        </is>
      </c>
      <c r="I1064" s="30" t="n">
        <v>46065</v>
      </c>
      <c r="J1064" s="1" t="inlineStr">
        <is>
          <t>817 Sarah Islands Apt. 423</t>
        </is>
      </c>
      <c r="K1064" s="1" t="inlineStr">
        <is>
          <t>Suite 566</t>
        </is>
      </c>
      <c r="L1064" s="1" t="inlineStr">
        <is>
          <t>PIN:25841 LAKE KRISTEN</t>
        </is>
      </c>
      <c r="M1064" s="2" t="inlineStr">
        <is>
          <t>MHA/IND/01118</t>
        </is>
      </c>
      <c r="N1064" s="30" t="n">
        <v>45852</v>
      </c>
    </row>
    <row r="1065">
      <c r="A1065" s="28" t="n">
        <v>1064</v>
      </c>
      <c r="B1065" s="1" t="inlineStr">
        <is>
          <t>ROHIT VALZARI</t>
        </is>
      </c>
      <c r="C1065" s="30" t="n">
        <v>46005</v>
      </c>
      <c r="D1065" s="1" t="inlineStr">
        <is>
          <t>EAST COURTNEY</t>
        </is>
      </c>
      <c r="E1065" s="12" t="inlineStr">
        <is>
          <t>IND/MEL/01064</t>
        </is>
      </c>
      <c r="F1065" s="1" t="inlineStr">
        <is>
          <t>F</t>
        </is>
      </c>
      <c r="G1065" s="1" t="inlineStr">
        <is>
          <t>David Bowen</t>
        </is>
      </c>
      <c r="H1065" s="1" t="inlineStr">
        <is>
          <t>Deanna Smith</t>
        </is>
      </c>
      <c r="I1065" s="30" t="n">
        <v>46065</v>
      </c>
      <c r="J1065" s="1" t="inlineStr">
        <is>
          <t>817 Sarah Islands Apt. 423</t>
        </is>
      </c>
      <c r="K1065" s="1" t="inlineStr">
        <is>
          <t>Suite 566</t>
        </is>
      </c>
      <c r="L1065" s="1" t="inlineStr">
        <is>
          <t>PIN:25841 LAKE KRISTEN</t>
        </is>
      </c>
      <c r="M1065" s="2" t="inlineStr">
        <is>
          <t>MHA/IND/01118</t>
        </is>
      </c>
      <c r="N1065" s="30" t="n">
        <v>45855</v>
      </c>
    </row>
    <row r="1066">
      <c r="A1066" s="28" t="n">
        <v>1065</v>
      </c>
      <c r="B1066" s="1" t="inlineStr">
        <is>
          <t>ARJUN KALEON</t>
        </is>
      </c>
      <c r="C1066" s="30" t="n">
        <v>46023</v>
      </c>
      <c r="D1066" s="1" t="inlineStr">
        <is>
          <t>TAMARASHIRE</t>
        </is>
      </c>
      <c r="E1066" s="12" t="inlineStr">
        <is>
          <t>IND/MEL/01065</t>
        </is>
      </c>
      <c r="F1066" s="1" t="inlineStr">
        <is>
          <t>M</t>
        </is>
      </c>
      <c r="G1066" s="1" t="inlineStr">
        <is>
          <t>Austin Edwards</t>
        </is>
      </c>
      <c r="H1066" s="1" t="inlineStr">
        <is>
          <t>Kristen Griffin</t>
        </is>
      </c>
      <c r="I1066" s="30" t="n">
        <v>46065</v>
      </c>
      <c r="J1066" s="1" t="inlineStr">
        <is>
          <t>53414 Kim Avenue Suite 622</t>
        </is>
      </c>
      <c r="K1066" s="1" t="inlineStr">
        <is>
          <t>Apt. 746</t>
        </is>
      </c>
      <c r="L1066" s="1" t="inlineStr">
        <is>
          <t>PIN:36369 THOMASBURY</t>
        </is>
      </c>
      <c r="M1066" s="2" t="inlineStr">
        <is>
          <t>MHA/IND/01119</t>
        </is>
      </c>
      <c r="N1066" s="30" t="n">
        <v>45880</v>
      </c>
    </row>
    <row r="1067">
      <c r="A1067" s="28" t="n">
        <v>1066</v>
      </c>
      <c r="B1067" s="1" t="inlineStr">
        <is>
          <t>AREN MYRTHOS</t>
        </is>
      </c>
      <c r="C1067" s="30" t="n">
        <v>46023</v>
      </c>
      <c r="D1067" s="1" t="inlineStr">
        <is>
          <t>TAMARASHIRE</t>
        </is>
      </c>
      <c r="E1067" s="12" t="inlineStr">
        <is>
          <t>IND/MEL/01066</t>
        </is>
      </c>
      <c r="F1067" s="1" t="inlineStr">
        <is>
          <t>M</t>
        </is>
      </c>
      <c r="G1067" s="1" t="inlineStr">
        <is>
          <t>Austin Edwards</t>
        </is>
      </c>
      <c r="H1067" s="1" t="inlineStr">
        <is>
          <t>Kristen Griffin</t>
        </is>
      </c>
      <c r="I1067" s="30" t="n">
        <v>46065</v>
      </c>
      <c r="J1067" s="1" t="inlineStr">
        <is>
          <t>53414 Kim Avenue Suite 622</t>
        </is>
      </c>
      <c r="K1067" s="1" t="inlineStr">
        <is>
          <t>Apt. 746</t>
        </is>
      </c>
      <c r="L1067" s="1" t="inlineStr">
        <is>
          <t>PIN:36369 THOMASBURY</t>
        </is>
      </c>
      <c r="M1067" s="2" t="inlineStr">
        <is>
          <t>MHA/IND/01119</t>
        </is>
      </c>
      <c r="N1067" s="30" t="n">
        <v>45859</v>
      </c>
    </row>
    <row r="1068">
      <c r="A1068" s="28" t="n">
        <v>1067</v>
      </c>
      <c r="B1068" s="1" t="inlineStr">
        <is>
          <t>MIRA SINDALE</t>
        </is>
      </c>
      <c r="C1068" s="30" t="n">
        <v>45859</v>
      </c>
      <c r="D1068" s="1" t="inlineStr">
        <is>
          <t>LOGANMOUTH</t>
        </is>
      </c>
      <c r="E1068" s="12" t="inlineStr">
        <is>
          <t>IND/MEL/01067</t>
        </is>
      </c>
      <c r="F1068" s="1" t="inlineStr">
        <is>
          <t>M</t>
        </is>
      </c>
      <c r="G1068" s="1" t="inlineStr">
        <is>
          <t>Matthew Baker</t>
        </is>
      </c>
      <c r="H1068" s="1" t="inlineStr">
        <is>
          <t>Angela Hamilton</t>
        </is>
      </c>
      <c r="I1068" s="30" t="n">
        <v>46065</v>
      </c>
      <c r="J1068" s="1" t="inlineStr">
        <is>
          <t>253 Donna Creek</t>
        </is>
      </c>
      <c r="K1068" s="1" t="inlineStr">
        <is>
          <t>Suite 852</t>
        </is>
      </c>
      <c r="L1068" s="1" t="inlineStr">
        <is>
          <t>PIN:96824 SOUTH LAURENBERG</t>
        </is>
      </c>
      <c r="M1068" s="2" t="inlineStr">
        <is>
          <t>MHA/IND/01120</t>
        </is>
      </c>
      <c r="N1068" s="30" t="n">
        <v>45842</v>
      </c>
    </row>
    <row r="1069">
      <c r="A1069" s="28" t="n">
        <v>1068</v>
      </c>
      <c r="B1069" s="1" t="inlineStr">
        <is>
          <t>ALYA VALZARI</t>
        </is>
      </c>
      <c r="C1069" s="30" t="n">
        <v>45859</v>
      </c>
      <c r="D1069" s="1" t="inlineStr">
        <is>
          <t>LOGANMOUTH</t>
        </is>
      </c>
      <c r="E1069" s="12" t="inlineStr">
        <is>
          <t>IND/MEL/01068</t>
        </is>
      </c>
      <c r="F1069" s="1" t="inlineStr">
        <is>
          <t>M</t>
        </is>
      </c>
      <c r="G1069" s="1" t="inlineStr">
        <is>
          <t>Matthew Baker</t>
        </is>
      </c>
      <c r="H1069" s="1" t="inlineStr">
        <is>
          <t>Angela Hamilton</t>
        </is>
      </c>
      <c r="I1069" s="30" t="n">
        <v>46065</v>
      </c>
      <c r="J1069" s="1" t="inlineStr">
        <is>
          <t>253 Donna Creek</t>
        </is>
      </c>
      <c r="K1069" s="1" t="inlineStr">
        <is>
          <t>Suite 852</t>
        </is>
      </c>
      <c r="L1069" s="1" t="inlineStr">
        <is>
          <t>PIN:96824 SOUTH LAURENBERG</t>
        </is>
      </c>
      <c r="M1069" s="2" t="inlineStr">
        <is>
          <t>MHA/IND/01120</t>
        </is>
      </c>
      <c r="N1069" s="30" t="n">
        <v>45886</v>
      </c>
    </row>
    <row r="1070">
      <c r="A1070" s="28" t="n">
        <v>1069</v>
      </c>
      <c r="B1070" s="1" t="inlineStr">
        <is>
          <t>ARJUN RISHKAN</t>
        </is>
      </c>
      <c r="C1070" s="30" t="n">
        <v>45799</v>
      </c>
      <c r="D1070" s="1" t="inlineStr">
        <is>
          <t>JASONMOUTH</t>
        </is>
      </c>
      <c r="E1070" s="12" t="inlineStr">
        <is>
          <t>IND/MEL/01069</t>
        </is>
      </c>
      <c r="F1070" s="1" t="inlineStr">
        <is>
          <t>M</t>
        </is>
      </c>
      <c r="G1070" s="1" t="inlineStr">
        <is>
          <t>Nicholas Lopez</t>
        </is>
      </c>
      <c r="H1070" s="1" t="inlineStr">
        <is>
          <t>Bethany Romero</t>
        </is>
      </c>
      <c r="I1070" s="30" t="n">
        <v>46065</v>
      </c>
      <c r="J1070" s="1" t="inlineStr">
        <is>
          <t>8328 Bass Freeway Apt. 037</t>
        </is>
      </c>
      <c r="K1070" s="1" t="inlineStr">
        <is>
          <t>Apt. 375</t>
        </is>
      </c>
      <c r="L1070" s="1" t="inlineStr">
        <is>
          <t>PIN:42375 MARIATON</t>
        </is>
      </c>
      <c r="M1070" s="2" t="inlineStr">
        <is>
          <t>MHA/IND/01121</t>
        </is>
      </c>
      <c r="N1070" s="30" t="n">
        <v>45892</v>
      </c>
    </row>
    <row r="1071">
      <c r="A1071" s="28" t="n">
        <v>1070</v>
      </c>
      <c r="B1071" s="1" t="inlineStr">
        <is>
          <t>ANYA RAO</t>
        </is>
      </c>
      <c r="C1071" s="30" t="n">
        <v>45799</v>
      </c>
      <c r="D1071" s="1" t="inlineStr">
        <is>
          <t>JASONMOUTH</t>
        </is>
      </c>
      <c r="E1071" s="12" t="inlineStr">
        <is>
          <t>IND/MEL/01070</t>
        </is>
      </c>
      <c r="F1071" s="1" t="inlineStr">
        <is>
          <t>M</t>
        </is>
      </c>
      <c r="G1071" s="1" t="inlineStr">
        <is>
          <t>Nicholas Lopez</t>
        </is>
      </c>
      <c r="H1071" s="1" t="inlineStr">
        <is>
          <t>Bethany Romero</t>
        </is>
      </c>
      <c r="I1071" s="30" t="n">
        <v>46065</v>
      </c>
      <c r="J1071" s="1" t="inlineStr">
        <is>
          <t>8328 Bass Freeway Apt. 037</t>
        </is>
      </c>
      <c r="K1071" s="1" t="inlineStr">
        <is>
          <t>Apt. 375</t>
        </is>
      </c>
      <c r="L1071" s="1" t="inlineStr">
        <is>
          <t>PIN:42375 MARIATON</t>
        </is>
      </c>
      <c r="M1071" s="2" t="inlineStr">
        <is>
          <t>MHA/IND/01121</t>
        </is>
      </c>
      <c r="N1071" s="30" t="n">
        <v>45893</v>
      </c>
    </row>
    <row r="1072">
      <c r="A1072" s="28" t="n">
        <v>1071</v>
      </c>
      <c r="B1072" s="1" t="inlineStr">
        <is>
          <t>TARA RISHKAN</t>
        </is>
      </c>
      <c r="C1072" s="30" t="n">
        <v>45830</v>
      </c>
      <c r="D1072" s="1" t="inlineStr">
        <is>
          <t>NORTH DAVID</t>
        </is>
      </c>
      <c r="E1072" s="12" t="inlineStr">
        <is>
          <t>IND/MEL/01071</t>
        </is>
      </c>
      <c r="F1072" s="1" t="inlineStr">
        <is>
          <t>F</t>
        </is>
      </c>
      <c r="G1072" s="1" t="inlineStr">
        <is>
          <t>Matthew Taylor</t>
        </is>
      </c>
      <c r="H1072" s="1" t="inlineStr">
        <is>
          <t>Megan Silva</t>
        </is>
      </c>
      <c r="I1072" s="30" t="n">
        <v>46065</v>
      </c>
      <c r="J1072" s="1" t="inlineStr">
        <is>
          <t>99130 Kathryn Brook Suite 994</t>
        </is>
      </c>
      <c r="K1072" s="1" t="inlineStr">
        <is>
          <t>Apt. 872</t>
        </is>
      </c>
      <c r="L1072" s="1" t="inlineStr">
        <is>
          <t>PIN:67258 LOPEZMOUTH</t>
        </is>
      </c>
      <c r="M1072" s="2" t="inlineStr">
        <is>
          <t>MHA/IND/01122</t>
        </is>
      </c>
      <c r="N1072" s="30" t="n">
        <v>45877</v>
      </c>
    </row>
    <row r="1073">
      <c r="A1073" s="28" t="n">
        <v>1072</v>
      </c>
      <c r="B1073" s="1" t="inlineStr">
        <is>
          <t>ISHAN RAO</t>
        </is>
      </c>
      <c r="C1073" s="30" t="n">
        <v>45830</v>
      </c>
      <c r="D1073" s="1" t="inlineStr">
        <is>
          <t>NORTH DAVID</t>
        </is>
      </c>
      <c r="E1073" s="12" t="inlineStr">
        <is>
          <t>IND/MEL/01072</t>
        </is>
      </c>
      <c r="F1073" s="1" t="inlineStr">
        <is>
          <t>F</t>
        </is>
      </c>
      <c r="G1073" s="1" t="inlineStr">
        <is>
          <t>Matthew Taylor</t>
        </is>
      </c>
      <c r="H1073" s="1" t="inlineStr">
        <is>
          <t>Megan Silva</t>
        </is>
      </c>
      <c r="I1073" s="30" t="n">
        <v>46065</v>
      </c>
      <c r="J1073" s="1" t="inlineStr">
        <is>
          <t>99130 Kathryn Brook Suite 994</t>
        </is>
      </c>
      <c r="K1073" s="1" t="inlineStr">
        <is>
          <t>Apt. 872</t>
        </is>
      </c>
      <c r="L1073" s="1" t="inlineStr">
        <is>
          <t>PIN:67258 LOPEZMOUTH</t>
        </is>
      </c>
      <c r="M1073" s="2" t="inlineStr">
        <is>
          <t>MHA/IND/01122</t>
        </is>
      </c>
      <c r="N1073" s="30" t="n">
        <v>45848</v>
      </c>
    </row>
    <row r="1074">
      <c r="A1074" s="28" t="n">
        <v>1073</v>
      </c>
      <c r="B1074" s="1" t="inlineStr">
        <is>
          <t>NEIL RISHKAN</t>
        </is>
      </c>
      <c r="C1074" s="30" t="n">
        <v>45996</v>
      </c>
      <c r="D1074" s="1" t="inlineStr">
        <is>
          <t>LAKE DIANA</t>
        </is>
      </c>
      <c r="E1074" s="12" t="inlineStr">
        <is>
          <t>IND/MEL/01073</t>
        </is>
      </c>
      <c r="F1074" s="1" t="inlineStr">
        <is>
          <t>F</t>
        </is>
      </c>
      <c r="G1074" s="1" t="inlineStr">
        <is>
          <t>Steven Gomez</t>
        </is>
      </c>
      <c r="H1074" s="1" t="inlineStr">
        <is>
          <t>Brandy Cabrera</t>
        </is>
      </c>
      <c r="I1074" s="30" t="n">
        <v>46065</v>
      </c>
      <c r="J1074" s="1" t="inlineStr">
        <is>
          <t>4204 Henderson Branch Suite 280</t>
        </is>
      </c>
      <c r="K1074" s="1" t="inlineStr">
        <is>
          <t>Suite 269</t>
        </is>
      </c>
      <c r="L1074" s="1" t="inlineStr">
        <is>
          <t>PIN:05616 WEST JULIELAND</t>
        </is>
      </c>
      <c r="M1074" s="2" t="inlineStr">
        <is>
          <t>MHA/IND/01123</t>
        </is>
      </c>
      <c r="N1074" s="30" t="n">
        <v>45881</v>
      </c>
    </row>
    <row r="1075">
      <c r="A1075" s="28" t="n">
        <v>1074</v>
      </c>
      <c r="B1075" s="1" t="inlineStr">
        <is>
          <t>KIRAN MYRTHOS</t>
        </is>
      </c>
      <c r="C1075" s="30" t="n">
        <v>45996</v>
      </c>
      <c r="D1075" s="1" t="inlineStr">
        <is>
          <t>LAKE DIANA</t>
        </is>
      </c>
      <c r="E1075" s="12" t="inlineStr">
        <is>
          <t>IND/MEL/01074</t>
        </is>
      </c>
      <c r="F1075" s="1" t="inlineStr">
        <is>
          <t>F</t>
        </is>
      </c>
      <c r="G1075" s="1" t="inlineStr">
        <is>
          <t>Steven Gomez</t>
        </is>
      </c>
      <c r="H1075" s="1" t="inlineStr">
        <is>
          <t>Brandy Cabrera</t>
        </is>
      </c>
      <c r="I1075" s="30" t="n">
        <v>46065</v>
      </c>
      <c r="J1075" s="1" t="inlineStr">
        <is>
          <t>4204 Henderson Branch Suite 280</t>
        </is>
      </c>
      <c r="K1075" s="1" t="inlineStr">
        <is>
          <t>Suite 269</t>
        </is>
      </c>
      <c r="L1075" s="1" t="inlineStr">
        <is>
          <t>PIN:05616 WEST JULIELAND</t>
        </is>
      </c>
      <c r="M1075" s="2" t="inlineStr">
        <is>
          <t>MHA/IND/01123</t>
        </is>
      </c>
      <c r="N1075" s="30" t="n">
        <v>45878</v>
      </c>
    </row>
    <row r="1076">
      <c r="A1076" s="28" t="n">
        <v>1075</v>
      </c>
      <c r="B1076" s="1" t="inlineStr">
        <is>
          <t>DEV RISHKAN</t>
        </is>
      </c>
      <c r="C1076" s="30" t="n">
        <v>45781</v>
      </c>
      <c r="D1076" s="1" t="inlineStr">
        <is>
          <t>EAST CONNIE</t>
        </is>
      </c>
      <c r="E1076" s="12" t="inlineStr">
        <is>
          <t>IND/MEL/01075</t>
        </is>
      </c>
      <c r="F1076" s="1" t="inlineStr">
        <is>
          <t>M</t>
        </is>
      </c>
      <c r="G1076" s="1" t="inlineStr">
        <is>
          <t>Jose Peterson</t>
        </is>
      </c>
      <c r="H1076" s="1" t="inlineStr">
        <is>
          <t>Deborah Brandt</t>
        </is>
      </c>
      <c r="I1076" s="30" t="n">
        <v>46065</v>
      </c>
      <c r="J1076" s="1" t="inlineStr">
        <is>
          <t>332 Erickson Ports Apt. 733</t>
        </is>
      </c>
      <c r="K1076" s="1" t="inlineStr">
        <is>
          <t>Suite 554</t>
        </is>
      </c>
      <c r="L1076" s="1" t="inlineStr">
        <is>
          <t>PIN:91952 PETERSENTOWN</t>
        </is>
      </c>
      <c r="M1076" s="2" t="inlineStr">
        <is>
          <t>MHA/IND/01124</t>
        </is>
      </c>
      <c r="N1076" s="30" t="n">
        <v>45877</v>
      </c>
    </row>
    <row r="1077">
      <c r="A1077" s="28" t="n">
        <v>1076</v>
      </c>
      <c r="B1077" s="1" t="inlineStr">
        <is>
          <t>SARA VALZARI</t>
        </is>
      </c>
      <c r="C1077" s="30" t="n">
        <v>45781</v>
      </c>
      <c r="D1077" s="1" t="inlineStr">
        <is>
          <t>EAST CONNIE</t>
        </is>
      </c>
      <c r="E1077" s="12" t="inlineStr">
        <is>
          <t>IND/MEL/01076</t>
        </is>
      </c>
      <c r="F1077" s="1" t="inlineStr">
        <is>
          <t>M</t>
        </is>
      </c>
      <c r="G1077" s="1" t="inlineStr">
        <is>
          <t>Jose Peterson</t>
        </is>
      </c>
      <c r="H1077" s="1" t="inlineStr">
        <is>
          <t>Deborah Brandt</t>
        </is>
      </c>
      <c r="I1077" s="30" t="n">
        <v>46065</v>
      </c>
      <c r="J1077" s="1" t="inlineStr">
        <is>
          <t>332 Erickson Ports Apt. 733</t>
        </is>
      </c>
      <c r="K1077" s="1" t="inlineStr">
        <is>
          <t>Suite 554</t>
        </is>
      </c>
      <c r="L1077" s="1" t="inlineStr">
        <is>
          <t>PIN:91952 PETERSENTOWN</t>
        </is>
      </c>
      <c r="M1077" s="2" t="inlineStr">
        <is>
          <t>MHA/IND/01124</t>
        </is>
      </c>
      <c r="N1077" s="30" t="n">
        <v>45864</v>
      </c>
    </row>
    <row r="1078">
      <c r="A1078" s="28" t="n">
        <v>1077</v>
      </c>
      <c r="B1078" s="1" t="inlineStr">
        <is>
          <t>ROHIT MYRTHOS</t>
        </is>
      </c>
      <c r="C1078" s="30" t="n">
        <v>45724</v>
      </c>
      <c r="D1078" s="1" t="inlineStr">
        <is>
          <t>NORTH MEGANPORT</t>
        </is>
      </c>
      <c r="E1078" s="12" t="inlineStr">
        <is>
          <t>IND/MEL/01077</t>
        </is>
      </c>
      <c r="F1078" s="1" t="inlineStr">
        <is>
          <t>F</t>
        </is>
      </c>
      <c r="G1078" s="1" t="inlineStr">
        <is>
          <t>Ricky Brown</t>
        </is>
      </c>
      <c r="H1078" s="1" t="inlineStr">
        <is>
          <t>Christine Anderson</t>
        </is>
      </c>
      <c r="I1078" s="30" t="n">
        <v>46065</v>
      </c>
      <c r="J1078" s="1" t="inlineStr">
        <is>
          <t>5163 Roberts Stream</t>
        </is>
      </c>
      <c r="K1078" s="1" t="inlineStr">
        <is>
          <t>Apt. 078</t>
        </is>
      </c>
      <c r="L1078" s="1" t="inlineStr">
        <is>
          <t>PIN:34147 NEW MEGANCHESTER</t>
        </is>
      </c>
      <c r="M1078" s="2" t="inlineStr">
        <is>
          <t>MHA/IND/01125</t>
        </is>
      </c>
      <c r="N1078" s="30" t="n">
        <v>45857</v>
      </c>
    </row>
    <row r="1079">
      <c r="A1079" s="28" t="n">
        <v>1078</v>
      </c>
      <c r="B1079" s="1" t="inlineStr">
        <is>
          <t>KABIR RAO</t>
        </is>
      </c>
      <c r="C1079" s="30" t="n">
        <v>45724</v>
      </c>
      <c r="D1079" s="1" t="inlineStr">
        <is>
          <t>NORTH MEGANPORT</t>
        </is>
      </c>
      <c r="E1079" s="12" t="inlineStr">
        <is>
          <t>IND/MEL/01078</t>
        </is>
      </c>
      <c r="F1079" s="1" t="inlineStr">
        <is>
          <t>F</t>
        </is>
      </c>
      <c r="G1079" s="1" t="inlineStr">
        <is>
          <t>Ricky Brown</t>
        </is>
      </c>
      <c r="H1079" s="1" t="inlineStr">
        <is>
          <t>Christine Anderson</t>
        </is>
      </c>
      <c r="I1079" s="30" t="n">
        <v>46065</v>
      </c>
      <c r="J1079" s="1" t="inlineStr">
        <is>
          <t>5163 Roberts Stream</t>
        </is>
      </c>
      <c r="K1079" s="1" t="inlineStr">
        <is>
          <t>Apt. 078</t>
        </is>
      </c>
      <c r="L1079" s="1" t="inlineStr">
        <is>
          <t>PIN:34147 NEW MEGANCHESTER</t>
        </is>
      </c>
      <c r="M1079" s="2" t="inlineStr">
        <is>
          <t>MHA/IND/01125</t>
        </is>
      </c>
      <c r="N1079" s="30" t="n">
        <v>45844</v>
      </c>
    </row>
    <row r="1080">
      <c r="A1080" s="28" t="n">
        <v>1079</v>
      </c>
      <c r="B1080" s="1" t="inlineStr">
        <is>
          <t>DIYA RAO</t>
        </is>
      </c>
      <c r="C1080" s="30" t="n">
        <v>46019</v>
      </c>
      <c r="D1080" s="1" t="inlineStr">
        <is>
          <t>NEW MARY</t>
        </is>
      </c>
      <c r="E1080" s="12" t="inlineStr">
        <is>
          <t>IND/MEL/01079</t>
        </is>
      </c>
      <c r="F1080" s="1" t="inlineStr">
        <is>
          <t>F</t>
        </is>
      </c>
      <c r="G1080" s="1" t="inlineStr">
        <is>
          <t>John Williams</t>
        </is>
      </c>
      <c r="H1080" s="1" t="inlineStr">
        <is>
          <t>Robin Holmes</t>
        </is>
      </c>
      <c r="I1080" s="30" t="n">
        <v>46065</v>
      </c>
      <c r="J1080" s="1" t="inlineStr">
        <is>
          <t>608 Bell Freeway</t>
        </is>
      </c>
      <c r="K1080" s="1" t="inlineStr">
        <is>
          <t>Suite 328</t>
        </is>
      </c>
      <c r="L1080" s="1" t="inlineStr">
        <is>
          <t>PIN:87436 PORT KRISTINA</t>
        </is>
      </c>
      <c r="M1080" s="2" t="inlineStr">
        <is>
          <t>MHA/IND/01126</t>
        </is>
      </c>
      <c r="N1080" s="30" t="n">
        <v>45864</v>
      </c>
    </row>
    <row r="1081">
      <c r="A1081" s="28" t="n">
        <v>1080</v>
      </c>
      <c r="B1081" s="1" t="inlineStr">
        <is>
          <t>KIRAN MYRTHOS</t>
        </is>
      </c>
      <c r="C1081" s="30" t="n">
        <v>46019</v>
      </c>
      <c r="D1081" s="1" t="inlineStr">
        <is>
          <t>NEW MARY</t>
        </is>
      </c>
      <c r="E1081" s="12" t="inlineStr">
        <is>
          <t>IND/MEL/01080</t>
        </is>
      </c>
      <c r="F1081" s="1" t="inlineStr">
        <is>
          <t>F</t>
        </is>
      </c>
      <c r="G1081" s="1" t="inlineStr">
        <is>
          <t>John Williams</t>
        </is>
      </c>
      <c r="H1081" s="1" t="inlineStr">
        <is>
          <t>Robin Holmes</t>
        </is>
      </c>
      <c r="I1081" s="30" t="n">
        <v>46065</v>
      </c>
      <c r="J1081" s="1" t="inlineStr">
        <is>
          <t>608 Bell Freeway</t>
        </is>
      </c>
      <c r="K1081" s="1" t="inlineStr">
        <is>
          <t>Suite 328</t>
        </is>
      </c>
      <c r="L1081" s="1" t="inlineStr">
        <is>
          <t>PIN:87436 PORT KRISTINA</t>
        </is>
      </c>
      <c r="M1081" s="2" t="inlineStr">
        <is>
          <t>MHA/IND/01126</t>
        </is>
      </c>
      <c r="N1081" s="30" t="n">
        <v>45840</v>
      </c>
    </row>
    <row r="1082">
      <c r="A1082" s="28" t="n">
        <v>1081</v>
      </c>
      <c r="B1082" s="1" t="inlineStr">
        <is>
          <t>CASSANDRA BRADY</t>
        </is>
      </c>
      <c r="C1082" s="30" t="n">
        <v>45910</v>
      </c>
      <c r="D1082" s="1" t="inlineStr">
        <is>
          <t>ASHLEYHAVEN</t>
        </is>
      </c>
      <c r="E1082" s="12" t="inlineStr">
        <is>
          <t>IND/MEL/01081</t>
        </is>
      </c>
      <c r="F1082" s="1" t="inlineStr">
        <is>
          <t>M</t>
        </is>
      </c>
      <c r="G1082" s="1" t="inlineStr">
        <is>
          <t>Michael Bryant</t>
        </is>
      </c>
      <c r="H1082" s="1" t="inlineStr">
        <is>
          <t>Lindsay Campbell</t>
        </is>
      </c>
      <c r="I1082" s="30" t="n">
        <v>46065</v>
      </c>
      <c r="J1082" s="1" t="inlineStr">
        <is>
          <t>835 Whitney Club Suite 518</t>
        </is>
      </c>
      <c r="K1082" s="1" t="inlineStr">
        <is>
          <t>Apt. 286</t>
        </is>
      </c>
      <c r="L1082" s="1" t="inlineStr">
        <is>
          <t>PIN:38138 LARSONFURT</t>
        </is>
      </c>
      <c r="M1082" s="2" t="inlineStr">
        <is>
          <t>MHA/IND/01127</t>
        </is>
      </c>
      <c r="N1082" s="30" t="n">
        <v>46081</v>
      </c>
    </row>
    <row r="1083">
      <c r="A1083" s="28" t="n">
        <v>1082</v>
      </c>
      <c r="B1083" s="1" t="inlineStr">
        <is>
          <t>PAMELA JONES</t>
        </is>
      </c>
      <c r="C1083" s="30" t="n">
        <v>45910</v>
      </c>
      <c r="D1083" s="1" t="inlineStr">
        <is>
          <t>ASHLEYHAVEN</t>
        </is>
      </c>
      <c r="E1083" s="12" t="inlineStr">
        <is>
          <t>IND/MEL/01082</t>
        </is>
      </c>
      <c r="F1083" s="1" t="inlineStr">
        <is>
          <t>M</t>
        </is>
      </c>
      <c r="G1083" s="1" t="inlineStr">
        <is>
          <t>Michael Bryant</t>
        </is>
      </c>
      <c r="H1083" s="1" t="inlineStr">
        <is>
          <t>Lindsay Campbell</t>
        </is>
      </c>
      <c r="I1083" s="30" t="n">
        <v>46065</v>
      </c>
      <c r="J1083" s="1" t="inlineStr">
        <is>
          <t>835 Whitney Club Suite 518</t>
        </is>
      </c>
      <c r="K1083" s="1" t="inlineStr">
        <is>
          <t>Apt. 286</t>
        </is>
      </c>
      <c r="L1083" s="1" t="inlineStr">
        <is>
          <t>PIN:38138 LARSONFURT</t>
        </is>
      </c>
      <c r="M1083" s="2" t="inlineStr">
        <is>
          <t>MHA/IND/01127</t>
        </is>
      </c>
      <c r="N1083" s="30" t="n">
        <v>46075</v>
      </c>
    </row>
    <row r="1084">
      <c r="A1084" s="28" t="n">
        <v>1083</v>
      </c>
      <c r="B1084" s="1" t="inlineStr">
        <is>
          <t>DYLAN RICHMOND</t>
        </is>
      </c>
      <c r="C1084" s="30" t="n">
        <v>45931</v>
      </c>
      <c r="D1084" s="1" t="inlineStr">
        <is>
          <t>DAVISCHESTER</t>
        </is>
      </c>
      <c r="E1084" s="12" t="inlineStr">
        <is>
          <t>IND/MEL/01083</t>
        </is>
      </c>
      <c r="F1084" s="1" t="inlineStr">
        <is>
          <t>F</t>
        </is>
      </c>
      <c r="G1084" s="1" t="inlineStr">
        <is>
          <t>John Williams</t>
        </is>
      </c>
      <c r="H1084" s="1" t="inlineStr">
        <is>
          <t>Caitlyn Lopez</t>
        </is>
      </c>
      <c r="I1084" s="30" t="n">
        <v>46065</v>
      </c>
      <c r="J1084" s="1" t="inlineStr">
        <is>
          <t>06236 Norris Keys</t>
        </is>
      </c>
      <c r="K1084" s="1" t="inlineStr">
        <is>
          <t>Suite 685</t>
        </is>
      </c>
      <c r="L1084" s="1" t="inlineStr">
        <is>
          <t>PIN:14411 LYNNMOUTH</t>
        </is>
      </c>
      <c r="M1084" s="2" t="inlineStr">
        <is>
          <t>MHA/IND/01128</t>
        </is>
      </c>
      <c r="N1084" s="30" t="n">
        <v>46068</v>
      </c>
    </row>
    <row r="1085">
      <c r="A1085" s="28" t="n">
        <v>1084</v>
      </c>
      <c r="B1085" s="1" t="inlineStr">
        <is>
          <t>CRYSTAL BROWN</t>
        </is>
      </c>
      <c r="C1085" s="30" t="n">
        <v>45931</v>
      </c>
      <c r="D1085" s="1" t="inlineStr">
        <is>
          <t>DAVISCHESTER</t>
        </is>
      </c>
      <c r="E1085" s="12" t="inlineStr">
        <is>
          <t>IND/MEL/01084</t>
        </is>
      </c>
      <c r="F1085" s="1" t="inlineStr">
        <is>
          <t>F</t>
        </is>
      </c>
      <c r="G1085" s="1" t="inlineStr">
        <is>
          <t>John Williams</t>
        </is>
      </c>
      <c r="H1085" s="1" t="inlineStr">
        <is>
          <t>Caitlyn Lopez</t>
        </is>
      </c>
      <c r="I1085" s="30" t="n">
        <v>46065</v>
      </c>
      <c r="J1085" s="1" t="inlineStr">
        <is>
          <t>06236 Norris Keys</t>
        </is>
      </c>
      <c r="K1085" s="1" t="inlineStr">
        <is>
          <t>Suite 685</t>
        </is>
      </c>
      <c r="L1085" s="1" t="inlineStr">
        <is>
          <t>PIN:14411 LYNNMOUTH</t>
        </is>
      </c>
      <c r="M1085" s="2" t="inlineStr">
        <is>
          <t>MHA/IND/01128</t>
        </is>
      </c>
      <c r="N1085" s="30" t="n">
        <v>46081</v>
      </c>
    </row>
    <row r="1086">
      <c r="A1086" s="28" t="n">
        <v>1085</v>
      </c>
      <c r="B1086" s="1" t="inlineStr">
        <is>
          <t>REBECCA PRINCE</t>
        </is>
      </c>
      <c r="C1086" s="30" t="n">
        <v>45840</v>
      </c>
      <c r="D1086" s="1" t="inlineStr">
        <is>
          <t>NORTH LAURA</t>
        </is>
      </c>
      <c r="E1086" s="12" t="inlineStr">
        <is>
          <t>IND/MEL/01085</t>
        </is>
      </c>
      <c r="F1086" s="1" t="inlineStr">
        <is>
          <t>M</t>
        </is>
      </c>
      <c r="G1086" s="1" t="inlineStr">
        <is>
          <t>Paul Gonzales</t>
        </is>
      </c>
      <c r="H1086" s="1" t="inlineStr">
        <is>
          <t>Erika Miller</t>
        </is>
      </c>
      <c r="I1086" s="30" t="n">
        <v>46065</v>
      </c>
      <c r="J1086" s="1" t="inlineStr">
        <is>
          <t>8805 Matthew Stream</t>
        </is>
      </c>
      <c r="K1086" s="1" t="inlineStr">
        <is>
          <t>Suite 204</t>
        </is>
      </c>
      <c r="L1086" s="1" t="inlineStr">
        <is>
          <t>PIN:91591 NEW MATTHEWTON</t>
        </is>
      </c>
      <c r="M1086" s="2" t="inlineStr">
        <is>
          <t>MHA/IND/01129</t>
        </is>
      </c>
      <c r="N1086" s="30" t="n">
        <v>46082</v>
      </c>
    </row>
    <row r="1087">
      <c r="A1087" s="28" t="n">
        <v>1086</v>
      </c>
      <c r="B1087" s="1" t="inlineStr">
        <is>
          <t>KRISTIN SCHWARTZ MD</t>
        </is>
      </c>
      <c r="C1087" s="30" t="n">
        <v>45840</v>
      </c>
      <c r="D1087" s="1" t="inlineStr">
        <is>
          <t>NORTH LAURA</t>
        </is>
      </c>
      <c r="E1087" s="12" t="inlineStr">
        <is>
          <t>IND/MEL/01086</t>
        </is>
      </c>
      <c r="F1087" s="1" t="inlineStr">
        <is>
          <t>M</t>
        </is>
      </c>
      <c r="G1087" s="1" t="inlineStr">
        <is>
          <t>Paul Gonzales</t>
        </is>
      </c>
      <c r="H1087" s="1" t="inlineStr">
        <is>
          <t>Erika Miller</t>
        </is>
      </c>
      <c r="I1087" s="30" t="n">
        <v>46065</v>
      </c>
      <c r="J1087" s="1" t="inlineStr">
        <is>
          <t>8805 Matthew Stream</t>
        </is>
      </c>
      <c r="K1087" s="1" t="inlineStr">
        <is>
          <t>Suite 204</t>
        </is>
      </c>
      <c r="L1087" s="1" t="inlineStr">
        <is>
          <t>PIN:91591 NEW MATTHEWTON</t>
        </is>
      </c>
      <c r="M1087" s="2" t="inlineStr">
        <is>
          <t>MHA/IND/01129</t>
        </is>
      </c>
      <c r="N1087" s="30" t="n">
        <v>46072</v>
      </c>
    </row>
    <row r="1088">
      <c r="A1088" s="28" t="n">
        <v>1087</v>
      </c>
      <c r="B1088" s="1" t="inlineStr">
        <is>
          <t>JESSICA SANDERS</t>
        </is>
      </c>
      <c r="C1088" s="30" t="n">
        <v>45778</v>
      </c>
      <c r="D1088" s="1" t="inlineStr">
        <is>
          <t>KELLIVILLE</t>
        </is>
      </c>
      <c r="E1088" s="12" t="inlineStr">
        <is>
          <t>IND/MEL/01087</t>
        </is>
      </c>
      <c r="F1088" s="1" t="inlineStr">
        <is>
          <t>F</t>
        </is>
      </c>
      <c r="G1088" s="1" t="inlineStr">
        <is>
          <t>Jeremy White</t>
        </is>
      </c>
      <c r="H1088" s="1" t="inlineStr">
        <is>
          <t>Tara Mccoy</t>
        </is>
      </c>
      <c r="I1088" s="30" t="n">
        <v>46065</v>
      </c>
      <c r="J1088" s="1" t="inlineStr">
        <is>
          <t>990 Jessica Crest</t>
        </is>
      </c>
      <c r="K1088" s="1" t="inlineStr">
        <is>
          <t>Apt. 706</t>
        </is>
      </c>
      <c r="L1088" s="1" t="inlineStr">
        <is>
          <t>PIN:05017 CHRISTIANVIEW</t>
        </is>
      </c>
      <c r="M1088" s="2" t="inlineStr">
        <is>
          <t>MHA/IND/01130</t>
        </is>
      </c>
      <c r="N1088" s="30" t="n">
        <v>46089</v>
      </c>
    </row>
    <row r="1089">
      <c r="A1089" s="28" t="n">
        <v>1088</v>
      </c>
      <c r="B1089" s="1" t="inlineStr">
        <is>
          <t>PATRICK JONES</t>
        </is>
      </c>
      <c r="C1089" s="30" t="n">
        <v>45778</v>
      </c>
      <c r="D1089" s="1" t="inlineStr">
        <is>
          <t>KELLIVILLE</t>
        </is>
      </c>
      <c r="E1089" s="12" t="inlineStr">
        <is>
          <t>IND/MEL/01088</t>
        </is>
      </c>
      <c r="F1089" s="1" t="inlineStr">
        <is>
          <t>F</t>
        </is>
      </c>
      <c r="G1089" s="1" t="inlineStr">
        <is>
          <t>Jeremy White</t>
        </is>
      </c>
      <c r="H1089" s="1" t="inlineStr">
        <is>
          <t>Tara Mccoy</t>
        </is>
      </c>
      <c r="I1089" s="30" t="n">
        <v>46065</v>
      </c>
      <c r="J1089" s="1" t="inlineStr">
        <is>
          <t>990 Jessica Crest</t>
        </is>
      </c>
      <c r="K1089" s="1" t="inlineStr">
        <is>
          <t>Apt. 706</t>
        </is>
      </c>
      <c r="L1089" s="1" t="inlineStr">
        <is>
          <t>PIN:05017 CHRISTIANVIEW</t>
        </is>
      </c>
      <c r="M1089" s="2" t="inlineStr">
        <is>
          <t>MHA/IND/01130</t>
        </is>
      </c>
      <c r="N1089" s="30" t="n">
        <v>46079</v>
      </c>
    </row>
    <row r="1090">
      <c r="A1090" s="28" t="n">
        <v>1089</v>
      </c>
      <c r="B1090" s="1" t="inlineStr">
        <is>
          <t>TODD MILLER</t>
        </is>
      </c>
      <c r="C1090" s="30" t="n">
        <v>45794</v>
      </c>
      <c r="D1090" s="1" t="inlineStr">
        <is>
          <t>LAURENPORT</t>
        </is>
      </c>
      <c r="E1090" s="12" t="inlineStr">
        <is>
          <t>IND/MEL/01089</t>
        </is>
      </c>
      <c r="F1090" s="1" t="inlineStr">
        <is>
          <t>F</t>
        </is>
      </c>
      <c r="G1090" s="1" t="inlineStr">
        <is>
          <t>William Mccoy</t>
        </is>
      </c>
      <c r="H1090" s="1" t="inlineStr">
        <is>
          <t>Lauren Gregory</t>
        </is>
      </c>
      <c r="I1090" s="30" t="n">
        <v>46065</v>
      </c>
      <c r="J1090" s="1" t="inlineStr">
        <is>
          <t>72700 Jennifer Parkways Suite 651</t>
        </is>
      </c>
      <c r="K1090" s="1" t="inlineStr">
        <is>
          <t>Apt. 291</t>
        </is>
      </c>
      <c r="L1090" s="1" t="inlineStr">
        <is>
          <t>PIN:34580 WRIGHTMOUTH</t>
        </is>
      </c>
      <c r="M1090" s="2" t="inlineStr">
        <is>
          <t>MHA/IND/01131</t>
        </is>
      </c>
      <c r="N1090" s="30" t="n">
        <v>46072</v>
      </c>
    </row>
    <row r="1091">
      <c r="A1091" s="28" t="n">
        <v>1090</v>
      </c>
      <c r="B1091" s="1" t="inlineStr">
        <is>
          <t>BRANDON SIMPSON</t>
        </is>
      </c>
      <c r="C1091" s="30" t="n">
        <v>45794</v>
      </c>
      <c r="D1091" s="1" t="inlineStr">
        <is>
          <t>LAURENPORT</t>
        </is>
      </c>
      <c r="E1091" s="12" t="inlineStr">
        <is>
          <t>IND/MEL/01090</t>
        </is>
      </c>
      <c r="F1091" s="1" t="inlineStr">
        <is>
          <t>F</t>
        </is>
      </c>
      <c r="G1091" s="1" t="inlineStr">
        <is>
          <t>William Mccoy</t>
        </is>
      </c>
      <c r="H1091" s="1" t="inlineStr">
        <is>
          <t>Lauren Gregory</t>
        </is>
      </c>
      <c r="I1091" s="30" t="n">
        <v>46065</v>
      </c>
      <c r="J1091" s="1" t="inlineStr">
        <is>
          <t>72700 Jennifer Parkways Suite 651</t>
        </is>
      </c>
      <c r="K1091" s="1" t="inlineStr">
        <is>
          <t>Apt. 291</t>
        </is>
      </c>
      <c r="L1091" s="1" t="inlineStr">
        <is>
          <t>PIN:34580 WRIGHTMOUTH</t>
        </is>
      </c>
      <c r="M1091" s="2" t="inlineStr">
        <is>
          <t>MHA/IND/01131</t>
        </is>
      </c>
      <c r="N1091" s="30" t="n">
        <v>46093</v>
      </c>
    </row>
    <row r="1092">
      <c r="A1092" s="28" t="n">
        <v>1091</v>
      </c>
      <c r="B1092" s="1" t="inlineStr">
        <is>
          <t>ANNA BOOKER</t>
        </is>
      </c>
      <c r="C1092" s="30" t="n">
        <v>45758</v>
      </c>
      <c r="D1092" s="1" t="inlineStr">
        <is>
          <t>ERICFORT</t>
        </is>
      </c>
      <c r="E1092" s="12" t="inlineStr">
        <is>
          <t>IND/MEL/01091</t>
        </is>
      </c>
      <c r="F1092" s="1" t="inlineStr">
        <is>
          <t>F</t>
        </is>
      </c>
      <c r="G1092" s="1" t="inlineStr">
        <is>
          <t>William Mckinney</t>
        </is>
      </c>
      <c r="H1092" s="1" t="inlineStr">
        <is>
          <t>Sara Garcia</t>
        </is>
      </c>
      <c r="I1092" s="30" t="n">
        <v>46065</v>
      </c>
      <c r="J1092" s="1" t="inlineStr">
        <is>
          <t>358 Butler Summit</t>
        </is>
      </c>
      <c r="K1092" s="1" t="inlineStr">
        <is>
          <t>Suite 682</t>
        </is>
      </c>
      <c r="L1092" s="1" t="inlineStr">
        <is>
          <t>PIN:26130 NEW APRIL</t>
        </is>
      </c>
      <c r="M1092" s="2" t="inlineStr">
        <is>
          <t>MHA/IND/01132</t>
        </is>
      </c>
      <c r="N1092" s="30" t="n">
        <v>46072</v>
      </c>
    </row>
    <row r="1093">
      <c r="A1093" s="28" t="n">
        <v>1092</v>
      </c>
      <c r="B1093" s="1" t="inlineStr">
        <is>
          <t>GARY MASON</t>
        </is>
      </c>
      <c r="C1093" s="30" t="n">
        <v>45758</v>
      </c>
      <c r="D1093" s="1" t="inlineStr">
        <is>
          <t>ERICFORT</t>
        </is>
      </c>
      <c r="E1093" s="12" t="inlineStr">
        <is>
          <t>IND/MEL/01092</t>
        </is>
      </c>
      <c r="F1093" s="1" t="inlineStr">
        <is>
          <t>F</t>
        </is>
      </c>
      <c r="G1093" s="1" t="inlineStr">
        <is>
          <t>William Mckinney</t>
        </is>
      </c>
      <c r="H1093" s="1" t="inlineStr">
        <is>
          <t>Sara Garcia</t>
        </is>
      </c>
      <c r="I1093" s="30" t="n">
        <v>46065</v>
      </c>
      <c r="J1093" s="1" t="inlineStr">
        <is>
          <t>358 Butler Summit</t>
        </is>
      </c>
      <c r="K1093" s="1" t="inlineStr">
        <is>
          <t>Suite 682</t>
        </is>
      </c>
      <c r="L1093" s="1" t="inlineStr">
        <is>
          <t>PIN:26130 NEW APRIL</t>
        </is>
      </c>
      <c r="M1093" s="2" t="inlineStr">
        <is>
          <t>MHA/IND/01132</t>
        </is>
      </c>
      <c r="N1093" s="30" t="n">
        <v>46092</v>
      </c>
    </row>
    <row r="1094">
      <c r="A1094" s="28" t="n">
        <v>1093</v>
      </c>
      <c r="B1094" s="1" t="inlineStr">
        <is>
          <t>DAVID BLAIR</t>
        </is>
      </c>
      <c r="C1094" s="30" t="n">
        <v>45895</v>
      </c>
      <c r="D1094" s="1" t="inlineStr">
        <is>
          <t>NEW JARED</t>
        </is>
      </c>
      <c r="E1094" s="12" t="inlineStr">
        <is>
          <t>IND/MEL/01093</t>
        </is>
      </c>
      <c r="F1094" s="1" t="inlineStr">
        <is>
          <t>M</t>
        </is>
      </c>
      <c r="G1094" s="1" t="inlineStr">
        <is>
          <t>Martin Stewart</t>
        </is>
      </c>
      <c r="H1094" s="1" t="inlineStr">
        <is>
          <t>Tammy Rodriguez</t>
        </is>
      </c>
      <c r="I1094" s="30" t="n">
        <v>46065</v>
      </c>
      <c r="J1094" s="1" t="inlineStr">
        <is>
          <t>712 Holder Knolls</t>
        </is>
      </c>
      <c r="K1094" s="1" t="inlineStr">
        <is>
          <t>Suite 214</t>
        </is>
      </c>
      <c r="L1094" s="1" t="inlineStr">
        <is>
          <t>PIN:46570 POWERSFORT</t>
        </is>
      </c>
      <c r="M1094" s="2" t="inlineStr">
        <is>
          <t>MHA/IND/01133</t>
        </is>
      </c>
      <c r="N1094" s="30" t="n">
        <v>46069</v>
      </c>
    </row>
    <row r="1095">
      <c r="A1095" s="28" t="n">
        <v>1094</v>
      </c>
      <c r="B1095" s="1" t="inlineStr">
        <is>
          <t>ZACHARY FISCHER</t>
        </is>
      </c>
      <c r="C1095" s="30" t="n">
        <v>45895</v>
      </c>
      <c r="D1095" s="1" t="inlineStr">
        <is>
          <t>NEW JARED</t>
        </is>
      </c>
      <c r="E1095" s="12" t="inlineStr">
        <is>
          <t>IND/MEL/01094</t>
        </is>
      </c>
      <c r="F1095" s="1" t="inlineStr">
        <is>
          <t>M</t>
        </is>
      </c>
      <c r="G1095" s="1" t="inlineStr">
        <is>
          <t>Martin Stewart</t>
        </is>
      </c>
      <c r="H1095" s="1" t="inlineStr">
        <is>
          <t>Tammy Rodriguez</t>
        </is>
      </c>
      <c r="I1095" s="30" t="n">
        <v>46065</v>
      </c>
      <c r="J1095" s="1" t="inlineStr">
        <is>
          <t>712 Holder Knolls</t>
        </is>
      </c>
      <c r="K1095" s="1" t="inlineStr">
        <is>
          <t>Suite 214</t>
        </is>
      </c>
      <c r="L1095" s="1" t="inlineStr">
        <is>
          <t>PIN:46570 POWERSFORT</t>
        </is>
      </c>
      <c r="M1095" s="2" t="inlineStr">
        <is>
          <t>MHA/IND/01133</t>
        </is>
      </c>
      <c r="N1095" s="30" t="n">
        <v>46068</v>
      </c>
    </row>
    <row r="1096">
      <c r="A1096" s="28" t="n">
        <v>1095</v>
      </c>
      <c r="B1096" s="1" t="inlineStr">
        <is>
          <t>MARY PERRY</t>
        </is>
      </c>
      <c r="C1096" s="30" t="n">
        <v>45989</v>
      </c>
      <c r="D1096" s="1" t="inlineStr">
        <is>
          <t>LAKE DAVID</t>
        </is>
      </c>
      <c r="E1096" s="12" t="inlineStr">
        <is>
          <t>IND/MEL/01095</t>
        </is>
      </c>
      <c r="F1096" s="1" t="inlineStr">
        <is>
          <t>F</t>
        </is>
      </c>
      <c r="G1096" s="1" t="inlineStr">
        <is>
          <t>James Ball</t>
        </is>
      </c>
      <c r="H1096" s="1" t="inlineStr">
        <is>
          <t>Jennifer Swanson</t>
        </is>
      </c>
      <c r="I1096" s="30" t="n">
        <v>46065</v>
      </c>
      <c r="J1096" s="1" t="inlineStr">
        <is>
          <t>095 Christina Trail</t>
        </is>
      </c>
      <c r="K1096" s="1" t="inlineStr">
        <is>
          <t>Suite 143</t>
        </is>
      </c>
      <c r="L1096" s="1" t="inlineStr">
        <is>
          <t>PIN:02209 NORTH THERESABURGH</t>
        </is>
      </c>
      <c r="M1096" s="2" t="inlineStr">
        <is>
          <t>MHA/IND/01134</t>
        </is>
      </c>
      <c r="N1096" s="30" t="n">
        <v>46077</v>
      </c>
    </row>
    <row r="1097">
      <c r="A1097" s="28" t="n">
        <v>1096</v>
      </c>
      <c r="B1097" s="1" t="inlineStr">
        <is>
          <t>ANDREW ANDRADE</t>
        </is>
      </c>
      <c r="C1097" s="30" t="n">
        <v>45989</v>
      </c>
      <c r="D1097" s="1" t="inlineStr">
        <is>
          <t>LAKE DAVID</t>
        </is>
      </c>
      <c r="E1097" s="12" t="inlineStr">
        <is>
          <t>IND/MEL/01096</t>
        </is>
      </c>
      <c r="F1097" s="1" t="inlineStr">
        <is>
          <t>F</t>
        </is>
      </c>
      <c r="G1097" s="1" t="inlineStr">
        <is>
          <t>James Ball</t>
        </is>
      </c>
      <c r="H1097" s="1" t="inlineStr">
        <is>
          <t>Jennifer Swanson</t>
        </is>
      </c>
      <c r="I1097" s="30" t="n">
        <v>46065</v>
      </c>
      <c r="J1097" s="1" t="inlineStr">
        <is>
          <t>095 Christina Trail</t>
        </is>
      </c>
      <c r="K1097" s="1" t="inlineStr">
        <is>
          <t>Suite 143</t>
        </is>
      </c>
      <c r="L1097" s="1" t="inlineStr">
        <is>
          <t>PIN:02209 NORTH THERESABURGH</t>
        </is>
      </c>
      <c r="M1097" s="2" t="inlineStr">
        <is>
          <t>MHA/IND/01134</t>
        </is>
      </c>
      <c r="N1097" s="30" t="n">
        <v>46069</v>
      </c>
    </row>
    <row r="1098">
      <c r="A1098" s="28" t="n">
        <v>1097</v>
      </c>
      <c r="B1098" s="1" t="inlineStr">
        <is>
          <t>TYLER MOORE</t>
        </is>
      </c>
      <c r="C1098" s="30" t="n">
        <v>45986</v>
      </c>
      <c r="D1098" s="1" t="inlineStr">
        <is>
          <t>NORTH DAVIDTOWN</t>
        </is>
      </c>
      <c r="E1098" s="12" t="inlineStr">
        <is>
          <t>IND/MEL/01097</t>
        </is>
      </c>
      <c r="F1098" s="1" t="inlineStr">
        <is>
          <t>M</t>
        </is>
      </c>
      <c r="G1098" s="1" t="inlineStr">
        <is>
          <t>John Ruiz</t>
        </is>
      </c>
      <c r="H1098" s="1" t="inlineStr">
        <is>
          <t>Carla Kim</t>
        </is>
      </c>
      <c r="I1098" s="30" t="n">
        <v>46065</v>
      </c>
      <c r="J1098" s="1" t="inlineStr">
        <is>
          <t>94910 Thomas Turnpike Suite 782</t>
        </is>
      </c>
      <c r="K1098" s="1" t="inlineStr">
        <is>
          <t>Apt. 633</t>
        </is>
      </c>
      <c r="L1098" s="1" t="inlineStr">
        <is>
          <t>PIN:97120 NORTH CORYMOUTH</t>
        </is>
      </c>
      <c r="M1098" s="2" t="inlineStr">
        <is>
          <t>MHA/IND/01135</t>
        </is>
      </c>
      <c r="N1098" s="30" t="n">
        <v>46081</v>
      </c>
    </row>
    <row r="1099">
      <c r="A1099" s="28" t="n">
        <v>1098</v>
      </c>
      <c r="B1099" s="1" t="inlineStr">
        <is>
          <t>CONNIE MAXWELL</t>
        </is>
      </c>
      <c r="C1099" s="30" t="n">
        <v>45986</v>
      </c>
      <c r="D1099" s="1" t="inlineStr">
        <is>
          <t>NORTH DAVIDTOWN</t>
        </is>
      </c>
      <c r="E1099" s="12" t="inlineStr">
        <is>
          <t>IND/MEL/01098</t>
        </is>
      </c>
      <c r="F1099" s="1" t="inlineStr">
        <is>
          <t>M</t>
        </is>
      </c>
      <c r="G1099" s="1" t="inlineStr">
        <is>
          <t>John Ruiz</t>
        </is>
      </c>
      <c r="H1099" s="1" t="inlineStr">
        <is>
          <t>Carla Kim</t>
        </is>
      </c>
      <c r="I1099" s="30" t="n">
        <v>46065</v>
      </c>
      <c r="J1099" s="1" t="inlineStr">
        <is>
          <t>94910 Thomas Turnpike Suite 782</t>
        </is>
      </c>
      <c r="K1099" s="1" t="inlineStr">
        <is>
          <t>Apt. 633</t>
        </is>
      </c>
      <c r="L1099" s="1" t="inlineStr">
        <is>
          <t>PIN:97120 NORTH CORYMOUTH</t>
        </is>
      </c>
      <c r="M1099" s="2" t="inlineStr">
        <is>
          <t>MHA/IND/01135</t>
        </is>
      </c>
      <c r="N1099" s="30" t="n">
        <v>46077</v>
      </c>
    </row>
    <row r="1100">
      <c r="A1100" s="28" t="n">
        <v>1099</v>
      </c>
      <c r="B1100" s="1" t="inlineStr">
        <is>
          <t>CHRISTOPHER ALI</t>
        </is>
      </c>
      <c r="C1100" s="30" t="n">
        <v>45825</v>
      </c>
      <c r="D1100" s="1" t="inlineStr">
        <is>
          <t>EAST LARRYBURGH</t>
        </is>
      </c>
      <c r="E1100" s="12" t="inlineStr">
        <is>
          <t>IND/MEL/01099</t>
        </is>
      </c>
      <c r="F1100" s="1" t="inlineStr">
        <is>
          <t>M</t>
        </is>
      </c>
      <c r="G1100" s="1" t="inlineStr">
        <is>
          <t>Alex Lopez</t>
        </is>
      </c>
      <c r="H1100" s="1" t="inlineStr">
        <is>
          <t>Rachel Bradshaw</t>
        </is>
      </c>
      <c r="I1100" s="30" t="n">
        <v>46065</v>
      </c>
      <c r="J1100" s="1" t="inlineStr">
        <is>
          <t>91091 Hampton Highway Suite 967</t>
        </is>
      </c>
      <c r="K1100" s="1" t="inlineStr">
        <is>
          <t>Suite 191</t>
        </is>
      </c>
      <c r="L1100" s="1" t="inlineStr">
        <is>
          <t>PIN:50406 FERGUSONVILLE</t>
        </is>
      </c>
      <c r="M1100" s="2" t="inlineStr">
        <is>
          <t>MHA/IND/01136</t>
        </is>
      </c>
      <c r="N1100" s="30" t="n">
        <v>46086</v>
      </c>
    </row>
    <row r="1101">
      <c r="A1101" s="28" t="n">
        <v>1100</v>
      </c>
      <c r="B1101" s="1" t="inlineStr">
        <is>
          <t>ALEJANDRA BUTLER</t>
        </is>
      </c>
      <c r="C1101" s="30" t="n">
        <v>45825</v>
      </c>
      <c r="D1101" s="1" t="inlineStr">
        <is>
          <t>EAST LARRYBURGH</t>
        </is>
      </c>
      <c r="E1101" s="12" t="inlineStr">
        <is>
          <t>IND/MEL/01100</t>
        </is>
      </c>
      <c r="F1101" s="1" t="inlineStr">
        <is>
          <t>M</t>
        </is>
      </c>
      <c r="G1101" s="1" t="inlineStr">
        <is>
          <t>Alex Lopez</t>
        </is>
      </c>
      <c r="H1101" s="1" t="inlineStr">
        <is>
          <t>Rachel Bradshaw</t>
        </is>
      </c>
      <c r="I1101" s="30" t="n">
        <v>46065</v>
      </c>
      <c r="J1101" s="1" t="inlineStr">
        <is>
          <t>91091 Hampton Highway Suite 967</t>
        </is>
      </c>
      <c r="K1101" s="1" t="inlineStr">
        <is>
          <t>Suite 191</t>
        </is>
      </c>
      <c r="L1101" s="1" t="inlineStr">
        <is>
          <t>PIN:50406 FERGUSONVILLE</t>
        </is>
      </c>
      <c r="M1101" s="2" t="inlineStr">
        <is>
          <t>MHA/IND/01136</t>
        </is>
      </c>
      <c r="N1101" s="30" t="n">
        <v>46091</v>
      </c>
    </row>
    <row r="1102">
      <c r="A1102" s="28" t="n">
        <v>1101</v>
      </c>
      <c r="B1102" s="1" t="inlineStr">
        <is>
          <t>RANDALL STONE</t>
        </is>
      </c>
      <c r="C1102" s="30" t="n">
        <v>45816</v>
      </c>
      <c r="D1102" s="1" t="inlineStr">
        <is>
          <t>JASONFURT</t>
        </is>
      </c>
      <c r="E1102" s="12" t="inlineStr">
        <is>
          <t>IND/MEL/01101</t>
        </is>
      </c>
      <c r="F1102" s="1" t="inlineStr">
        <is>
          <t>F</t>
        </is>
      </c>
      <c r="G1102" s="1" t="inlineStr">
        <is>
          <t>Ryan Buchanan</t>
        </is>
      </c>
      <c r="H1102" s="1" t="inlineStr">
        <is>
          <t>Julie Crawford</t>
        </is>
      </c>
      <c r="I1102" s="30" t="n">
        <v>46065</v>
      </c>
      <c r="J1102" s="1" t="inlineStr">
        <is>
          <t>52457 Holland Islands Apt. 487</t>
        </is>
      </c>
      <c r="K1102" s="1" t="inlineStr">
        <is>
          <t>Suite 180</t>
        </is>
      </c>
      <c r="L1102" s="1" t="inlineStr">
        <is>
          <t>PIN:22260 WILLIAMBURGH</t>
        </is>
      </c>
      <c r="M1102" s="2" t="inlineStr">
        <is>
          <t>MHA/IND/01137</t>
        </is>
      </c>
      <c r="N1102" s="30" t="n">
        <v>46069</v>
      </c>
    </row>
    <row r="1103">
      <c r="A1103" s="28" t="n">
        <v>1102</v>
      </c>
      <c r="B1103" s="1" t="inlineStr">
        <is>
          <t>CAROL COOPER</t>
        </is>
      </c>
      <c r="C1103" s="30" t="n">
        <v>45816</v>
      </c>
      <c r="D1103" s="1" t="inlineStr">
        <is>
          <t>JASONFURT</t>
        </is>
      </c>
      <c r="E1103" s="12" t="inlineStr">
        <is>
          <t>IND/MEL/01102</t>
        </is>
      </c>
      <c r="F1103" s="1" t="inlineStr">
        <is>
          <t>F</t>
        </is>
      </c>
      <c r="G1103" s="1" t="inlineStr">
        <is>
          <t>Ryan Buchanan</t>
        </is>
      </c>
      <c r="H1103" s="1" t="inlineStr">
        <is>
          <t>Julie Crawford</t>
        </is>
      </c>
      <c r="I1103" s="30" t="n">
        <v>46065</v>
      </c>
      <c r="J1103" s="1" t="inlineStr">
        <is>
          <t>52457 Holland Islands Apt. 487</t>
        </is>
      </c>
      <c r="K1103" s="1" t="inlineStr">
        <is>
          <t>Suite 180</t>
        </is>
      </c>
      <c r="L1103" s="1" t="inlineStr">
        <is>
          <t>PIN:22260 WILLIAMBURGH</t>
        </is>
      </c>
      <c r="M1103" s="2" t="inlineStr">
        <is>
          <t>MHA/IND/01137</t>
        </is>
      </c>
      <c r="N1103" s="30" t="n">
        <v>46088</v>
      </c>
    </row>
    <row r="1104">
      <c r="A1104" s="28" t="n">
        <v>1103</v>
      </c>
      <c r="B1104" s="1" t="inlineStr">
        <is>
          <t>KIMBERLY HARRISON</t>
        </is>
      </c>
      <c r="C1104" s="30" t="n">
        <v>46036</v>
      </c>
      <c r="D1104" s="1" t="inlineStr">
        <is>
          <t>WEST KRISTEN</t>
        </is>
      </c>
      <c r="E1104" s="12" t="inlineStr">
        <is>
          <t>IND/MEL/01103</t>
        </is>
      </c>
      <c r="F1104" s="1" t="inlineStr">
        <is>
          <t>M</t>
        </is>
      </c>
      <c r="G1104" s="1" t="inlineStr">
        <is>
          <t>John Ward</t>
        </is>
      </c>
      <c r="H1104" s="1" t="inlineStr">
        <is>
          <t>Renee Fischer</t>
        </is>
      </c>
      <c r="I1104" s="30" t="n">
        <v>46065</v>
      </c>
      <c r="J1104" s="1" t="inlineStr">
        <is>
          <t>208 Kyle Estate</t>
        </is>
      </c>
      <c r="K1104" s="1" t="inlineStr">
        <is>
          <t>Suite 899</t>
        </is>
      </c>
      <c r="L1104" s="1" t="inlineStr">
        <is>
          <t>PIN:57455 SMITHFURT</t>
        </is>
      </c>
      <c r="M1104" s="2" t="inlineStr">
        <is>
          <t>MHA/IND/01138</t>
        </is>
      </c>
      <c r="N1104" s="30" t="n">
        <v>46092</v>
      </c>
    </row>
    <row r="1105">
      <c r="A1105" s="28" t="n">
        <v>1104</v>
      </c>
      <c r="B1105" s="1" t="inlineStr">
        <is>
          <t>ALAN KELLER</t>
        </is>
      </c>
      <c r="C1105" s="30" t="n">
        <v>46036</v>
      </c>
      <c r="D1105" s="1" t="inlineStr">
        <is>
          <t>WEST KRISTEN</t>
        </is>
      </c>
      <c r="E1105" s="12" t="inlineStr">
        <is>
          <t>IND/MEL/01104</t>
        </is>
      </c>
      <c r="F1105" s="1" t="inlineStr">
        <is>
          <t>M</t>
        </is>
      </c>
      <c r="G1105" s="1" t="inlineStr">
        <is>
          <t>John Ward</t>
        </is>
      </c>
      <c r="H1105" s="1" t="inlineStr">
        <is>
          <t>Renee Fischer</t>
        </is>
      </c>
      <c r="I1105" s="30" t="n">
        <v>46065</v>
      </c>
      <c r="J1105" s="1" t="inlineStr">
        <is>
          <t>208 Kyle Estate</t>
        </is>
      </c>
      <c r="K1105" s="1" t="inlineStr">
        <is>
          <t>Suite 899</t>
        </is>
      </c>
      <c r="L1105" s="1" t="inlineStr">
        <is>
          <t>PIN:57455 SMITHFURT</t>
        </is>
      </c>
      <c r="M1105" s="2" t="inlineStr">
        <is>
          <t>MHA/IND/01138</t>
        </is>
      </c>
      <c r="N1105" s="30" t="n">
        <v>46075</v>
      </c>
    </row>
    <row r="1106">
      <c r="A1106" s="28" t="n">
        <v>1105</v>
      </c>
      <c r="B1106" s="1" t="inlineStr">
        <is>
          <t>CATHY MOORE</t>
        </is>
      </c>
      <c r="C1106" s="30" t="n">
        <v>46001</v>
      </c>
      <c r="D1106" s="1" t="inlineStr">
        <is>
          <t>KENNETHTOWN</t>
        </is>
      </c>
      <c r="E1106" s="12" t="inlineStr">
        <is>
          <t>IND/MEL/01105</t>
        </is>
      </c>
      <c r="F1106" s="1" t="inlineStr">
        <is>
          <t>M</t>
        </is>
      </c>
      <c r="G1106" s="1" t="inlineStr">
        <is>
          <t>Andrew Levine</t>
        </is>
      </c>
      <c r="H1106" s="1" t="inlineStr">
        <is>
          <t>Donna Hawkins</t>
        </is>
      </c>
      <c r="I1106" s="30" t="n">
        <v>46065</v>
      </c>
      <c r="J1106" s="1" t="inlineStr">
        <is>
          <t>1493 Ariel Brook</t>
        </is>
      </c>
      <c r="K1106" s="1" t="inlineStr">
        <is>
          <t>Apt. 498</t>
        </is>
      </c>
      <c r="L1106" s="1" t="inlineStr">
        <is>
          <t>PIN:10618 SOUTH PATRICKPORT</t>
        </is>
      </c>
      <c r="M1106" s="2" t="inlineStr">
        <is>
          <t>MHA/IND/01139</t>
        </is>
      </c>
      <c r="N1106" s="30" t="n">
        <v>46068</v>
      </c>
    </row>
    <row r="1107">
      <c r="A1107" s="28" t="n">
        <v>1106</v>
      </c>
      <c r="B1107" s="1" t="inlineStr">
        <is>
          <t>RANDY WILLIAMS</t>
        </is>
      </c>
      <c r="C1107" s="30" t="n">
        <v>46001</v>
      </c>
      <c r="D1107" s="1" t="inlineStr">
        <is>
          <t>KENNETHTOWN</t>
        </is>
      </c>
      <c r="E1107" s="12" t="inlineStr">
        <is>
          <t>IND/MEL/01106</t>
        </is>
      </c>
      <c r="F1107" s="1" t="inlineStr">
        <is>
          <t>M</t>
        </is>
      </c>
      <c r="G1107" s="1" t="inlineStr">
        <is>
          <t>Andrew Levine</t>
        </is>
      </c>
      <c r="H1107" s="1" t="inlineStr">
        <is>
          <t>Donna Hawkins</t>
        </is>
      </c>
      <c r="I1107" s="30" t="n">
        <v>46065</v>
      </c>
      <c r="J1107" s="1" t="inlineStr">
        <is>
          <t>1493 Ariel Brook</t>
        </is>
      </c>
      <c r="K1107" s="1" t="inlineStr">
        <is>
          <t>Apt. 498</t>
        </is>
      </c>
      <c r="L1107" s="1" t="inlineStr">
        <is>
          <t>PIN:10618 SOUTH PATRICKPORT</t>
        </is>
      </c>
      <c r="M1107" s="2" t="inlineStr">
        <is>
          <t>MHA/IND/01139</t>
        </is>
      </c>
      <c r="N1107" s="30" t="n">
        <v>46070</v>
      </c>
    </row>
    <row r="1108">
      <c r="A1108" s="28" t="n">
        <v>1107</v>
      </c>
      <c r="B1108" s="1" t="inlineStr">
        <is>
          <t>MELINDA JONES</t>
        </is>
      </c>
      <c r="C1108" s="30" t="n">
        <v>45937</v>
      </c>
      <c r="D1108" s="1" t="inlineStr">
        <is>
          <t>WARRENSTAD</t>
        </is>
      </c>
      <c r="E1108" s="12" t="inlineStr">
        <is>
          <t>IND/MEL/01107</t>
        </is>
      </c>
      <c r="F1108" s="1" t="inlineStr">
        <is>
          <t>M</t>
        </is>
      </c>
      <c r="G1108" s="1" t="inlineStr">
        <is>
          <t>Ryan Cole</t>
        </is>
      </c>
      <c r="H1108" s="1" t="inlineStr">
        <is>
          <t>Kimberly Powell</t>
        </is>
      </c>
      <c r="I1108" s="30" t="n">
        <v>46065</v>
      </c>
      <c r="J1108" s="1" t="inlineStr">
        <is>
          <t>4960 Lorraine Creek</t>
        </is>
      </c>
      <c r="K1108" s="1" t="inlineStr">
        <is>
          <t>Apt. 148</t>
        </is>
      </c>
      <c r="L1108" s="1" t="inlineStr">
        <is>
          <t>PIN:22069 EAST ALEXANDRACHESTER</t>
        </is>
      </c>
      <c r="M1108" s="2" t="inlineStr">
        <is>
          <t>MHA/IND/01140</t>
        </is>
      </c>
      <c r="N1108" s="30" t="n">
        <v>46091</v>
      </c>
    </row>
    <row r="1109">
      <c r="A1109" s="28" t="n">
        <v>1108</v>
      </c>
      <c r="B1109" s="1" t="inlineStr">
        <is>
          <t>KATHLEEN YOUNG</t>
        </is>
      </c>
      <c r="C1109" s="30" t="n">
        <v>45937</v>
      </c>
      <c r="D1109" s="1" t="inlineStr">
        <is>
          <t>WARRENSTAD</t>
        </is>
      </c>
      <c r="E1109" s="12" t="inlineStr">
        <is>
          <t>IND/MEL/01108</t>
        </is>
      </c>
      <c r="F1109" s="1" t="inlineStr">
        <is>
          <t>M</t>
        </is>
      </c>
      <c r="G1109" s="1" t="inlineStr">
        <is>
          <t>Ryan Cole</t>
        </is>
      </c>
      <c r="H1109" s="1" t="inlineStr">
        <is>
          <t>Kimberly Powell</t>
        </is>
      </c>
      <c r="I1109" s="30" t="n">
        <v>46065</v>
      </c>
      <c r="J1109" s="1" t="inlineStr">
        <is>
          <t>4960 Lorraine Creek</t>
        </is>
      </c>
      <c r="K1109" s="1" t="inlineStr">
        <is>
          <t>Apt. 148</t>
        </is>
      </c>
      <c r="L1109" s="1" t="inlineStr">
        <is>
          <t>PIN:22069 EAST ALEXANDRACHESTER</t>
        </is>
      </c>
      <c r="M1109" s="2" t="inlineStr">
        <is>
          <t>MHA/IND/01140</t>
        </is>
      </c>
      <c r="N1109" s="30" t="n">
        <v>46092</v>
      </c>
    </row>
    <row r="1110">
      <c r="A1110" s="28" t="n">
        <v>1109</v>
      </c>
      <c r="B1110" s="1" t="inlineStr">
        <is>
          <t>KAREN LEE</t>
        </is>
      </c>
      <c r="C1110" s="30" t="n">
        <v>45945</v>
      </c>
      <c r="D1110" s="1" t="inlineStr">
        <is>
          <t>VINCENTBOROUGH</t>
        </is>
      </c>
      <c r="E1110" s="12" t="inlineStr">
        <is>
          <t>IND/MEL/01109</t>
        </is>
      </c>
      <c r="F1110" s="1" t="inlineStr">
        <is>
          <t>F</t>
        </is>
      </c>
      <c r="G1110" s="1" t="inlineStr">
        <is>
          <t>Craig Smith</t>
        </is>
      </c>
      <c r="H1110" s="1" t="inlineStr">
        <is>
          <t>Taylor Lopez</t>
        </is>
      </c>
      <c r="I1110" s="30" t="n">
        <v>46065</v>
      </c>
      <c r="J1110" s="1" t="inlineStr">
        <is>
          <t>973 Macias Tunnel Apt. 004</t>
        </is>
      </c>
      <c r="K1110" s="1" t="inlineStr">
        <is>
          <t>Suite 445</t>
        </is>
      </c>
      <c r="L1110" s="1" t="inlineStr">
        <is>
          <t>PIN:41313 DAVIDBERG</t>
        </is>
      </c>
      <c r="M1110" s="2" t="inlineStr">
        <is>
          <t>MHA/IND/01141</t>
        </is>
      </c>
      <c r="N1110" s="30" t="n">
        <v>46077</v>
      </c>
    </row>
    <row r="1111">
      <c r="A1111" s="28" t="n">
        <v>1110</v>
      </c>
      <c r="B1111" s="1" t="inlineStr">
        <is>
          <t>TINA PEARSON</t>
        </is>
      </c>
      <c r="C1111" s="30" t="n">
        <v>45945</v>
      </c>
      <c r="D1111" s="1" t="inlineStr">
        <is>
          <t>VINCENTBOROUGH</t>
        </is>
      </c>
      <c r="E1111" s="12" t="inlineStr">
        <is>
          <t>IND/MEL/01110</t>
        </is>
      </c>
      <c r="F1111" s="1" t="inlineStr">
        <is>
          <t>F</t>
        </is>
      </c>
      <c r="G1111" s="1" t="inlineStr">
        <is>
          <t>Craig Smith</t>
        </is>
      </c>
      <c r="H1111" s="1" t="inlineStr">
        <is>
          <t>Taylor Lopez</t>
        </is>
      </c>
      <c r="I1111" s="30" t="n">
        <v>46065</v>
      </c>
      <c r="J1111" s="1" t="inlineStr">
        <is>
          <t>973 Macias Tunnel Apt. 004</t>
        </is>
      </c>
      <c r="K1111" s="1" t="inlineStr">
        <is>
          <t>Suite 445</t>
        </is>
      </c>
      <c r="L1111" s="1" t="inlineStr">
        <is>
          <t>PIN:41313 DAVIDBERG</t>
        </is>
      </c>
      <c r="M1111" s="2" t="inlineStr">
        <is>
          <t>MHA/IND/01141</t>
        </is>
      </c>
      <c r="N1111" s="30" t="n">
        <v>46073</v>
      </c>
    </row>
    <row r="1112">
      <c r="A1112" s="28" t="n">
        <v>1111</v>
      </c>
      <c r="B1112" s="1" t="inlineStr">
        <is>
          <t>STACEY BAILEY</t>
        </is>
      </c>
      <c r="C1112" s="30" t="n">
        <v>45867</v>
      </c>
      <c r="D1112" s="1" t="inlineStr">
        <is>
          <t>NEW ROBERTFURT</t>
        </is>
      </c>
      <c r="E1112" s="12" t="inlineStr">
        <is>
          <t>IND/MEL/01111</t>
        </is>
      </c>
      <c r="F1112" s="1" t="inlineStr">
        <is>
          <t>M</t>
        </is>
      </c>
      <c r="G1112" s="1" t="inlineStr">
        <is>
          <t>Daniel Alvarez</t>
        </is>
      </c>
      <c r="H1112" s="1" t="inlineStr">
        <is>
          <t>Mary Murphy</t>
        </is>
      </c>
      <c r="I1112" s="30" t="n">
        <v>46065</v>
      </c>
      <c r="J1112" s="1" t="inlineStr">
        <is>
          <t>9380 Jenna Mills Apt. 075</t>
        </is>
      </c>
      <c r="K1112" s="1" t="inlineStr">
        <is>
          <t>Apt. 254</t>
        </is>
      </c>
      <c r="L1112" s="1" t="inlineStr">
        <is>
          <t>PIN:61881 DAVILABURY</t>
        </is>
      </c>
      <c r="M1112" s="2" t="inlineStr">
        <is>
          <t>MHA/IND/01142</t>
        </is>
      </c>
      <c r="N1112" s="30" t="n">
        <v>46074</v>
      </c>
    </row>
    <row r="1113">
      <c r="A1113" s="28" t="n">
        <v>1112</v>
      </c>
      <c r="B1113" s="1" t="inlineStr">
        <is>
          <t>JUSTIN GUZMAN</t>
        </is>
      </c>
      <c r="C1113" s="30" t="n">
        <v>45867</v>
      </c>
      <c r="D1113" s="1" t="inlineStr">
        <is>
          <t>NEW ROBERTFURT</t>
        </is>
      </c>
      <c r="E1113" s="12" t="inlineStr">
        <is>
          <t>IND/MEL/01112</t>
        </is>
      </c>
      <c r="F1113" s="1" t="inlineStr">
        <is>
          <t>M</t>
        </is>
      </c>
      <c r="G1113" s="1" t="inlineStr">
        <is>
          <t>Daniel Alvarez</t>
        </is>
      </c>
      <c r="H1113" s="1" t="inlineStr">
        <is>
          <t>Mary Murphy</t>
        </is>
      </c>
      <c r="I1113" s="30" t="n">
        <v>46065</v>
      </c>
      <c r="J1113" s="1" t="inlineStr">
        <is>
          <t>9380 Jenna Mills Apt. 075</t>
        </is>
      </c>
      <c r="K1113" s="1" t="inlineStr">
        <is>
          <t>Apt. 254</t>
        </is>
      </c>
      <c r="L1113" s="1" t="inlineStr">
        <is>
          <t>PIN:61881 DAVILABURY</t>
        </is>
      </c>
      <c r="M1113" s="2" t="inlineStr">
        <is>
          <t>MHA/IND/01142</t>
        </is>
      </c>
      <c r="N1113" s="30" t="n">
        <v>46077</v>
      </c>
    </row>
    <row r="1114">
      <c r="A1114" s="28" t="n">
        <v>1113</v>
      </c>
      <c r="B1114" s="1" t="inlineStr">
        <is>
          <t>BRYAN GARRETT</t>
        </is>
      </c>
      <c r="C1114" s="30" t="n">
        <v>45913</v>
      </c>
      <c r="D1114" s="1" t="inlineStr">
        <is>
          <t>GARYTOWN</t>
        </is>
      </c>
      <c r="E1114" s="12" t="inlineStr">
        <is>
          <t>IND/MEL/01113</t>
        </is>
      </c>
      <c r="F1114" s="1" t="inlineStr">
        <is>
          <t>F</t>
        </is>
      </c>
      <c r="G1114" s="1" t="inlineStr">
        <is>
          <t>Justin Nicholson</t>
        </is>
      </c>
      <c r="H1114" s="1" t="inlineStr">
        <is>
          <t>Kristin Turner</t>
        </is>
      </c>
      <c r="I1114" s="30" t="n">
        <v>46065</v>
      </c>
      <c r="J1114" s="1" t="inlineStr">
        <is>
          <t>29433 Wright Wall Apt. 874</t>
        </is>
      </c>
      <c r="K1114" s="1" t="inlineStr">
        <is>
          <t>Suite 888</t>
        </is>
      </c>
      <c r="L1114" s="1" t="inlineStr">
        <is>
          <t>PIN:55344 PORT JENNIFERBURY</t>
        </is>
      </c>
      <c r="M1114" s="2" t="inlineStr">
        <is>
          <t>MHA/IND/01143</t>
        </is>
      </c>
      <c r="N1114" s="30" t="n">
        <v>46082</v>
      </c>
    </row>
    <row r="1115">
      <c r="A1115" s="28" t="n">
        <v>1114</v>
      </c>
      <c r="B1115" s="1" t="inlineStr">
        <is>
          <t>TONY CABRERA</t>
        </is>
      </c>
      <c r="C1115" s="30" t="n">
        <v>45913</v>
      </c>
      <c r="D1115" s="1" t="inlineStr">
        <is>
          <t>GARYTOWN</t>
        </is>
      </c>
      <c r="E1115" s="12" t="inlineStr">
        <is>
          <t>IND/MEL/01114</t>
        </is>
      </c>
      <c r="F1115" s="1" t="inlineStr">
        <is>
          <t>F</t>
        </is>
      </c>
      <c r="G1115" s="1" t="inlineStr">
        <is>
          <t>Justin Nicholson</t>
        </is>
      </c>
      <c r="H1115" s="1" t="inlineStr">
        <is>
          <t>Kristin Turner</t>
        </is>
      </c>
      <c r="I1115" s="30" t="n">
        <v>46065</v>
      </c>
      <c r="J1115" s="1" t="inlineStr">
        <is>
          <t>29433 Wright Wall Apt. 874</t>
        </is>
      </c>
      <c r="K1115" s="1" t="inlineStr">
        <is>
          <t>Suite 888</t>
        </is>
      </c>
      <c r="L1115" s="1" t="inlineStr">
        <is>
          <t>PIN:55344 PORT JENNIFERBURY</t>
        </is>
      </c>
      <c r="M1115" s="2" t="inlineStr">
        <is>
          <t>MHA/IND/01143</t>
        </is>
      </c>
      <c r="N1115" s="30" t="n">
        <v>46069</v>
      </c>
    </row>
    <row r="1116">
      <c r="A1116" s="28" t="n">
        <v>1115</v>
      </c>
      <c r="B1116" s="1" t="inlineStr">
        <is>
          <t>DEVIN BAILEY</t>
        </is>
      </c>
      <c r="C1116" s="30" t="n">
        <v>45703</v>
      </c>
      <c r="D1116" s="1" t="inlineStr">
        <is>
          <t>KRISTENSHIRE</t>
        </is>
      </c>
      <c r="E1116" s="12" t="inlineStr">
        <is>
          <t>IND/MEL/01115</t>
        </is>
      </c>
      <c r="F1116" s="1" t="inlineStr">
        <is>
          <t>F</t>
        </is>
      </c>
      <c r="G1116" s="1" t="inlineStr">
        <is>
          <t>David Yu</t>
        </is>
      </c>
      <c r="H1116" s="1" t="inlineStr">
        <is>
          <t>Jennifer Murphy</t>
        </is>
      </c>
      <c r="I1116" s="30" t="n">
        <v>46065</v>
      </c>
      <c r="J1116" s="1" t="inlineStr">
        <is>
          <t>02308 Ruiz Squares Apt. 083</t>
        </is>
      </c>
      <c r="K1116" s="1" t="inlineStr">
        <is>
          <t>Apt. 225</t>
        </is>
      </c>
      <c r="L1116" s="1" t="inlineStr">
        <is>
          <t>PIN:74968 POOLEFORT</t>
        </is>
      </c>
      <c r="M1116" s="2" t="inlineStr">
        <is>
          <t>MHA/IND/01144</t>
        </is>
      </c>
      <c r="N1116" s="30" t="n">
        <v>46088</v>
      </c>
    </row>
    <row r="1117">
      <c r="A1117" s="28" t="n">
        <v>1116</v>
      </c>
      <c r="B1117" s="1" t="inlineStr">
        <is>
          <t>CHRISTINA SMITH</t>
        </is>
      </c>
      <c r="C1117" s="30" t="n">
        <v>45703</v>
      </c>
      <c r="D1117" s="1" t="inlineStr">
        <is>
          <t>KRISTENSHIRE</t>
        </is>
      </c>
      <c r="E1117" s="12" t="inlineStr">
        <is>
          <t>IND/MEL/01116</t>
        </is>
      </c>
      <c r="F1117" s="1" t="inlineStr">
        <is>
          <t>F</t>
        </is>
      </c>
      <c r="G1117" s="1" t="inlineStr">
        <is>
          <t>David Yu</t>
        </is>
      </c>
      <c r="H1117" s="1" t="inlineStr">
        <is>
          <t>Jennifer Murphy</t>
        </is>
      </c>
      <c r="I1117" s="30" t="n">
        <v>46065</v>
      </c>
      <c r="J1117" s="1" t="inlineStr">
        <is>
          <t>02308 Ruiz Squares Apt. 083</t>
        </is>
      </c>
      <c r="K1117" s="1" t="inlineStr">
        <is>
          <t>Apt. 225</t>
        </is>
      </c>
      <c r="L1117" s="1" t="inlineStr">
        <is>
          <t>PIN:74968 POOLEFORT</t>
        </is>
      </c>
      <c r="M1117" s="2" t="inlineStr">
        <is>
          <t>MHA/IND/01144</t>
        </is>
      </c>
      <c r="N1117" s="30" t="n">
        <v>46081</v>
      </c>
    </row>
    <row r="1118">
      <c r="A1118" s="28" t="n">
        <v>1117</v>
      </c>
      <c r="B1118" s="1" t="inlineStr">
        <is>
          <t>ASHLEY HAWKINS</t>
        </is>
      </c>
      <c r="C1118" s="30" t="n">
        <v>45771</v>
      </c>
      <c r="D1118" s="1" t="inlineStr">
        <is>
          <t>NEW MELVINSIDE</t>
        </is>
      </c>
      <c r="E1118" s="12" t="inlineStr">
        <is>
          <t>IND/MEL/01117</t>
        </is>
      </c>
      <c r="F1118" s="1" t="inlineStr">
        <is>
          <t>M</t>
        </is>
      </c>
      <c r="G1118" s="1" t="inlineStr">
        <is>
          <t>Richard Hayes</t>
        </is>
      </c>
      <c r="H1118" s="1" t="inlineStr">
        <is>
          <t>Deborah Gray</t>
        </is>
      </c>
      <c r="I1118" s="30" t="n">
        <v>46065</v>
      </c>
      <c r="J1118" s="1" t="inlineStr">
        <is>
          <t>114 Ingram River Suite 450</t>
        </is>
      </c>
      <c r="K1118" s="1" t="inlineStr">
        <is>
          <t>Suite 572</t>
        </is>
      </c>
      <c r="L1118" s="1" t="inlineStr">
        <is>
          <t>PIN:58440 ALEXISBERG</t>
        </is>
      </c>
      <c r="M1118" s="2" t="inlineStr">
        <is>
          <t>MHA/IND/01145</t>
        </is>
      </c>
      <c r="N1118" s="30" t="n">
        <v>46079</v>
      </c>
    </row>
    <row r="1119">
      <c r="A1119" s="28" t="n">
        <v>1118</v>
      </c>
      <c r="B1119" s="1" t="inlineStr">
        <is>
          <t>KIMBERLY HORTON</t>
        </is>
      </c>
      <c r="C1119" s="30" t="n">
        <v>45771</v>
      </c>
      <c r="D1119" s="1" t="inlineStr">
        <is>
          <t>NEW MELVINSIDE</t>
        </is>
      </c>
      <c r="E1119" s="12" t="inlineStr">
        <is>
          <t>IND/MEL/01118</t>
        </is>
      </c>
      <c r="F1119" s="1" t="inlineStr">
        <is>
          <t>M</t>
        </is>
      </c>
      <c r="G1119" s="1" t="inlineStr">
        <is>
          <t>Richard Hayes</t>
        </is>
      </c>
      <c r="H1119" s="1" t="inlineStr">
        <is>
          <t>Deborah Gray</t>
        </is>
      </c>
      <c r="I1119" s="30" t="n">
        <v>46065</v>
      </c>
      <c r="J1119" s="1" t="inlineStr">
        <is>
          <t>114 Ingram River Suite 450</t>
        </is>
      </c>
      <c r="K1119" s="1" t="inlineStr">
        <is>
          <t>Suite 572</t>
        </is>
      </c>
      <c r="L1119" s="1" t="inlineStr">
        <is>
          <t>PIN:58440 ALEXISBERG</t>
        </is>
      </c>
      <c r="M1119" s="2" t="inlineStr">
        <is>
          <t>MHA/IND/01145</t>
        </is>
      </c>
      <c r="N1119" s="30" t="n">
        <v>46073</v>
      </c>
    </row>
    <row r="1120">
      <c r="A1120" s="28" t="n">
        <v>1119</v>
      </c>
      <c r="B1120" s="1" t="inlineStr">
        <is>
          <t>ROBERT REYES</t>
        </is>
      </c>
      <c r="C1120" s="30" t="n">
        <v>45997</v>
      </c>
      <c r="D1120" s="1" t="inlineStr">
        <is>
          <t>PORT THOMASBURY</t>
        </is>
      </c>
      <c r="E1120" s="12" t="inlineStr">
        <is>
          <t>IND/MEL/01119</t>
        </is>
      </c>
      <c r="F1120" s="1" t="inlineStr">
        <is>
          <t>M</t>
        </is>
      </c>
      <c r="G1120" s="1" t="inlineStr">
        <is>
          <t>Jared Evans</t>
        </is>
      </c>
      <c r="H1120" s="1" t="inlineStr">
        <is>
          <t>Jennifer Medina</t>
        </is>
      </c>
      <c r="I1120" s="30" t="n">
        <v>46065</v>
      </c>
      <c r="J1120" s="1" t="inlineStr">
        <is>
          <t>7768 Anderson Drive</t>
        </is>
      </c>
      <c r="K1120" s="1" t="inlineStr">
        <is>
          <t>Apt. 811</t>
        </is>
      </c>
      <c r="L1120" s="1" t="inlineStr">
        <is>
          <t>PIN:36158 CODYSIDE</t>
        </is>
      </c>
      <c r="M1120" s="2" t="inlineStr">
        <is>
          <t>MHA/IND/01146</t>
        </is>
      </c>
      <c r="N1120" s="30" t="n">
        <v>46071</v>
      </c>
    </row>
    <row r="1121">
      <c r="A1121" s="28" t="n">
        <v>1120</v>
      </c>
      <c r="B1121" s="1" t="inlineStr">
        <is>
          <t>ROBERT COOKE</t>
        </is>
      </c>
      <c r="C1121" s="30" t="n">
        <v>45997</v>
      </c>
      <c r="D1121" s="1" t="inlineStr">
        <is>
          <t>PORT THOMASBURY</t>
        </is>
      </c>
      <c r="E1121" s="12" t="inlineStr">
        <is>
          <t>IND/MEL/01120</t>
        </is>
      </c>
      <c r="F1121" s="1" t="inlineStr">
        <is>
          <t>M</t>
        </is>
      </c>
      <c r="G1121" s="1" t="inlineStr">
        <is>
          <t>Jared Evans</t>
        </is>
      </c>
      <c r="H1121" s="1" t="inlineStr">
        <is>
          <t>Jennifer Medina</t>
        </is>
      </c>
      <c r="I1121" s="30" t="n">
        <v>46065</v>
      </c>
      <c r="J1121" s="1" t="inlineStr">
        <is>
          <t>7768 Anderson Drive</t>
        </is>
      </c>
      <c r="K1121" s="1" t="inlineStr">
        <is>
          <t>Apt. 811</t>
        </is>
      </c>
      <c r="L1121" s="1" t="inlineStr">
        <is>
          <t>PIN:36158 CODYSIDE</t>
        </is>
      </c>
      <c r="M1121" s="2" t="inlineStr">
        <is>
          <t>MHA/IND/01146</t>
        </is>
      </c>
      <c r="N1121" s="30" t="n">
        <v>46085</v>
      </c>
    </row>
    <row r="1122">
      <c r="A1122" s="28" t="n">
        <v>1121</v>
      </c>
      <c r="B1122" s="1" t="inlineStr">
        <is>
          <t>JOSEPH MOSES</t>
        </is>
      </c>
      <c r="C1122" s="30" t="n">
        <v>46051</v>
      </c>
      <c r="D1122" s="1" t="inlineStr">
        <is>
          <t>JEFFERSONBERG</t>
        </is>
      </c>
      <c r="E1122" s="12" t="inlineStr">
        <is>
          <t>IND/MEL/01121</t>
        </is>
      </c>
      <c r="F1122" s="1" t="inlineStr">
        <is>
          <t>M</t>
        </is>
      </c>
      <c r="G1122" s="1" t="inlineStr">
        <is>
          <t>Mr. Cory Matthews</t>
        </is>
      </c>
      <c r="H1122" s="1" t="inlineStr">
        <is>
          <t>Judy Scott</t>
        </is>
      </c>
      <c r="I1122" s="30" t="n">
        <v>46065</v>
      </c>
      <c r="J1122" s="1" t="inlineStr">
        <is>
          <t>54256 Rhonda Fall</t>
        </is>
      </c>
      <c r="K1122" s="1" t="inlineStr">
        <is>
          <t>Suite 778</t>
        </is>
      </c>
      <c r="L1122" s="1" t="inlineStr">
        <is>
          <t>PIN:24510 CRYSTALFORT</t>
        </is>
      </c>
      <c r="M1122" s="2" t="inlineStr">
        <is>
          <t>MHA/IND/01147</t>
        </is>
      </c>
      <c r="N1122" s="30" t="n">
        <v>46094</v>
      </c>
    </row>
    <row r="1123">
      <c r="A1123" s="28" t="n">
        <v>1122</v>
      </c>
      <c r="B1123" s="1" t="inlineStr">
        <is>
          <t>MARY POOLE</t>
        </is>
      </c>
      <c r="C1123" s="30" t="n">
        <v>46051</v>
      </c>
      <c r="D1123" s="1" t="inlineStr">
        <is>
          <t>JEFFERSONBERG</t>
        </is>
      </c>
      <c r="E1123" s="12" t="inlineStr">
        <is>
          <t>IND/MEL/01122</t>
        </is>
      </c>
      <c r="F1123" s="1" t="inlineStr">
        <is>
          <t>M</t>
        </is>
      </c>
      <c r="G1123" s="1" t="inlineStr">
        <is>
          <t>Mr. Cory Matthews</t>
        </is>
      </c>
      <c r="H1123" s="1" t="inlineStr">
        <is>
          <t>Judy Scott</t>
        </is>
      </c>
      <c r="I1123" s="30" t="n">
        <v>46065</v>
      </c>
      <c r="J1123" s="1" t="inlineStr">
        <is>
          <t>54256 Rhonda Fall</t>
        </is>
      </c>
      <c r="K1123" s="1" t="inlineStr">
        <is>
          <t>Suite 778</t>
        </is>
      </c>
      <c r="L1123" s="1" t="inlineStr">
        <is>
          <t>PIN:24510 CRYSTALFORT</t>
        </is>
      </c>
      <c r="M1123" s="2" t="inlineStr">
        <is>
          <t>MHA/IND/01147</t>
        </is>
      </c>
      <c r="N1123" s="30" t="n">
        <v>46087</v>
      </c>
    </row>
    <row r="1124">
      <c r="A1124" s="28" t="n">
        <v>1123</v>
      </c>
      <c r="B1124" s="1" t="inlineStr">
        <is>
          <t>ANNE JOHNSON</t>
        </is>
      </c>
      <c r="C1124" s="30" t="n">
        <v>45800</v>
      </c>
      <c r="D1124" s="1" t="inlineStr">
        <is>
          <t>SOUTH SARA</t>
        </is>
      </c>
      <c r="E1124" s="12" t="inlineStr">
        <is>
          <t>IND/MEL/01123</t>
        </is>
      </c>
      <c r="F1124" s="1" t="inlineStr">
        <is>
          <t>F</t>
        </is>
      </c>
      <c r="G1124" s="1" t="inlineStr">
        <is>
          <t>Ralph Wu</t>
        </is>
      </c>
      <c r="H1124" s="1" t="inlineStr">
        <is>
          <t>Chelsea Hines</t>
        </is>
      </c>
      <c r="I1124" s="30" t="n">
        <v>46065</v>
      </c>
      <c r="J1124" s="1" t="inlineStr">
        <is>
          <t>817 Nancy Road Apt. 634</t>
        </is>
      </c>
      <c r="K1124" s="1" t="inlineStr">
        <is>
          <t>Apt. 641</t>
        </is>
      </c>
      <c r="L1124" s="1" t="inlineStr">
        <is>
          <t>PIN:24479 NEW RYANFORT</t>
        </is>
      </c>
      <c r="M1124" s="2" t="inlineStr">
        <is>
          <t>MHA/IND/01148</t>
        </is>
      </c>
      <c r="N1124" s="30" t="n">
        <v>46077</v>
      </c>
    </row>
    <row r="1125">
      <c r="A1125" s="28" t="n">
        <v>1124</v>
      </c>
      <c r="B1125" s="1" t="inlineStr">
        <is>
          <t>FREDERICK BROWN</t>
        </is>
      </c>
      <c r="C1125" s="30" t="n">
        <v>45800</v>
      </c>
      <c r="D1125" s="1" t="inlineStr">
        <is>
          <t>SOUTH SARA</t>
        </is>
      </c>
      <c r="E1125" s="12" t="inlineStr">
        <is>
          <t>IND/MEL/01124</t>
        </is>
      </c>
      <c r="F1125" s="1" t="inlineStr">
        <is>
          <t>F</t>
        </is>
      </c>
      <c r="G1125" s="1" t="inlineStr">
        <is>
          <t>Ralph Wu</t>
        </is>
      </c>
      <c r="H1125" s="1" t="inlineStr">
        <is>
          <t>Chelsea Hines</t>
        </is>
      </c>
      <c r="I1125" s="30" t="n">
        <v>46065</v>
      </c>
      <c r="J1125" s="1" t="inlineStr">
        <is>
          <t>817 Nancy Road Apt. 634</t>
        </is>
      </c>
      <c r="K1125" s="1" t="inlineStr">
        <is>
          <t>Apt. 641</t>
        </is>
      </c>
      <c r="L1125" s="1" t="inlineStr">
        <is>
          <t>PIN:24479 NEW RYANFORT</t>
        </is>
      </c>
      <c r="M1125" s="2" t="inlineStr">
        <is>
          <t>MHA/IND/01148</t>
        </is>
      </c>
      <c r="N1125" s="30" t="n">
        <v>46084</v>
      </c>
    </row>
    <row r="1126">
      <c r="A1126" s="28" t="n">
        <v>1125</v>
      </c>
      <c r="B1126" s="1" t="inlineStr">
        <is>
          <t>SANDRA ANDERSON</t>
        </is>
      </c>
      <c r="C1126" s="30" t="n">
        <v>45751</v>
      </c>
      <c r="D1126" s="1" t="inlineStr">
        <is>
          <t>HALEFURT</t>
        </is>
      </c>
      <c r="E1126" s="12" t="inlineStr">
        <is>
          <t>IND/MEL/01125</t>
        </is>
      </c>
      <c r="F1126" s="1" t="inlineStr">
        <is>
          <t>M</t>
        </is>
      </c>
      <c r="G1126" s="1" t="inlineStr">
        <is>
          <t>Sean Martinez</t>
        </is>
      </c>
      <c r="H1126" s="1" t="inlineStr">
        <is>
          <t>Jacqueline Snyder</t>
        </is>
      </c>
      <c r="I1126" s="30" t="n">
        <v>46065</v>
      </c>
      <c r="J1126" s="1" t="inlineStr">
        <is>
          <t>0375 Gerald Ferry Apt. 387</t>
        </is>
      </c>
      <c r="K1126" s="1" t="inlineStr">
        <is>
          <t>Apt. 644</t>
        </is>
      </c>
      <c r="L1126" s="1" t="inlineStr">
        <is>
          <t>PIN:71066 NORTH STEPHENFURT</t>
        </is>
      </c>
      <c r="M1126" s="2" t="inlineStr">
        <is>
          <t>MHA/IND/01149</t>
        </is>
      </c>
      <c r="N1126" s="30" t="n">
        <v>46078</v>
      </c>
    </row>
    <row r="1127">
      <c r="A1127" s="28" t="n">
        <v>1126</v>
      </c>
      <c r="B1127" s="1" t="inlineStr">
        <is>
          <t>ANGELA GUTIERREZ</t>
        </is>
      </c>
      <c r="C1127" s="30" t="n">
        <v>45751</v>
      </c>
      <c r="D1127" s="1" t="inlineStr">
        <is>
          <t>HALEFURT</t>
        </is>
      </c>
      <c r="E1127" s="12" t="inlineStr">
        <is>
          <t>IND/MEL/01126</t>
        </is>
      </c>
      <c r="F1127" s="1" t="inlineStr">
        <is>
          <t>M</t>
        </is>
      </c>
      <c r="G1127" s="1" t="inlineStr">
        <is>
          <t>Sean Martinez</t>
        </is>
      </c>
      <c r="H1127" s="1" t="inlineStr">
        <is>
          <t>Jacqueline Snyder</t>
        </is>
      </c>
      <c r="I1127" s="30" t="n">
        <v>46065</v>
      </c>
      <c r="J1127" s="1" t="inlineStr">
        <is>
          <t>0375 Gerald Ferry Apt. 387</t>
        </is>
      </c>
      <c r="K1127" s="1" t="inlineStr">
        <is>
          <t>Apt. 644</t>
        </is>
      </c>
      <c r="L1127" s="1" t="inlineStr">
        <is>
          <t>PIN:71066 NORTH STEPHENFURT</t>
        </is>
      </c>
      <c r="M1127" s="2" t="inlineStr">
        <is>
          <t>MHA/IND/01149</t>
        </is>
      </c>
      <c r="N1127" s="30" t="n">
        <v>46083</v>
      </c>
    </row>
    <row r="1128">
      <c r="A1128" s="28" t="n">
        <v>1127</v>
      </c>
      <c r="B1128" s="1" t="inlineStr">
        <is>
          <t>CRAIG MARTIN</t>
        </is>
      </c>
      <c r="C1128" s="30" t="n">
        <v>45795</v>
      </c>
      <c r="D1128" s="1" t="inlineStr">
        <is>
          <t>EAST STEVENLAND</t>
        </is>
      </c>
      <c r="E1128" s="12" t="inlineStr">
        <is>
          <t>IND/MEL/01127</t>
        </is>
      </c>
      <c r="F1128" s="1" t="inlineStr">
        <is>
          <t>F</t>
        </is>
      </c>
      <c r="G1128" s="1" t="inlineStr">
        <is>
          <t>Todd Garcia</t>
        </is>
      </c>
      <c r="H1128" s="1" t="inlineStr">
        <is>
          <t>Ruth Foley</t>
        </is>
      </c>
      <c r="I1128" s="30" t="n">
        <v>46065</v>
      </c>
      <c r="J1128" s="1" t="inlineStr">
        <is>
          <t>35061 Stephen Forges</t>
        </is>
      </c>
      <c r="K1128" s="1" t="inlineStr">
        <is>
          <t>Suite 349</t>
        </is>
      </c>
      <c r="L1128" s="1" t="inlineStr">
        <is>
          <t>PIN:94897 BALLTON</t>
        </is>
      </c>
      <c r="M1128" s="2" t="inlineStr">
        <is>
          <t>MHA/IND/01150</t>
        </is>
      </c>
      <c r="N1128" s="30" t="n">
        <v>46071</v>
      </c>
    </row>
    <row r="1129">
      <c r="A1129" s="28" t="n">
        <v>1128</v>
      </c>
      <c r="B1129" s="1" t="inlineStr">
        <is>
          <t>RACHEL CARTER</t>
        </is>
      </c>
      <c r="C1129" s="30" t="n">
        <v>45795</v>
      </c>
      <c r="D1129" s="1" t="inlineStr">
        <is>
          <t>EAST STEVENLAND</t>
        </is>
      </c>
      <c r="E1129" s="12" t="inlineStr">
        <is>
          <t>IND/MEL/01128</t>
        </is>
      </c>
      <c r="F1129" s="1" t="inlineStr">
        <is>
          <t>F</t>
        </is>
      </c>
      <c r="G1129" s="1" t="inlineStr">
        <is>
          <t>Todd Garcia</t>
        </is>
      </c>
      <c r="H1129" s="1" t="inlineStr">
        <is>
          <t>Ruth Foley</t>
        </is>
      </c>
      <c r="I1129" s="30" t="n">
        <v>46065</v>
      </c>
      <c r="J1129" s="1" t="inlineStr">
        <is>
          <t>35061 Stephen Forges</t>
        </is>
      </c>
      <c r="K1129" s="1" t="inlineStr">
        <is>
          <t>Suite 349</t>
        </is>
      </c>
      <c r="L1129" s="1" t="inlineStr">
        <is>
          <t>PIN:94897 BALLTON</t>
        </is>
      </c>
      <c r="M1129" s="2" t="inlineStr">
        <is>
          <t>MHA/IND/01150</t>
        </is>
      </c>
      <c r="N1129" s="30" t="n">
        <v>46079</v>
      </c>
    </row>
    <row r="1130">
      <c r="A1130" s="28" t="n">
        <v>1129</v>
      </c>
      <c r="B1130" s="1" t="inlineStr">
        <is>
          <t>JACK SMITH</t>
        </is>
      </c>
      <c r="C1130" s="30" t="n">
        <v>45904</v>
      </c>
      <c r="D1130" s="1" t="inlineStr">
        <is>
          <t>HARRISMOUTH</t>
        </is>
      </c>
      <c r="E1130" s="12" t="inlineStr">
        <is>
          <t>IND/MEL/01129</t>
        </is>
      </c>
      <c r="F1130" s="1" t="inlineStr">
        <is>
          <t>M</t>
        </is>
      </c>
      <c r="G1130" s="1" t="inlineStr">
        <is>
          <t>Jesse Baldwin</t>
        </is>
      </c>
      <c r="H1130" s="1" t="inlineStr">
        <is>
          <t>Anne Garcia</t>
        </is>
      </c>
      <c r="I1130" s="30" t="n">
        <v>46065</v>
      </c>
      <c r="J1130" s="1" t="inlineStr">
        <is>
          <t>6844 Dominguez Plains</t>
        </is>
      </c>
      <c r="K1130" s="1" t="inlineStr">
        <is>
          <t>Suite 378</t>
        </is>
      </c>
      <c r="L1130" s="1" t="inlineStr">
        <is>
          <t>PIN:72340 TINACHESTER</t>
        </is>
      </c>
      <c r="M1130" s="2" t="inlineStr">
        <is>
          <t>MHA/IND/01151</t>
        </is>
      </c>
      <c r="N1130" s="30" t="n">
        <v>46079</v>
      </c>
    </row>
    <row r="1131">
      <c r="A1131" s="28" t="n">
        <v>1130</v>
      </c>
      <c r="B1131" s="1" t="inlineStr">
        <is>
          <t>TINA LEWIS</t>
        </is>
      </c>
      <c r="C1131" s="30" t="n">
        <v>45904</v>
      </c>
      <c r="D1131" s="1" t="inlineStr">
        <is>
          <t>HARRISMOUTH</t>
        </is>
      </c>
      <c r="E1131" s="12" t="inlineStr">
        <is>
          <t>IND/MEL/01130</t>
        </is>
      </c>
      <c r="F1131" s="1" t="inlineStr">
        <is>
          <t>M</t>
        </is>
      </c>
      <c r="G1131" s="1" t="inlineStr">
        <is>
          <t>Jesse Baldwin</t>
        </is>
      </c>
      <c r="H1131" s="1" t="inlineStr">
        <is>
          <t>Anne Garcia</t>
        </is>
      </c>
      <c r="I1131" s="30" t="n">
        <v>46065</v>
      </c>
      <c r="J1131" s="1" t="inlineStr">
        <is>
          <t>6844 Dominguez Plains</t>
        </is>
      </c>
      <c r="K1131" s="1" t="inlineStr">
        <is>
          <t>Suite 378</t>
        </is>
      </c>
      <c r="L1131" s="1" t="inlineStr">
        <is>
          <t>PIN:72340 TINACHESTER</t>
        </is>
      </c>
      <c r="M1131" s="2" t="inlineStr">
        <is>
          <t>MHA/IND/01151</t>
        </is>
      </c>
      <c r="N1131" s="30" t="n">
        <v>46067</v>
      </c>
    </row>
    <row r="1132">
      <c r="A1132" s="28" t="n">
        <v>1131</v>
      </c>
      <c r="B1132" s="1" t="inlineStr">
        <is>
          <t>MARY DAVIES</t>
        </is>
      </c>
      <c r="C1132" s="30" t="n">
        <v>46033</v>
      </c>
      <c r="D1132" s="1" t="inlineStr">
        <is>
          <t>PORT STACEY</t>
        </is>
      </c>
      <c r="E1132" s="12" t="inlineStr">
        <is>
          <t>IND/MEL/01131</t>
        </is>
      </c>
      <c r="F1132" s="1" t="inlineStr">
        <is>
          <t>F</t>
        </is>
      </c>
      <c r="G1132" s="1" t="inlineStr">
        <is>
          <t>Samuel Sanchez</t>
        </is>
      </c>
      <c r="H1132" s="1" t="inlineStr">
        <is>
          <t>Margaret Thompson</t>
        </is>
      </c>
      <c r="I1132" s="30" t="n">
        <v>46065</v>
      </c>
      <c r="J1132" s="1" t="inlineStr">
        <is>
          <t>704 Harris Keys Apt. 873</t>
        </is>
      </c>
      <c r="K1132" s="1" t="inlineStr">
        <is>
          <t>Suite 121</t>
        </is>
      </c>
      <c r="L1132" s="1" t="inlineStr">
        <is>
          <t>PIN:14500 WEST SANDRA</t>
        </is>
      </c>
      <c r="M1132" s="2" t="inlineStr">
        <is>
          <t>MHA/IND/01152</t>
        </is>
      </c>
      <c r="N1132" s="30" t="n">
        <v>46077</v>
      </c>
    </row>
    <row r="1133">
      <c r="A1133" s="28" t="n">
        <v>1132</v>
      </c>
      <c r="B1133" s="1" t="inlineStr">
        <is>
          <t>TINA WILSON</t>
        </is>
      </c>
      <c r="C1133" s="30" t="n">
        <v>46033</v>
      </c>
      <c r="D1133" s="1" t="inlineStr">
        <is>
          <t>PORT STACEY</t>
        </is>
      </c>
      <c r="E1133" s="12" t="inlineStr">
        <is>
          <t>IND/MEL/01132</t>
        </is>
      </c>
      <c r="F1133" s="1" t="inlineStr">
        <is>
          <t>F</t>
        </is>
      </c>
      <c r="G1133" s="1" t="inlineStr">
        <is>
          <t>Samuel Sanchez</t>
        </is>
      </c>
      <c r="H1133" s="1" t="inlineStr">
        <is>
          <t>Margaret Thompson</t>
        </is>
      </c>
      <c r="I1133" s="30" t="n">
        <v>46065</v>
      </c>
      <c r="J1133" s="1" t="inlineStr">
        <is>
          <t>704 Harris Keys Apt. 873</t>
        </is>
      </c>
      <c r="K1133" s="1" t="inlineStr">
        <is>
          <t>Suite 121</t>
        </is>
      </c>
      <c r="L1133" s="1" t="inlineStr">
        <is>
          <t>PIN:14500 WEST SANDRA</t>
        </is>
      </c>
      <c r="M1133" s="2" t="inlineStr">
        <is>
          <t>MHA/IND/01152</t>
        </is>
      </c>
      <c r="N1133" s="30" t="n">
        <v>46083</v>
      </c>
    </row>
    <row r="1134">
      <c r="A1134" s="28" t="n">
        <v>1133</v>
      </c>
      <c r="B1134" s="1" t="inlineStr">
        <is>
          <t>MATTHEW MAXWELL</t>
        </is>
      </c>
      <c r="C1134" s="30" t="n">
        <v>45801</v>
      </c>
      <c r="D1134" s="1" t="inlineStr">
        <is>
          <t>LAKE JUDYPORT</t>
        </is>
      </c>
      <c r="E1134" s="12" t="inlineStr">
        <is>
          <t>IND/MEL/01133</t>
        </is>
      </c>
      <c r="F1134" s="1" t="inlineStr">
        <is>
          <t>M</t>
        </is>
      </c>
      <c r="G1134" s="1" t="inlineStr">
        <is>
          <t>Christopher Adams</t>
        </is>
      </c>
      <c r="H1134" s="1" t="inlineStr">
        <is>
          <t>Anna Sullivan</t>
        </is>
      </c>
      <c r="I1134" s="30" t="n">
        <v>46065</v>
      </c>
      <c r="J1134" s="1" t="inlineStr">
        <is>
          <t>51551 Nathan Drive</t>
        </is>
      </c>
      <c r="K1134" s="1" t="inlineStr">
        <is>
          <t>Apt. 102</t>
        </is>
      </c>
      <c r="L1134" s="1" t="inlineStr">
        <is>
          <t>PIN:99274 HOWARDMOUTH</t>
        </is>
      </c>
      <c r="M1134" s="2" t="inlineStr">
        <is>
          <t>MHA/IND/01153</t>
        </is>
      </c>
      <c r="N1134" s="30" t="n">
        <v>46084</v>
      </c>
    </row>
    <row r="1135">
      <c r="A1135" s="28" t="n">
        <v>1134</v>
      </c>
      <c r="B1135" s="1" t="inlineStr">
        <is>
          <t>SHEILA CERVANTES</t>
        </is>
      </c>
      <c r="C1135" s="30" t="n">
        <v>45801</v>
      </c>
      <c r="D1135" s="1" t="inlineStr">
        <is>
          <t>LAKE JUDYPORT</t>
        </is>
      </c>
      <c r="E1135" s="12" t="inlineStr">
        <is>
          <t>IND/MEL/01134</t>
        </is>
      </c>
      <c r="F1135" s="1" t="inlineStr">
        <is>
          <t>M</t>
        </is>
      </c>
      <c r="G1135" s="1" t="inlineStr">
        <is>
          <t>Christopher Adams</t>
        </is>
      </c>
      <c r="H1135" s="1" t="inlineStr">
        <is>
          <t>Anna Sullivan</t>
        </is>
      </c>
      <c r="I1135" s="30" t="n">
        <v>46065</v>
      </c>
      <c r="J1135" s="1" t="inlineStr">
        <is>
          <t>51551 Nathan Drive</t>
        </is>
      </c>
      <c r="K1135" s="1" t="inlineStr">
        <is>
          <t>Apt. 102</t>
        </is>
      </c>
      <c r="L1135" s="1" t="inlineStr">
        <is>
          <t>PIN:99274 HOWARDMOUTH</t>
        </is>
      </c>
      <c r="M1135" s="2" t="inlineStr">
        <is>
          <t>MHA/IND/01153</t>
        </is>
      </c>
      <c r="N1135" s="30" t="n">
        <v>46088</v>
      </c>
    </row>
    <row r="1136">
      <c r="A1136" s="28" t="n">
        <v>1135</v>
      </c>
      <c r="B1136" s="1" t="inlineStr">
        <is>
          <t>JOSEPH TAYLOR</t>
        </is>
      </c>
      <c r="C1136" s="30" t="n">
        <v>45991</v>
      </c>
      <c r="D1136" s="1" t="inlineStr">
        <is>
          <t>LAKE HEATHER</t>
        </is>
      </c>
      <c r="E1136" s="12" t="inlineStr">
        <is>
          <t>IND/MEL/01135</t>
        </is>
      </c>
      <c r="F1136" s="1" t="inlineStr">
        <is>
          <t>F</t>
        </is>
      </c>
      <c r="G1136" s="1" t="inlineStr">
        <is>
          <t>Kevin Wade</t>
        </is>
      </c>
      <c r="H1136" s="1" t="inlineStr">
        <is>
          <t>Megan Soto</t>
        </is>
      </c>
      <c r="I1136" s="30" t="n">
        <v>46065</v>
      </c>
      <c r="J1136" s="1" t="inlineStr">
        <is>
          <t>0481 Ethan Junction</t>
        </is>
      </c>
      <c r="K1136" s="1" t="inlineStr">
        <is>
          <t>Apt. 901</t>
        </is>
      </c>
      <c r="L1136" s="1" t="inlineStr">
        <is>
          <t>PIN:73433 NEW JANET</t>
        </is>
      </c>
      <c r="M1136" s="2" t="inlineStr">
        <is>
          <t>MHA/IND/01154</t>
        </is>
      </c>
      <c r="N1136" s="30" t="n">
        <v>46089</v>
      </c>
    </row>
    <row r="1137">
      <c r="A1137" s="28" t="n">
        <v>1136</v>
      </c>
      <c r="B1137" s="1" t="inlineStr">
        <is>
          <t>CHRISTOPHER MURPHY</t>
        </is>
      </c>
      <c r="C1137" s="30" t="n">
        <v>45991</v>
      </c>
      <c r="D1137" s="1" t="inlineStr">
        <is>
          <t>LAKE HEATHER</t>
        </is>
      </c>
      <c r="E1137" s="12" t="inlineStr">
        <is>
          <t>IND/MEL/01136</t>
        </is>
      </c>
      <c r="F1137" s="1" t="inlineStr">
        <is>
          <t>F</t>
        </is>
      </c>
      <c r="G1137" s="1" t="inlineStr">
        <is>
          <t>Kevin Wade</t>
        </is>
      </c>
      <c r="H1137" s="1" t="inlineStr">
        <is>
          <t>Megan Soto</t>
        </is>
      </c>
      <c r="I1137" s="30" t="n">
        <v>46065</v>
      </c>
      <c r="J1137" s="1" t="inlineStr">
        <is>
          <t>0481 Ethan Junction</t>
        </is>
      </c>
      <c r="K1137" s="1" t="inlineStr">
        <is>
          <t>Apt. 901</t>
        </is>
      </c>
      <c r="L1137" s="1" t="inlineStr">
        <is>
          <t>PIN:73433 NEW JANET</t>
        </is>
      </c>
      <c r="M1137" s="2" t="inlineStr">
        <is>
          <t>MHA/IND/01154</t>
        </is>
      </c>
      <c r="N1137" s="30" t="n">
        <v>46069</v>
      </c>
    </row>
    <row r="1138">
      <c r="A1138" s="28" t="n">
        <v>1137</v>
      </c>
      <c r="B1138" s="1" t="inlineStr">
        <is>
          <t>EMILY VAZQUEZ</t>
        </is>
      </c>
      <c r="C1138" s="30" t="n">
        <v>45802</v>
      </c>
      <c r="D1138" s="1" t="inlineStr">
        <is>
          <t>LAKE DIANA</t>
        </is>
      </c>
      <c r="E1138" s="12" t="inlineStr">
        <is>
          <t>IND/MEL/01137</t>
        </is>
      </c>
      <c r="F1138" s="1" t="inlineStr">
        <is>
          <t>F</t>
        </is>
      </c>
      <c r="G1138" s="1" t="inlineStr">
        <is>
          <t>Steven Manning</t>
        </is>
      </c>
      <c r="H1138" s="1" t="inlineStr">
        <is>
          <t>Jennifer Grant</t>
        </is>
      </c>
      <c r="I1138" s="30" t="n">
        <v>46065</v>
      </c>
      <c r="J1138" s="1" t="inlineStr">
        <is>
          <t>9954 Jenkins Lodge</t>
        </is>
      </c>
      <c r="K1138" s="1" t="inlineStr">
        <is>
          <t>Suite 171</t>
        </is>
      </c>
      <c r="L1138" s="1" t="inlineStr">
        <is>
          <t>PIN:55435 WEST CHARLES</t>
        </is>
      </c>
      <c r="M1138" s="2" t="inlineStr">
        <is>
          <t>MHA/IND/01155</t>
        </is>
      </c>
      <c r="N1138" s="30" t="n">
        <v>46092</v>
      </c>
    </row>
    <row r="1139">
      <c r="A1139" s="28" t="n">
        <v>1138</v>
      </c>
      <c r="B1139" s="1" t="inlineStr">
        <is>
          <t>DOUGLAS CALDERON</t>
        </is>
      </c>
      <c r="C1139" s="30" t="n">
        <v>45891</v>
      </c>
      <c r="D1139" s="1" t="inlineStr">
        <is>
          <t>EAST ALLISON</t>
        </is>
      </c>
      <c r="E1139" s="12" t="inlineStr">
        <is>
          <t>IND/MEL/01138</t>
        </is>
      </c>
      <c r="F1139" s="1" t="inlineStr">
        <is>
          <t>F</t>
        </is>
      </c>
      <c r="G1139" s="1" t="inlineStr">
        <is>
          <t>Aaron Pierce</t>
        </is>
      </c>
      <c r="H1139" s="1" t="inlineStr">
        <is>
          <t>Julie Keller</t>
        </is>
      </c>
      <c r="I1139" s="30" t="n">
        <v>46065</v>
      </c>
      <c r="J1139" s="1" t="inlineStr">
        <is>
          <t>463 Bryant Expressway Suite 544</t>
        </is>
      </c>
      <c r="K1139" s="1" t="inlineStr">
        <is>
          <t>Suite 940</t>
        </is>
      </c>
      <c r="L1139" s="1" t="inlineStr">
        <is>
          <t>PIN:30578 NEW BRITTANYFORT</t>
        </is>
      </c>
      <c r="M1139" s="2" t="inlineStr">
        <is>
          <t>MHA/IND/01156</t>
        </is>
      </c>
      <c r="N1139" s="30" t="n">
        <v>46077</v>
      </c>
    </row>
    <row r="1140">
      <c r="A1140" s="28" t="n">
        <v>1139</v>
      </c>
      <c r="B1140" s="1" t="inlineStr">
        <is>
          <t>MARCUS ROSE</t>
        </is>
      </c>
      <c r="C1140" s="30" t="n">
        <v>45967</v>
      </c>
      <c r="D1140" s="1" t="inlineStr">
        <is>
          <t>LAKE KELLY</t>
        </is>
      </c>
      <c r="E1140" s="12" t="inlineStr">
        <is>
          <t>IND/MEL/01139</t>
        </is>
      </c>
      <c r="F1140" s="1" t="inlineStr">
        <is>
          <t>F</t>
        </is>
      </c>
      <c r="G1140" s="1" t="inlineStr">
        <is>
          <t>Tony White</t>
        </is>
      </c>
      <c r="H1140" s="1" t="inlineStr">
        <is>
          <t>Kim Holloway</t>
        </is>
      </c>
      <c r="I1140" s="30" t="n">
        <v>46065</v>
      </c>
      <c r="J1140" s="1" t="inlineStr">
        <is>
          <t>2000 Stark Groves</t>
        </is>
      </c>
      <c r="K1140" s="1" t="inlineStr">
        <is>
          <t>Suite 888</t>
        </is>
      </c>
      <c r="L1140" s="1" t="inlineStr">
        <is>
          <t>PIN:79279 SOUTH BRENDA</t>
        </is>
      </c>
      <c r="M1140" s="2" t="inlineStr">
        <is>
          <t>MHA/IND/01157</t>
        </is>
      </c>
      <c r="N1140" s="30" t="n">
        <v>46066</v>
      </c>
    </row>
    <row r="1141">
      <c r="A1141" s="28" t="n">
        <v>1140</v>
      </c>
      <c r="B1141" s="1" t="inlineStr">
        <is>
          <t>STEVEN CASTILLO</t>
        </is>
      </c>
      <c r="C1141" s="30" t="n">
        <v>45928</v>
      </c>
      <c r="D1141" s="1" t="inlineStr">
        <is>
          <t>WEST SCOTTBOROUGH</t>
        </is>
      </c>
      <c r="E1141" s="12" t="inlineStr">
        <is>
          <t>IND/MEL/01140</t>
        </is>
      </c>
      <c r="F1141" s="1" t="inlineStr">
        <is>
          <t>F</t>
        </is>
      </c>
      <c r="G1141" s="1" t="inlineStr">
        <is>
          <t>Chad Adams</t>
        </is>
      </c>
      <c r="H1141" s="1" t="inlineStr">
        <is>
          <t>Monica White</t>
        </is>
      </c>
      <c r="I1141" s="30" t="n">
        <v>46065</v>
      </c>
      <c r="J1141" s="1" t="inlineStr">
        <is>
          <t>32152 Sanders Green</t>
        </is>
      </c>
      <c r="K1141" s="1" t="inlineStr">
        <is>
          <t>Suite 299</t>
        </is>
      </c>
      <c r="L1141" s="1" t="inlineStr">
        <is>
          <t>PIN:99829 DAVISCHESTER</t>
        </is>
      </c>
      <c r="M1141" s="2" t="inlineStr">
        <is>
          <t>MHA/IND/01158</t>
        </is>
      </c>
      <c r="N1141" s="30" t="n">
        <v>46078</v>
      </c>
    </row>
    <row r="1142">
      <c r="A1142" s="28" t="n">
        <v>1141</v>
      </c>
      <c r="B1142" s="1" t="inlineStr">
        <is>
          <t>ROBIN KING</t>
        </is>
      </c>
      <c r="C1142" s="30" t="n">
        <v>45800</v>
      </c>
      <c r="D1142" s="1" t="inlineStr">
        <is>
          <t>LAKE ANNETOWN</t>
        </is>
      </c>
      <c r="E1142" s="12" t="inlineStr">
        <is>
          <t>IND/MEL/01141</t>
        </is>
      </c>
      <c r="F1142" s="1" t="inlineStr">
        <is>
          <t>F</t>
        </is>
      </c>
      <c r="G1142" s="1" t="inlineStr">
        <is>
          <t>Robert Rodgers</t>
        </is>
      </c>
      <c r="H1142" s="1" t="inlineStr">
        <is>
          <t>Melissa Rogers</t>
        </is>
      </c>
      <c r="I1142" s="30" t="n">
        <v>46065</v>
      </c>
      <c r="J1142" s="1" t="inlineStr">
        <is>
          <t>33570 Sarah Lake Apt. 748</t>
        </is>
      </c>
      <c r="K1142" s="1" t="inlineStr">
        <is>
          <t>Suite 327</t>
        </is>
      </c>
      <c r="L1142" s="1" t="inlineStr">
        <is>
          <t>PIN:70772 CHRISTINAMOUTH</t>
        </is>
      </c>
      <c r="M1142" s="2" t="inlineStr">
        <is>
          <t>MHA/IND/01159</t>
        </is>
      </c>
      <c r="N1142" s="30" t="n">
        <v>46081</v>
      </c>
    </row>
    <row r="1143">
      <c r="A1143" s="28" t="n">
        <v>1142</v>
      </c>
      <c r="B1143" s="1" t="inlineStr">
        <is>
          <t>JUSTIN AVERY</t>
        </is>
      </c>
      <c r="C1143" s="30" t="n">
        <v>45880</v>
      </c>
      <c r="D1143" s="1" t="inlineStr">
        <is>
          <t>REBECCAMOUTH</t>
        </is>
      </c>
      <c r="E1143" s="12" t="inlineStr">
        <is>
          <t>IND/MEL/01142</t>
        </is>
      </c>
      <c r="F1143" s="1" t="inlineStr">
        <is>
          <t>M</t>
        </is>
      </c>
      <c r="G1143" s="1" t="inlineStr">
        <is>
          <t>Brian Bryant</t>
        </is>
      </c>
      <c r="H1143" s="1" t="inlineStr">
        <is>
          <t>Janet Taylor</t>
        </is>
      </c>
      <c r="I1143" s="30" t="n">
        <v>46065</v>
      </c>
      <c r="J1143" s="1" t="inlineStr">
        <is>
          <t>32811 Taylor Pass</t>
        </is>
      </c>
      <c r="K1143" s="1" t="inlineStr">
        <is>
          <t>Suite 179</t>
        </is>
      </c>
      <c r="L1143" s="1" t="inlineStr">
        <is>
          <t>PIN:52458 NEW SAMUEL</t>
        </is>
      </c>
      <c r="M1143" s="2" t="inlineStr">
        <is>
          <t>MHA/IND/01160</t>
        </is>
      </c>
      <c r="N1143" s="30" t="n">
        <v>46082</v>
      </c>
    </row>
    <row r="1144">
      <c r="A1144" s="28" t="n">
        <v>1143</v>
      </c>
      <c r="B1144" s="1" t="inlineStr">
        <is>
          <t>SANDRA HENDRICKS</t>
        </is>
      </c>
      <c r="C1144" s="30" t="n">
        <v>45994</v>
      </c>
      <c r="D1144" s="1" t="inlineStr">
        <is>
          <t>COLLINSMOUTH</t>
        </is>
      </c>
      <c r="E1144" s="12" t="inlineStr">
        <is>
          <t>IND/MEL/01143</t>
        </is>
      </c>
      <c r="F1144" s="1" t="inlineStr">
        <is>
          <t>M</t>
        </is>
      </c>
      <c r="G1144" s="1" t="inlineStr">
        <is>
          <t>Brandon Rodriguez</t>
        </is>
      </c>
      <c r="H1144" s="1" t="inlineStr">
        <is>
          <t>Julie Wiggins PhD</t>
        </is>
      </c>
      <c r="I1144" s="30" t="n">
        <v>46065</v>
      </c>
      <c r="J1144" s="1" t="inlineStr">
        <is>
          <t>625 Shane Valley Apt. 318</t>
        </is>
      </c>
      <c r="K1144" s="1" t="inlineStr">
        <is>
          <t>Suite 217</t>
        </is>
      </c>
      <c r="L1144" s="1" t="inlineStr">
        <is>
          <t>PIN:09976 JONATHANBURGH</t>
        </is>
      </c>
      <c r="M1144" s="2" t="inlineStr">
        <is>
          <t>MHA/IND/01161</t>
        </is>
      </c>
      <c r="N1144" s="30" t="n">
        <v>46088</v>
      </c>
    </row>
    <row r="1145">
      <c r="A1145" s="28" t="n">
        <v>1144</v>
      </c>
      <c r="B1145" s="1" t="inlineStr">
        <is>
          <t>CHRISTY COLEMAN</t>
        </is>
      </c>
      <c r="C1145" s="30" t="n">
        <v>45906</v>
      </c>
      <c r="D1145" s="1" t="inlineStr">
        <is>
          <t>NEW MARISSA</t>
        </is>
      </c>
      <c r="E1145" s="12" t="inlineStr">
        <is>
          <t>IND/MEL/01144</t>
        </is>
      </c>
      <c r="F1145" s="1" t="inlineStr">
        <is>
          <t>F</t>
        </is>
      </c>
      <c r="G1145" s="1" t="inlineStr">
        <is>
          <t>Jermaine Camacho</t>
        </is>
      </c>
      <c r="H1145" s="1" t="inlineStr">
        <is>
          <t>Morgan Clark</t>
        </is>
      </c>
      <c r="I1145" s="30" t="n">
        <v>46065</v>
      </c>
      <c r="J1145" s="1" t="inlineStr">
        <is>
          <t>9035 John Cliffs Apt. 539</t>
        </is>
      </c>
      <c r="K1145" s="1" t="inlineStr">
        <is>
          <t>Suite 000</t>
        </is>
      </c>
      <c r="L1145" s="1" t="inlineStr">
        <is>
          <t>PIN:83992 LAKE GLORIA</t>
        </is>
      </c>
      <c r="M1145" s="2" t="inlineStr">
        <is>
          <t>MHA/IND/01162</t>
        </is>
      </c>
      <c r="N1145" s="30" t="n">
        <v>46076</v>
      </c>
    </row>
    <row r="1146">
      <c r="A1146" s="28" t="n">
        <v>1145</v>
      </c>
      <c r="B1146" s="1" t="inlineStr">
        <is>
          <t>DEREK JOHNSON</t>
        </is>
      </c>
      <c r="C1146" s="30" t="n">
        <v>45952</v>
      </c>
      <c r="D1146" s="1" t="inlineStr">
        <is>
          <t>PORT RENEE</t>
        </is>
      </c>
      <c r="E1146" s="12" t="inlineStr">
        <is>
          <t>IND/MEL/01145</t>
        </is>
      </c>
      <c r="F1146" s="1" t="inlineStr">
        <is>
          <t>M</t>
        </is>
      </c>
      <c r="G1146" s="1" t="inlineStr">
        <is>
          <t>Joseph Greer</t>
        </is>
      </c>
      <c r="H1146" s="1" t="inlineStr">
        <is>
          <t>Rebecca Hicks</t>
        </is>
      </c>
      <c r="I1146" s="30" t="n">
        <v>46065</v>
      </c>
      <c r="J1146" s="1" t="inlineStr">
        <is>
          <t>74365 White Hill Suite 651</t>
        </is>
      </c>
      <c r="K1146" s="1" t="inlineStr">
        <is>
          <t>Apt. 023</t>
        </is>
      </c>
      <c r="L1146" s="1" t="inlineStr">
        <is>
          <t>PIN:32582 PORT ANNETTE</t>
        </is>
      </c>
      <c r="M1146" s="2" t="inlineStr">
        <is>
          <t>MHA/IND/01163</t>
        </is>
      </c>
      <c r="N1146" s="30" t="n">
        <v>46071</v>
      </c>
    </row>
    <row r="1147">
      <c r="A1147" s="28" t="n">
        <v>1146</v>
      </c>
      <c r="B1147" s="1" t="inlineStr">
        <is>
          <t>KENT ADKINS</t>
        </is>
      </c>
      <c r="C1147" s="30" t="n">
        <v>45752</v>
      </c>
      <c r="D1147" s="1" t="inlineStr">
        <is>
          <t>PORT MIRANDA</t>
        </is>
      </c>
      <c r="E1147" s="12" t="inlineStr">
        <is>
          <t>IND/MEL/01146</t>
        </is>
      </c>
      <c r="F1147" s="1" t="inlineStr">
        <is>
          <t>M</t>
        </is>
      </c>
      <c r="G1147" s="1" t="inlineStr">
        <is>
          <t>Matthew Mejia</t>
        </is>
      </c>
      <c r="H1147" s="1" t="inlineStr">
        <is>
          <t>Denise Sullivan</t>
        </is>
      </c>
      <c r="I1147" s="30" t="n">
        <v>46065</v>
      </c>
      <c r="J1147" s="1" t="inlineStr">
        <is>
          <t>07672 Wilson Field</t>
        </is>
      </c>
      <c r="K1147" s="1" t="inlineStr">
        <is>
          <t>Suite 663</t>
        </is>
      </c>
      <c r="L1147" s="1" t="inlineStr">
        <is>
          <t>PIN:26413 POWELLSTAD</t>
        </is>
      </c>
      <c r="M1147" s="2" t="inlineStr">
        <is>
          <t>MHA/IND/01164</t>
        </is>
      </c>
      <c r="N1147" s="30" t="n">
        <v>46068</v>
      </c>
    </row>
    <row r="1148">
      <c r="A1148" s="28" t="n">
        <v>1147</v>
      </c>
      <c r="B1148" s="1" t="inlineStr">
        <is>
          <t>KEVIN ELLIS</t>
        </is>
      </c>
      <c r="C1148" s="30" t="n">
        <v>46001</v>
      </c>
      <c r="D1148" s="1" t="inlineStr">
        <is>
          <t>DAVIDFURT</t>
        </is>
      </c>
      <c r="E1148" s="12" t="inlineStr">
        <is>
          <t>IND/MEL/01147</t>
        </is>
      </c>
      <c r="F1148" s="1" t="inlineStr">
        <is>
          <t>M</t>
        </is>
      </c>
      <c r="G1148" s="1" t="inlineStr">
        <is>
          <t>Kevin Williams</t>
        </is>
      </c>
      <c r="H1148" s="1" t="inlineStr">
        <is>
          <t>Victoria Payne</t>
        </is>
      </c>
      <c r="I1148" s="30" t="n">
        <v>46065</v>
      </c>
      <c r="J1148" s="1" t="inlineStr">
        <is>
          <t>664 Harrington Flats Apt. 645</t>
        </is>
      </c>
      <c r="K1148" s="1" t="inlineStr">
        <is>
          <t>Suite 987</t>
        </is>
      </c>
      <c r="L1148" s="1" t="inlineStr">
        <is>
          <t>PIN:00603 PORT JAMES</t>
        </is>
      </c>
      <c r="M1148" s="2" t="inlineStr">
        <is>
          <t>MHA/IND/01165</t>
        </is>
      </c>
      <c r="N1148" s="30" t="n">
        <v>46087</v>
      </c>
    </row>
    <row r="1149">
      <c r="A1149" s="28" t="n">
        <v>1148</v>
      </c>
      <c r="B1149" s="1" t="inlineStr">
        <is>
          <t>VALERIE PETERSEN</t>
        </is>
      </c>
      <c r="C1149" s="30" t="n">
        <v>45755</v>
      </c>
      <c r="D1149" s="1" t="inlineStr">
        <is>
          <t>CLAUDIALAND</t>
        </is>
      </c>
      <c r="E1149" s="12" t="inlineStr">
        <is>
          <t>IND/MEL/01148</t>
        </is>
      </c>
      <c r="F1149" s="1" t="inlineStr">
        <is>
          <t>F</t>
        </is>
      </c>
      <c r="G1149" s="1" t="inlineStr">
        <is>
          <t>Garrett Valdez</t>
        </is>
      </c>
      <c r="H1149" s="1" t="inlineStr">
        <is>
          <t>Michele Raymond</t>
        </is>
      </c>
      <c r="I1149" s="30" t="n">
        <v>46065</v>
      </c>
      <c r="J1149" s="1" t="inlineStr">
        <is>
          <t>461 Kevin Motorway Suite 480</t>
        </is>
      </c>
      <c r="K1149" s="1" t="inlineStr">
        <is>
          <t>Suite 226</t>
        </is>
      </c>
      <c r="L1149" s="1" t="inlineStr">
        <is>
          <t>PIN:30979 PORT BRIAN</t>
        </is>
      </c>
      <c r="M1149" s="2" t="inlineStr">
        <is>
          <t>MHA/IND/01166</t>
        </is>
      </c>
      <c r="N1149" s="30" t="n">
        <v>46089</v>
      </c>
    </row>
    <row r="1150">
      <c r="A1150" s="28" t="n">
        <v>1149</v>
      </c>
      <c r="B1150" s="1" t="inlineStr">
        <is>
          <t>GEORGE WILLIAMS</t>
        </is>
      </c>
      <c r="C1150" s="30" t="n">
        <v>45747</v>
      </c>
      <c r="D1150" s="1" t="inlineStr">
        <is>
          <t>EAST SARAHMOUTH</t>
        </is>
      </c>
      <c r="E1150" s="12" t="inlineStr">
        <is>
          <t>IND/MEL/01149</t>
        </is>
      </c>
      <c r="F1150" s="1" t="inlineStr">
        <is>
          <t>F</t>
        </is>
      </c>
      <c r="G1150" s="1" t="inlineStr">
        <is>
          <t>Joshua Hall</t>
        </is>
      </c>
      <c r="H1150" s="1" t="inlineStr">
        <is>
          <t>Sarah Mitchell</t>
        </is>
      </c>
      <c r="I1150" s="30" t="n">
        <v>46065</v>
      </c>
      <c r="J1150" s="1" t="inlineStr">
        <is>
          <t>84152 Jennifer Knoll</t>
        </is>
      </c>
      <c r="K1150" s="1" t="inlineStr">
        <is>
          <t>Suite 361</t>
        </is>
      </c>
      <c r="L1150" s="1" t="inlineStr">
        <is>
          <t>PIN:07234 SOUTH MATTHEW</t>
        </is>
      </c>
      <c r="M1150" s="2" t="inlineStr">
        <is>
          <t>MHA/IND/01167</t>
        </is>
      </c>
      <c r="N1150" s="30" t="n">
        <v>46094</v>
      </c>
    </row>
    <row r="1151">
      <c r="A1151" s="28" t="n">
        <v>1150</v>
      </c>
      <c r="B1151" s="1" t="inlineStr">
        <is>
          <t>MARY HOLMES</t>
        </is>
      </c>
      <c r="C1151" s="30" t="n">
        <v>45726</v>
      </c>
      <c r="D1151" s="1" t="inlineStr">
        <is>
          <t>EMILYBURGH</t>
        </is>
      </c>
      <c r="E1151" s="12" t="inlineStr">
        <is>
          <t>IND/MEL/01150</t>
        </is>
      </c>
      <c r="F1151" s="1" t="inlineStr">
        <is>
          <t>F</t>
        </is>
      </c>
      <c r="G1151" s="1" t="inlineStr">
        <is>
          <t>Michael Davidson</t>
        </is>
      </c>
      <c r="H1151" s="1" t="inlineStr">
        <is>
          <t>Jessica Macias</t>
        </is>
      </c>
      <c r="I1151" s="30" t="n">
        <v>46065</v>
      </c>
      <c r="J1151" s="1" t="inlineStr">
        <is>
          <t>85321 Carmen Lock Apt. 781</t>
        </is>
      </c>
      <c r="K1151" s="1" t="inlineStr">
        <is>
          <t>Apt. 982</t>
        </is>
      </c>
      <c r="L1151" s="1" t="inlineStr">
        <is>
          <t>PIN:65492 PORT LISA</t>
        </is>
      </c>
      <c r="M1151" s="2" t="inlineStr">
        <is>
          <t>MHA/IND/01168</t>
        </is>
      </c>
      <c r="N1151" s="30" t="n">
        <v>46093</v>
      </c>
    </row>
    <row r="1152">
      <c r="A1152" s="28" t="n">
        <v>1151</v>
      </c>
      <c r="B1152" s="1" t="inlineStr">
        <is>
          <t>SETH HILL III</t>
        </is>
      </c>
      <c r="C1152" s="30" t="n">
        <v>45712</v>
      </c>
      <c r="D1152" s="1" t="inlineStr">
        <is>
          <t>LUISVILLE</t>
        </is>
      </c>
      <c r="E1152" s="12" t="inlineStr">
        <is>
          <t>IND/MEL/01151</t>
        </is>
      </c>
      <c r="F1152" s="1" t="inlineStr">
        <is>
          <t>M</t>
        </is>
      </c>
      <c r="G1152" s="1" t="inlineStr">
        <is>
          <t>Ronald Young</t>
        </is>
      </c>
      <c r="H1152" s="1" t="inlineStr">
        <is>
          <t>Misty Orozco</t>
        </is>
      </c>
      <c r="I1152" s="30" t="n">
        <v>46065</v>
      </c>
      <c r="J1152" s="1" t="inlineStr">
        <is>
          <t>7361 Torres Lake Suite 301</t>
        </is>
      </c>
      <c r="K1152" s="1" t="inlineStr">
        <is>
          <t>Suite 528</t>
        </is>
      </c>
      <c r="L1152" s="1" t="inlineStr">
        <is>
          <t>PIN:53381 LAKE CLAYTON</t>
        </is>
      </c>
      <c r="M1152" s="2" t="inlineStr">
        <is>
          <t>MHA/IND/01169</t>
        </is>
      </c>
      <c r="N1152" s="30" t="n">
        <v>46079</v>
      </c>
    </row>
    <row r="1153">
      <c r="A1153" s="28" t="n">
        <v>1152</v>
      </c>
      <c r="B1153" s="1" t="inlineStr">
        <is>
          <t>MARIA MARTINEZ</t>
        </is>
      </c>
      <c r="C1153" s="30" t="n">
        <v>45758</v>
      </c>
      <c r="D1153" s="1" t="inlineStr">
        <is>
          <t>NEW OLIVIATON</t>
        </is>
      </c>
      <c r="E1153" s="12" t="inlineStr">
        <is>
          <t>IND/MEL/01152</t>
        </is>
      </c>
      <c r="F1153" s="1" t="inlineStr">
        <is>
          <t>F</t>
        </is>
      </c>
      <c r="G1153" s="1" t="inlineStr">
        <is>
          <t>James Dickerson</t>
        </is>
      </c>
      <c r="H1153" s="1" t="inlineStr">
        <is>
          <t>Jill Moreno</t>
        </is>
      </c>
      <c r="I1153" s="30" t="n">
        <v>46065</v>
      </c>
      <c r="J1153" s="1" t="inlineStr">
        <is>
          <t>13410 Harris Extension Suite 173</t>
        </is>
      </c>
      <c r="K1153" s="1" t="inlineStr">
        <is>
          <t>Apt. 506</t>
        </is>
      </c>
      <c r="L1153" s="1" t="inlineStr">
        <is>
          <t>PIN:70355 EAST XAVIER</t>
        </is>
      </c>
      <c r="M1153" s="2" t="inlineStr">
        <is>
          <t>MHA/IND/01170</t>
        </is>
      </c>
      <c r="N1153" s="30" t="n">
        <v>46090</v>
      </c>
    </row>
    <row r="1154">
      <c r="A1154" s="28" t="n">
        <v>1153</v>
      </c>
      <c r="B1154" s="1" t="inlineStr">
        <is>
          <t>ANDREW FRENCH</t>
        </is>
      </c>
      <c r="C1154" s="30" t="n">
        <v>45864</v>
      </c>
      <c r="D1154" s="1" t="inlineStr">
        <is>
          <t>PORT HENRY</t>
        </is>
      </c>
      <c r="E1154" s="12" t="inlineStr">
        <is>
          <t>IND/MEL/01153</t>
        </is>
      </c>
      <c r="F1154" s="1" t="inlineStr">
        <is>
          <t>F</t>
        </is>
      </c>
      <c r="G1154" s="1" t="inlineStr">
        <is>
          <t>John Ortiz</t>
        </is>
      </c>
      <c r="H1154" s="1" t="inlineStr">
        <is>
          <t>Sandra Boyd</t>
        </is>
      </c>
      <c r="I1154" s="30" t="n">
        <v>46065</v>
      </c>
      <c r="J1154" s="1" t="inlineStr">
        <is>
          <t>34002 Reynolds Haven Apt. 947</t>
        </is>
      </c>
      <c r="K1154" s="1" t="inlineStr">
        <is>
          <t>Suite 018</t>
        </is>
      </c>
      <c r="L1154" s="1" t="inlineStr">
        <is>
          <t>PIN:08745 WEBSTERBERG</t>
        </is>
      </c>
      <c r="M1154" s="2" t="inlineStr">
        <is>
          <t>MHA/IND/01171</t>
        </is>
      </c>
      <c r="N1154" s="30" t="n">
        <v>46088</v>
      </c>
    </row>
    <row r="1155">
      <c r="A1155" s="28" t="n">
        <v>1154</v>
      </c>
      <c r="B1155" s="1" t="inlineStr">
        <is>
          <t>ELIZABETH TODD</t>
        </is>
      </c>
      <c r="C1155" s="30" t="n">
        <v>45955</v>
      </c>
      <c r="D1155" s="1" t="inlineStr">
        <is>
          <t>HILLVIEW</t>
        </is>
      </c>
      <c r="E1155" s="12" t="inlineStr">
        <is>
          <t>IND/MEL/01154</t>
        </is>
      </c>
      <c r="F1155" s="1" t="inlineStr">
        <is>
          <t>M</t>
        </is>
      </c>
      <c r="G1155" s="1" t="inlineStr">
        <is>
          <t>Samuel Hicks</t>
        </is>
      </c>
      <c r="H1155" s="1" t="inlineStr">
        <is>
          <t>Jamie Christensen</t>
        </is>
      </c>
      <c r="I1155" s="30" t="n">
        <v>46065</v>
      </c>
      <c r="J1155" s="1" t="inlineStr">
        <is>
          <t>86246 Velasquez Plaza</t>
        </is>
      </c>
      <c r="K1155" s="1" t="inlineStr">
        <is>
          <t>Suite 029</t>
        </is>
      </c>
      <c r="L1155" s="1" t="inlineStr">
        <is>
          <t>PIN:35176 STEPHENSIDE</t>
        </is>
      </c>
      <c r="M1155" s="2" t="inlineStr">
        <is>
          <t>MHA/IND/01172</t>
        </is>
      </c>
      <c r="N1155" s="30" t="n">
        <v>46068</v>
      </c>
    </row>
    <row r="1156">
      <c r="A1156" s="28" t="n">
        <v>1155</v>
      </c>
      <c r="B1156" s="1" t="inlineStr">
        <is>
          <t>JESSICA RAMSEY</t>
        </is>
      </c>
      <c r="C1156" s="30" t="n">
        <v>45989</v>
      </c>
      <c r="D1156" s="1" t="inlineStr">
        <is>
          <t>NEW SUSANSHIRE</t>
        </is>
      </c>
      <c r="E1156" s="12" t="inlineStr">
        <is>
          <t>IND/MEL/01155</t>
        </is>
      </c>
      <c r="F1156" s="1" t="inlineStr">
        <is>
          <t>M</t>
        </is>
      </c>
      <c r="G1156" s="1" t="inlineStr">
        <is>
          <t>Michael Smith</t>
        </is>
      </c>
      <c r="H1156" s="1" t="inlineStr">
        <is>
          <t>Kiara Clay</t>
        </is>
      </c>
      <c r="I1156" s="30" t="n">
        <v>46065</v>
      </c>
      <c r="J1156" s="1" t="inlineStr">
        <is>
          <t>423 Anthony Ford Suite 751</t>
        </is>
      </c>
      <c r="K1156" s="1" t="inlineStr">
        <is>
          <t>Apt. 139</t>
        </is>
      </c>
      <c r="L1156" s="1" t="inlineStr">
        <is>
          <t>PIN:26887 NORTH KAREN</t>
        </is>
      </c>
      <c r="M1156" s="2" t="inlineStr">
        <is>
          <t>MHA/IND/01173</t>
        </is>
      </c>
      <c r="N1156" s="30" t="n">
        <v>46071</v>
      </c>
    </row>
    <row r="1157">
      <c r="A1157" s="28" t="n">
        <v>1156</v>
      </c>
      <c r="B1157" s="1" t="inlineStr">
        <is>
          <t>LAUREN TORRES</t>
        </is>
      </c>
      <c r="C1157" s="30" t="n">
        <v>45875</v>
      </c>
      <c r="D1157" s="1" t="inlineStr">
        <is>
          <t>CHRISTOPHERBOROUGH</t>
        </is>
      </c>
      <c r="E1157" s="12" t="inlineStr">
        <is>
          <t>IND/MEL/01156</t>
        </is>
      </c>
      <c r="F1157" s="1" t="inlineStr">
        <is>
          <t>F</t>
        </is>
      </c>
      <c r="G1157" s="1" t="inlineStr">
        <is>
          <t>Matthew Taylor</t>
        </is>
      </c>
      <c r="H1157" s="1" t="inlineStr">
        <is>
          <t>Jacqueline Castillo</t>
        </is>
      </c>
      <c r="I1157" s="30" t="n">
        <v>46065</v>
      </c>
      <c r="J1157" s="1" t="inlineStr">
        <is>
          <t>87061 Ruiz Trafficway</t>
        </is>
      </c>
      <c r="K1157" s="1" t="inlineStr">
        <is>
          <t>Suite 058</t>
        </is>
      </c>
      <c r="L1157" s="1" t="inlineStr">
        <is>
          <t>PIN:81929 MARTINHAVEN</t>
        </is>
      </c>
      <c r="M1157" s="2" t="inlineStr">
        <is>
          <t>MHA/IND/01174</t>
        </is>
      </c>
      <c r="N1157" s="30" t="n">
        <v>46071</v>
      </c>
    </row>
    <row r="1158">
      <c r="A1158" s="28" t="n">
        <v>1157</v>
      </c>
      <c r="B1158" s="1" t="inlineStr">
        <is>
          <t>YVONNE KELLY</t>
        </is>
      </c>
      <c r="C1158" s="30" t="n">
        <v>45951</v>
      </c>
      <c r="D1158" s="1" t="inlineStr">
        <is>
          <t>NELSONBERG</t>
        </is>
      </c>
      <c r="E1158" s="12" t="inlineStr">
        <is>
          <t>IND/MEL/01157</t>
        </is>
      </c>
      <c r="F1158" s="1" t="inlineStr">
        <is>
          <t>F</t>
        </is>
      </c>
      <c r="G1158" s="1" t="inlineStr">
        <is>
          <t>Anthony Gonzalez</t>
        </is>
      </c>
      <c r="H1158" s="1" t="inlineStr">
        <is>
          <t>Paula Watts</t>
        </is>
      </c>
      <c r="I1158" s="30" t="n">
        <v>46065</v>
      </c>
      <c r="J1158" s="1" t="inlineStr">
        <is>
          <t>61726 Nicholas Hollow</t>
        </is>
      </c>
      <c r="K1158" s="1" t="inlineStr">
        <is>
          <t>Apt. 958</t>
        </is>
      </c>
      <c r="L1158" s="1" t="inlineStr">
        <is>
          <t>PIN:50936 NORTH STEPHENMOUTH</t>
        </is>
      </c>
      <c r="M1158" s="2" t="inlineStr">
        <is>
          <t>MHA/IND/01175</t>
        </is>
      </c>
      <c r="N1158" s="30" t="n">
        <v>46095</v>
      </c>
    </row>
    <row r="1159">
      <c r="A1159" s="28" t="n">
        <v>1158</v>
      </c>
      <c r="B1159" s="1" t="inlineStr">
        <is>
          <t>MICHELLE PADILLA</t>
        </is>
      </c>
      <c r="C1159" s="30" t="n">
        <v>45749</v>
      </c>
      <c r="D1159" s="1" t="inlineStr">
        <is>
          <t>PORT PAUL</t>
        </is>
      </c>
      <c r="E1159" s="12" t="inlineStr">
        <is>
          <t>IND/MEL/01158</t>
        </is>
      </c>
      <c r="F1159" s="1" t="inlineStr">
        <is>
          <t>F</t>
        </is>
      </c>
      <c r="G1159" s="1" t="inlineStr">
        <is>
          <t>Eric Wells</t>
        </is>
      </c>
      <c r="H1159" s="1" t="inlineStr">
        <is>
          <t>Carrie Ross</t>
        </is>
      </c>
      <c r="I1159" s="30" t="n">
        <v>46065</v>
      </c>
      <c r="J1159" s="1" t="inlineStr">
        <is>
          <t>65310 Deleon Stravenue</t>
        </is>
      </c>
      <c r="K1159" s="1" t="inlineStr">
        <is>
          <t>Suite 277</t>
        </is>
      </c>
      <c r="L1159" s="1" t="inlineStr">
        <is>
          <t>PIN:49488 GIBSONBOROUGH</t>
        </is>
      </c>
      <c r="M1159" s="2" t="inlineStr">
        <is>
          <t>MHA/IND/01176</t>
        </is>
      </c>
      <c r="N1159" s="30" t="n">
        <v>46069</v>
      </c>
    </row>
    <row r="1160">
      <c r="A1160" s="28" t="n">
        <v>1159</v>
      </c>
      <c r="B1160" s="1" t="inlineStr">
        <is>
          <t>MADISON WHITE</t>
        </is>
      </c>
      <c r="C1160" s="30" t="n">
        <v>45857</v>
      </c>
      <c r="D1160" s="1" t="inlineStr">
        <is>
          <t>TAMMYBOROUGH</t>
        </is>
      </c>
      <c r="E1160" s="12" t="inlineStr">
        <is>
          <t>IND/MEL/01159</t>
        </is>
      </c>
      <c r="F1160" s="1" t="inlineStr">
        <is>
          <t>F</t>
        </is>
      </c>
      <c r="G1160" s="1" t="inlineStr">
        <is>
          <t>Cristian Ball</t>
        </is>
      </c>
      <c r="H1160" s="1" t="inlineStr">
        <is>
          <t>Sandy Wells</t>
        </is>
      </c>
      <c r="I1160" s="30" t="n">
        <v>46065</v>
      </c>
      <c r="J1160" s="1" t="inlineStr">
        <is>
          <t>0558 Sarah Throughway</t>
        </is>
      </c>
      <c r="K1160" s="1" t="inlineStr">
        <is>
          <t>Suite 757</t>
        </is>
      </c>
      <c r="L1160" s="1" t="inlineStr">
        <is>
          <t>PIN:73655 ROBERTSSTAD</t>
        </is>
      </c>
      <c r="M1160" s="2" t="inlineStr">
        <is>
          <t>MHA/IND/01177</t>
        </is>
      </c>
      <c r="N1160" s="30" t="n">
        <v>46066</v>
      </c>
    </row>
    <row r="1161">
      <c r="A1161" s="28" t="n">
        <v>1160</v>
      </c>
      <c r="B1161" s="1" t="inlineStr">
        <is>
          <t>ERIK BELL</t>
        </is>
      </c>
      <c r="C1161" s="30" t="n">
        <v>46041</v>
      </c>
      <c r="D1161" s="1" t="inlineStr">
        <is>
          <t>NORTH PAULBURY</t>
        </is>
      </c>
      <c r="E1161" s="12" t="inlineStr">
        <is>
          <t>IND/MEL/01160</t>
        </is>
      </c>
      <c r="F1161" s="1" t="inlineStr">
        <is>
          <t>F</t>
        </is>
      </c>
      <c r="G1161" s="1" t="inlineStr">
        <is>
          <t>Jeffrey Johnson</t>
        </is>
      </c>
      <c r="H1161" s="1" t="inlineStr">
        <is>
          <t>Victoria Horton</t>
        </is>
      </c>
      <c r="I1161" s="30" t="n">
        <v>46065</v>
      </c>
      <c r="J1161" s="1" t="inlineStr">
        <is>
          <t>352 Nathaniel Vista Suite 101</t>
        </is>
      </c>
      <c r="K1161" s="1" t="inlineStr">
        <is>
          <t>Apt. 201</t>
        </is>
      </c>
      <c r="L1161" s="1" t="inlineStr">
        <is>
          <t>PIN:95198 WEST ANDREA</t>
        </is>
      </c>
      <c r="M1161" s="2" t="inlineStr">
        <is>
          <t>MHA/IND/01178</t>
        </is>
      </c>
      <c r="N1161" s="30" t="n">
        <v>46088</v>
      </c>
    </row>
    <row r="1162">
      <c r="A1162" s="28" t="n">
        <v>1161</v>
      </c>
      <c r="B1162" s="1" t="inlineStr">
        <is>
          <t>SETH ELLISON</t>
        </is>
      </c>
      <c r="C1162" s="30" t="n">
        <v>45889</v>
      </c>
      <c r="D1162" s="1" t="inlineStr">
        <is>
          <t>VAZQUEZMOUTH</t>
        </is>
      </c>
      <c r="E1162" s="12" t="inlineStr">
        <is>
          <t>IND/MEL/01161</t>
        </is>
      </c>
      <c r="F1162" s="1" t="inlineStr">
        <is>
          <t>M</t>
        </is>
      </c>
      <c r="G1162" s="1" t="inlineStr">
        <is>
          <t>Charles Mcgee</t>
        </is>
      </c>
      <c r="H1162" s="1" t="inlineStr">
        <is>
          <t>Kim Walker</t>
        </is>
      </c>
      <c r="I1162" s="30" t="n">
        <v>46065</v>
      </c>
      <c r="J1162" s="1" t="inlineStr">
        <is>
          <t>520 Chase Passage</t>
        </is>
      </c>
      <c r="K1162" s="1" t="inlineStr">
        <is>
          <t>Apt. 908</t>
        </is>
      </c>
      <c r="L1162" s="1" t="inlineStr">
        <is>
          <t>PIN:43033 FLYNNHAVEN</t>
        </is>
      </c>
      <c r="M1162" s="2" t="inlineStr">
        <is>
          <t>MHA/IND/01179</t>
        </is>
      </c>
      <c r="N1162" s="30" t="n">
        <v>46073</v>
      </c>
    </row>
    <row r="1163">
      <c r="A1163" s="28" t="n">
        <v>1162</v>
      </c>
      <c r="B1163" s="1" t="inlineStr">
        <is>
          <t>LAUREN SERRANO</t>
        </is>
      </c>
      <c r="C1163" s="30" t="n">
        <v>45992</v>
      </c>
      <c r="D1163" s="1" t="inlineStr">
        <is>
          <t>PORT ALLISON</t>
        </is>
      </c>
      <c r="E1163" s="12" t="inlineStr">
        <is>
          <t>IND/MEL/01162</t>
        </is>
      </c>
      <c r="F1163" s="1" t="inlineStr">
        <is>
          <t>F</t>
        </is>
      </c>
      <c r="G1163" s="1" t="inlineStr">
        <is>
          <t>Wyatt Alvarez</t>
        </is>
      </c>
      <c r="H1163" s="1" t="inlineStr">
        <is>
          <t>Anna Jones</t>
        </is>
      </c>
      <c r="I1163" s="30" t="n">
        <v>46065</v>
      </c>
      <c r="J1163" s="1" t="inlineStr">
        <is>
          <t>55468 Sherry Turnpike</t>
        </is>
      </c>
      <c r="K1163" s="1" t="inlineStr">
        <is>
          <t>Suite 882</t>
        </is>
      </c>
      <c r="L1163" s="1" t="inlineStr">
        <is>
          <t>PIN:51176 MARSHALLSTAD</t>
        </is>
      </c>
      <c r="M1163" s="2" t="inlineStr">
        <is>
          <t>MHA/IND/01180</t>
        </is>
      </c>
      <c r="N1163" s="30" t="n">
        <v>46094</v>
      </c>
    </row>
    <row r="1164">
      <c r="A1164" s="28" t="n">
        <v>1163</v>
      </c>
      <c r="B1164" s="1" t="inlineStr">
        <is>
          <t>DENNIS ANDERSON</t>
        </is>
      </c>
      <c r="C1164" s="30" t="n">
        <v>46055</v>
      </c>
      <c r="D1164" s="1" t="inlineStr">
        <is>
          <t>NORTH ASHLEY</t>
        </is>
      </c>
      <c r="E1164" s="12" t="inlineStr">
        <is>
          <t>IND/MEL/01163</t>
        </is>
      </c>
      <c r="F1164" s="1" t="inlineStr">
        <is>
          <t>F</t>
        </is>
      </c>
      <c r="G1164" s="1" t="inlineStr">
        <is>
          <t>Ryan Gutierrez</t>
        </is>
      </c>
      <c r="H1164" s="1" t="inlineStr">
        <is>
          <t>Amanda Collins</t>
        </is>
      </c>
      <c r="I1164" s="30" t="n">
        <v>46065</v>
      </c>
      <c r="J1164" s="1" t="inlineStr">
        <is>
          <t>7007 Hall Via</t>
        </is>
      </c>
      <c r="K1164" s="1" t="inlineStr">
        <is>
          <t>Apt. 407</t>
        </is>
      </c>
      <c r="L1164" s="1" t="inlineStr">
        <is>
          <t>PIN:86210 FARLEYVILLE</t>
        </is>
      </c>
      <c r="M1164" s="2" t="inlineStr">
        <is>
          <t>MHA/IND/01181</t>
        </is>
      </c>
      <c r="N1164" s="30" t="n">
        <v>46092</v>
      </c>
    </row>
    <row r="1165">
      <c r="A1165" s="28" t="n">
        <v>1164</v>
      </c>
      <c r="B1165" s="1" t="inlineStr">
        <is>
          <t>KEVIN ALLEN</t>
        </is>
      </c>
      <c r="C1165" s="30" t="n">
        <v>45798</v>
      </c>
      <c r="D1165" s="1" t="inlineStr">
        <is>
          <t>RIVERAVIEW</t>
        </is>
      </c>
      <c r="E1165" s="12" t="inlineStr">
        <is>
          <t>IND/MEL/01164</t>
        </is>
      </c>
      <c r="F1165" s="1" t="inlineStr">
        <is>
          <t>M</t>
        </is>
      </c>
      <c r="G1165" s="1" t="inlineStr">
        <is>
          <t>William Wilson</t>
        </is>
      </c>
      <c r="H1165" s="1" t="inlineStr">
        <is>
          <t>Amanda Atkins</t>
        </is>
      </c>
      <c r="I1165" s="30" t="n">
        <v>46065</v>
      </c>
      <c r="J1165" s="1" t="inlineStr">
        <is>
          <t>45119 Bowman Stream</t>
        </is>
      </c>
      <c r="K1165" s="1" t="inlineStr">
        <is>
          <t>Suite 641</t>
        </is>
      </c>
      <c r="L1165" s="1" t="inlineStr">
        <is>
          <t>PIN:26617 EAST DANIEL</t>
        </is>
      </c>
      <c r="M1165" s="2" t="inlineStr">
        <is>
          <t>MHA/IND/01182</t>
        </is>
      </c>
      <c r="N1165" s="30" t="n">
        <v>46072</v>
      </c>
    </row>
    <row r="1166">
      <c r="A1166" s="28" t="n">
        <v>1165</v>
      </c>
      <c r="B1166" s="1" t="inlineStr">
        <is>
          <t>BRIAN MAXWELL DVM</t>
        </is>
      </c>
      <c r="C1166" s="30" t="n">
        <v>45920</v>
      </c>
      <c r="D1166" s="1" t="inlineStr">
        <is>
          <t>WEST ROBERT</t>
        </is>
      </c>
      <c r="E1166" s="12" t="inlineStr">
        <is>
          <t>IND/MEL/01165</t>
        </is>
      </c>
      <c r="F1166" s="1" t="inlineStr">
        <is>
          <t>M</t>
        </is>
      </c>
      <c r="G1166" s="1" t="inlineStr">
        <is>
          <t>Leonard Mitchell</t>
        </is>
      </c>
      <c r="H1166" s="1" t="inlineStr">
        <is>
          <t>Rebecca Ruiz</t>
        </is>
      </c>
      <c r="I1166" s="30" t="n">
        <v>46065</v>
      </c>
      <c r="J1166" s="1" t="inlineStr">
        <is>
          <t>53228 Mathews Ramp Apt. 814</t>
        </is>
      </c>
      <c r="K1166" s="1" t="inlineStr">
        <is>
          <t>Apt. 670</t>
        </is>
      </c>
      <c r="L1166" s="1" t="inlineStr">
        <is>
          <t>PIN:94535 HILLPORT</t>
        </is>
      </c>
      <c r="M1166" s="2" t="inlineStr">
        <is>
          <t>MHA/IND/01183</t>
        </is>
      </c>
      <c r="N1166" s="30" t="n">
        <v>46074</v>
      </c>
    </row>
    <row r="1167">
      <c r="A1167" s="28" t="n">
        <v>1166</v>
      </c>
      <c r="B1167" s="1" t="inlineStr">
        <is>
          <t>CASSIE KING</t>
        </is>
      </c>
      <c r="C1167" s="30" t="n">
        <v>45862</v>
      </c>
      <c r="D1167" s="1" t="inlineStr">
        <is>
          <t>HEATHERMOUTH</t>
        </is>
      </c>
      <c r="E1167" s="12" t="inlineStr">
        <is>
          <t>IND/MEL/01166</t>
        </is>
      </c>
      <c r="F1167" s="1" t="inlineStr">
        <is>
          <t>F</t>
        </is>
      </c>
      <c r="G1167" s="1" t="inlineStr">
        <is>
          <t>Paul Cantrell</t>
        </is>
      </c>
      <c r="H1167" s="1" t="inlineStr">
        <is>
          <t>Brandi Cuevas</t>
        </is>
      </c>
      <c r="I1167" s="30" t="n">
        <v>46065</v>
      </c>
      <c r="J1167" s="1" t="inlineStr">
        <is>
          <t>43416 Jessica Ports</t>
        </is>
      </c>
      <c r="K1167" s="1" t="inlineStr">
        <is>
          <t>Suite 146</t>
        </is>
      </c>
      <c r="L1167" s="1" t="inlineStr">
        <is>
          <t>PIN:97917 SOUTH JESSE</t>
        </is>
      </c>
      <c r="M1167" s="2" t="inlineStr">
        <is>
          <t>MHA/IND/01184</t>
        </is>
      </c>
      <c r="N1167" s="30" t="n">
        <v>46068</v>
      </c>
    </row>
    <row r="1168">
      <c r="A1168" s="28" t="n">
        <v>1167</v>
      </c>
      <c r="B1168" s="1" t="inlineStr">
        <is>
          <t>WENDY MORGAN</t>
        </is>
      </c>
      <c r="C1168" s="30" t="n">
        <v>45937</v>
      </c>
      <c r="D1168" s="1" t="inlineStr">
        <is>
          <t>JOHNPORT</t>
        </is>
      </c>
      <c r="E1168" s="12" t="inlineStr">
        <is>
          <t>IND/MEL/01167</t>
        </is>
      </c>
      <c r="F1168" s="1" t="inlineStr">
        <is>
          <t>M</t>
        </is>
      </c>
      <c r="G1168" s="1" t="inlineStr">
        <is>
          <t>Keith Hawkins</t>
        </is>
      </c>
      <c r="H1168" s="1" t="inlineStr">
        <is>
          <t>Gina Johnston</t>
        </is>
      </c>
      <c r="I1168" s="30" t="n">
        <v>46065</v>
      </c>
      <c r="J1168" s="1" t="inlineStr">
        <is>
          <t>0607 John Pines</t>
        </is>
      </c>
      <c r="K1168" s="1" t="inlineStr">
        <is>
          <t>Apt. 438</t>
        </is>
      </c>
      <c r="L1168" s="1" t="inlineStr">
        <is>
          <t>PIN:54934 STEELETON</t>
        </is>
      </c>
      <c r="M1168" s="2" t="inlineStr">
        <is>
          <t>MHA/IND/01185</t>
        </is>
      </c>
      <c r="N1168" s="30" t="n">
        <v>46092</v>
      </c>
    </row>
    <row r="1169">
      <c r="A1169" s="28" t="n">
        <v>1168</v>
      </c>
      <c r="B1169" s="1" t="inlineStr">
        <is>
          <t>LORI THOMPSON</t>
        </is>
      </c>
      <c r="C1169" s="30" t="n">
        <v>46000</v>
      </c>
      <c r="D1169" s="1" t="inlineStr">
        <is>
          <t>SOUTH JULIAHAVEN</t>
        </is>
      </c>
      <c r="E1169" s="12" t="inlineStr">
        <is>
          <t>IND/MEL/01168</t>
        </is>
      </c>
      <c r="F1169" s="1" t="inlineStr">
        <is>
          <t>F</t>
        </is>
      </c>
      <c r="G1169" s="1" t="inlineStr">
        <is>
          <t>John David</t>
        </is>
      </c>
      <c r="H1169" s="1" t="inlineStr">
        <is>
          <t>Cheryl Gregory</t>
        </is>
      </c>
      <c r="I1169" s="30" t="n">
        <v>46065</v>
      </c>
      <c r="J1169" s="1" t="inlineStr">
        <is>
          <t>856 Ethan Green</t>
        </is>
      </c>
      <c r="K1169" s="1" t="inlineStr">
        <is>
          <t>Suite 117</t>
        </is>
      </c>
      <c r="L1169" s="1" t="inlineStr">
        <is>
          <t>PIN:92333 DOUGLASFURT</t>
        </is>
      </c>
      <c r="M1169" s="2" t="inlineStr">
        <is>
          <t>MHA/IND/01186</t>
        </is>
      </c>
      <c r="N1169" s="30" t="n">
        <v>46082</v>
      </c>
    </row>
    <row r="1170">
      <c r="A1170" s="28" t="n">
        <v>1169</v>
      </c>
      <c r="B1170" s="1" t="inlineStr">
        <is>
          <t>LARRY STEELE</t>
        </is>
      </c>
      <c r="C1170" s="30" t="n">
        <v>45907</v>
      </c>
      <c r="D1170" s="1" t="inlineStr">
        <is>
          <t>PORT KIMBERLY</t>
        </is>
      </c>
      <c r="E1170" s="12" t="inlineStr">
        <is>
          <t>IND/MEL/01169</t>
        </is>
      </c>
      <c r="F1170" s="1" t="inlineStr">
        <is>
          <t>F</t>
        </is>
      </c>
      <c r="G1170" s="1" t="inlineStr">
        <is>
          <t>John Mason</t>
        </is>
      </c>
      <c r="H1170" s="1" t="inlineStr">
        <is>
          <t>Ashley Smith</t>
        </is>
      </c>
      <c r="I1170" s="30" t="n">
        <v>46065</v>
      </c>
      <c r="J1170" s="1" t="inlineStr">
        <is>
          <t>85057 Walker Rest</t>
        </is>
      </c>
      <c r="K1170" s="1" t="inlineStr">
        <is>
          <t>Suite 162</t>
        </is>
      </c>
      <c r="L1170" s="1" t="inlineStr">
        <is>
          <t>PIN:19752 JOSHUAFURT</t>
        </is>
      </c>
      <c r="M1170" s="2" t="inlineStr">
        <is>
          <t>MHA/IND/01187</t>
        </is>
      </c>
      <c r="N1170" s="30" t="n">
        <v>46091</v>
      </c>
    </row>
    <row r="1171">
      <c r="A1171" s="28" t="n">
        <v>1170</v>
      </c>
      <c r="B1171" s="1" t="inlineStr">
        <is>
          <t>MIRANDA MILLER</t>
        </is>
      </c>
      <c r="C1171" s="30" t="n">
        <v>45800</v>
      </c>
      <c r="D1171" s="1" t="inlineStr">
        <is>
          <t>WASHINGTONMOUTH</t>
        </is>
      </c>
      <c r="E1171" s="12" t="inlineStr">
        <is>
          <t>IND/MEL/01170</t>
        </is>
      </c>
      <c r="F1171" s="1" t="inlineStr">
        <is>
          <t>M</t>
        </is>
      </c>
      <c r="G1171" s="1" t="inlineStr">
        <is>
          <t>Jesse Wallace</t>
        </is>
      </c>
      <c r="H1171" s="1" t="inlineStr">
        <is>
          <t>Heidi Duke</t>
        </is>
      </c>
      <c r="I1171" s="30" t="n">
        <v>46065</v>
      </c>
      <c r="J1171" s="1" t="inlineStr">
        <is>
          <t>49625 Daniel Tunnel Apt. 369</t>
        </is>
      </c>
      <c r="K1171" s="1" t="inlineStr">
        <is>
          <t>Apt. 766</t>
        </is>
      </c>
      <c r="L1171" s="1" t="inlineStr">
        <is>
          <t>PIN:21251 NORTH MICHAELBOROUGH</t>
        </is>
      </c>
      <c r="M1171" s="2" t="inlineStr">
        <is>
          <t>MHA/IND/01188</t>
        </is>
      </c>
      <c r="N1171" s="30" t="n">
        <v>46069</v>
      </c>
    </row>
    <row r="1172">
      <c r="A1172" s="28" t="n">
        <v>1171</v>
      </c>
      <c r="B1172" s="1" t="inlineStr">
        <is>
          <t>JANET DYER</t>
        </is>
      </c>
      <c r="C1172" s="30" t="n">
        <v>45944</v>
      </c>
      <c r="D1172" s="1" t="inlineStr">
        <is>
          <t>LAKE ROBINSHIRE</t>
        </is>
      </c>
      <c r="E1172" s="12" t="inlineStr">
        <is>
          <t>IND/MEL/01171</t>
        </is>
      </c>
      <c r="F1172" s="1" t="inlineStr">
        <is>
          <t>M</t>
        </is>
      </c>
      <c r="G1172" s="1" t="inlineStr">
        <is>
          <t>Bryan Lewis</t>
        </is>
      </c>
      <c r="H1172" s="1" t="inlineStr">
        <is>
          <t>Denise Perez</t>
        </is>
      </c>
      <c r="I1172" s="30" t="n">
        <v>46065</v>
      </c>
      <c r="J1172" s="1" t="inlineStr">
        <is>
          <t>195 Cunningham Corners</t>
        </is>
      </c>
      <c r="K1172" s="1" t="inlineStr">
        <is>
          <t>Apt. 821</t>
        </is>
      </c>
      <c r="L1172" s="1" t="inlineStr">
        <is>
          <t>PIN:33349 PORT AMANDAVILLE</t>
        </is>
      </c>
      <c r="M1172" s="2" t="inlineStr">
        <is>
          <t>MHA/IND/01189</t>
        </is>
      </c>
      <c r="N1172" s="30" t="n">
        <v>46074</v>
      </c>
    </row>
    <row r="1173">
      <c r="A1173" s="28" t="n">
        <v>1172</v>
      </c>
      <c r="B1173" s="1" t="inlineStr">
        <is>
          <t>JEFFREY SPENCER</t>
        </is>
      </c>
      <c r="C1173" s="30" t="n">
        <v>46034</v>
      </c>
      <c r="D1173" s="1" t="inlineStr">
        <is>
          <t>LAKE ROBERT</t>
        </is>
      </c>
      <c r="E1173" s="12" t="inlineStr">
        <is>
          <t>IND/MEL/01172</t>
        </is>
      </c>
      <c r="F1173" s="1" t="inlineStr">
        <is>
          <t>F</t>
        </is>
      </c>
      <c r="G1173" s="1" t="inlineStr">
        <is>
          <t>Richard Rodriguez</t>
        </is>
      </c>
      <c r="H1173" s="1" t="inlineStr">
        <is>
          <t>Marissa Sanchez</t>
        </is>
      </c>
      <c r="I1173" s="30" t="n">
        <v>46065</v>
      </c>
      <c r="J1173" s="1" t="inlineStr">
        <is>
          <t>032 Mary Landing</t>
        </is>
      </c>
      <c r="K1173" s="1" t="inlineStr">
        <is>
          <t>Apt. 141</t>
        </is>
      </c>
      <c r="L1173" s="1" t="inlineStr">
        <is>
          <t>PIN:19204 WINTERSMOUTH</t>
        </is>
      </c>
      <c r="M1173" s="2" t="inlineStr">
        <is>
          <t>MHA/IND/01190</t>
        </is>
      </c>
      <c r="N1173" s="30" t="n">
        <v>46070</v>
      </c>
    </row>
    <row r="1174">
      <c r="A1174" s="28" t="n">
        <v>1173</v>
      </c>
      <c r="B1174" s="1" t="inlineStr">
        <is>
          <t>ANTHONY JOHNSON</t>
        </is>
      </c>
      <c r="C1174" s="30" t="n">
        <v>45853</v>
      </c>
      <c r="D1174" s="1" t="inlineStr">
        <is>
          <t>WEST BRANDONSHIRE</t>
        </is>
      </c>
      <c r="E1174" s="12" t="inlineStr">
        <is>
          <t>IND/MEL/01173</t>
        </is>
      </c>
      <c r="F1174" s="1" t="inlineStr">
        <is>
          <t>M</t>
        </is>
      </c>
      <c r="G1174" s="1" t="inlineStr">
        <is>
          <t>Christopher Sosa</t>
        </is>
      </c>
      <c r="H1174" s="1" t="inlineStr">
        <is>
          <t>Jennifer Matthews</t>
        </is>
      </c>
      <c r="I1174" s="30" t="n">
        <v>46065</v>
      </c>
      <c r="J1174" s="1" t="inlineStr">
        <is>
          <t>80450 James Harbor Apt. 206</t>
        </is>
      </c>
      <c r="K1174" s="1" t="inlineStr">
        <is>
          <t>Apt. 304</t>
        </is>
      </c>
      <c r="L1174" s="1" t="inlineStr">
        <is>
          <t>PIN:59380 WEST MATTHEW</t>
        </is>
      </c>
      <c r="M1174" s="2" t="inlineStr">
        <is>
          <t>MHA/IND/01191</t>
        </is>
      </c>
      <c r="N1174" s="30" t="n">
        <v>46093</v>
      </c>
    </row>
    <row r="1175">
      <c r="A1175" s="28" t="n">
        <v>1174</v>
      </c>
      <c r="B1175" s="1" t="inlineStr">
        <is>
          <t>CATHERINE GRAY</t>
        </is>
      </c>
      <c r="C1175" s="30" t="n">
        <v>45857</v>
      </c>
      <c r="D1175" s="1" t="inlineStr">
        <is>
          <t>PATRICIASHIRE</t>
        </is>
      </c>
      <c r="E1175" s="12" t="inlineStr">
        <is>
          <t>IND/MEL/01174</t>
        </is>
      </c>
      <c r="F1175" s="1" t="inlineStr">
        <is>
          <t>M</t>
        </is>
      </c>
      <c r="G1175" s="1" t="inlineStr">
        <is>
          <t>Andrew Williams</t>
        </is>
      </c>
      <c r="H1175" s="1" t="inlineStr">
        <is>
          <t>Melissa Wright</t>
        </is>
      </c>
      <c r="I1175" s="30" t="n">
        <v>46065</v>
      </c>
      <c r="J1175" s="1" t="inlineStr">
        <is>
          <t>363 Powell Parkways Suite 091</t>
        </is>
      </c>
      <c r="K1175" s="1" t="inlineStr">
        <is>
          <t>Suite 160</t>
        </is>
      </c>
      <c r="L1175" s="1" t="inlineStr">
        <is>
          <t>PIN:70438 CONTRERASSTAD</t>
        </is>
      </c>
      <c r="M1175" s="2" t="inlineStr">
        <is>
          <t>MHA/IND/01192</t>
        </is>
      </c>
      <c r="N1175" s="30" t="n">
        <v>46080</v>
      </c>
    </row>
    <row r="1176">
      <c r="A1176" s="28" t="n">
        <v>1175</v>
      </c>
      <c r="B1176" s="1" t="inlineStr">
        <is>
          <t>VICTORIA MILLER</t>
        </is>
      </c>
      <c r="C1176" s="30" t="n">
        <v>45783</v>
      </c>
      <c r="D1176" s="1" t="inlineStr">
        <is>
          <t>WEST KIMBERLYBURGH</t>
        </is>
      </c>
      <c r="E1176" s="12" t="inlineStr">
        <is>
          <t>IND/MEL/01175</t>
        </is>
      </c>
      <c r="F1176" s="1" t="inlineStr">
        <is>
          <t>M</t>
        </is>
      </c>
      <c r="G1176" s="1" t="inlineStr">
        <is>
          <t>Christopher Lopez</t>
        </is>
      </c>
      <c r="H1176" s="1" t="inlineStr">
        <is>
          <t>Vanessa White DVM</t>
        </is>
      </c>
      <c r="I1176" s="30" t="n">
        <v>46065</v>
      </c>
      <c r="J1176" s="1" t="inlineStr">
        <is>
          <t>50571 Jennifer Prairie</t>
        </is>
      </c>
      <c r="K1176" s="1" t="inlineStr">
        <is>
          <t>Suite 043</t>
        </is>
      </c>
      <c r="L1176" s="1" t="inlineStr">
        <is>
          <t>PIN:93178 KIMBERLYBOROUGH</t>
        </is>
      </c>
      <c r="M1176" s="2" t="inlineStr">
        <is>
          <t>MHA/IND/01193</t>
        </is>
      </c>
      <c r="N1176" s="30" t="n">
        <v>46069</v>
      </c>
    </row>
    <row r="1177">
      <c r="A1177" s="28" t="n">
        <v>1176</v>
      </c>
      <c r="B1177" s="1" t="inlineStr">
        <is>
          <t>JENNIFER MURPHY</t>
        </is>
      </c>
      <c r="C1177" s="30" t="n">
        <v>45768</v>
      </c>
      <c r="D1177" s="1" t="inlineStr">
        <is>
          <t>LAKE KRISTEN</t>
        </is>
      </c>
      <c r="E1177" s="12" t="inlineStr">
        <is>
          <t>IND/MEL/01176</t>
        </is>
      </c>
      <c r="F1177" s="1" t="inlineStr">
        <is>
          <t>M</t>
        </is>
      </c>
      <c r="G1177" s="1" t="inlineStr">
        <is>
          <t>Anthony Carlson</t>
        </is>
      </c>
      <c r="H1177" s="1" t="inlineStr">
        <is>
          <t>Leslie Smith</t>
        </is>
      </c>
      <c r="I1177" s="30" t="n">
        <v>46065</v>
      </c>
      <c r="J1177" s="1" t="inlineStr">
        <is>
          <t>2354 Carol Forges Suite 945</t>
        </is>
      </c>
      <c r="K1177" s="1" t="inlineStr">
        <is>
          <t>Suite 435</t>
        </is>
      </c>
      <c r="L1177" s="1" t="inlineStr">
        <is>
          <t>PIN:24201 NEW CHRISTOPHER</t>
        </is>
      </c>
      <c r="M1177" s="2" t="inlineStr">
        <is>
          <t>MHA/IND/01194</t>
        </is>
      </c>
      <c r="N1177" s="30" t="n">
        <v>46085</v>
      </c>
    </row>
    <row r="1178">
      <c r="A1178" s="28" t="n">
        <v>1177</v>
      </c>
      <c r="B1178" s="1" t="inlineStr">
        <is>
          <t>AMBER ELLIS</t>
        </is>
      </c>
      <c r="C1178" s="30" t="n">
        <v>45857</v>
      </c>
      <c r="D1178" s="1" t="inlineStr">
        <is>
          <t>NORTH NICHOLASCHESTER</t>
        </is>
      </c>
      <c r="E1178" s="12" t="inlineStr">
        <is>
          <t>IND/MEL/01177</t>
        </is>
      </c>
      <c r="F1178" s="1" t="inlineStr">
        <is>
          <t>F</t>
        </is>
      </c>
      <c r="G1178" s="1" t="inlineStr">
        <is>
          <t>Steven Greene</t>
        </is>
      </c>
      <c r="H1178" s="1" t="inlineStr">
        <is>
          <t>Miranda Bailey</t>
        </is>
      </c>
      <c r="I1178" s="30" t="n">
        <v>46065</v>
      </c>
      <c r="J1178" s="1" t="inlineStr">
        <is>
          <t>193 George Village Apt. 248</t>
        </is>
      </c>
      <c r="K1178" s="1" t="inlineStr">
        <is>
          <t>Suite 209</t>
        </is>
      </c>
      <c r="L1178" s="1" t="inlineStr">
        <is>
          <t>PIN:58260 NEW MATTHEW</t>
        </is>
      </c>
      <c r="M1178" s="2" t="inlineStr">
        <is>
          <t>MHA/IND/01195</t>
        </is>
      </c>
      <c r="N1178" s="30" t="n">
        <v>46069</v>
      </c>
    </row>
    <row r="1179">
      <c r="A1179" s="28" t="n">
        <v>1178</v>
      </c>
      <c r="B1179" s="1" t="inlineStr">
        <is>
          <t>JENNIFER GARCIA</t>
        </is>
      </c>
      <c r="C1179" s="30" t="n">
        <v>45812</v>
      </c>
      <c r="D1179" s="1" t="inlineStr">
        <is>
          <t>NORTH TAMI</t>
        </is>
      </c>
      <c r="E1179" s="12" t="inlineStr">
        <is>
          <t>IND/MEL/01178</t>
        </is>
      </c>
      <c r="F1179" s="1" t="inlineStr">
        <is>
          <t>F</t>
        </is>
      </c>
      <c r="G1179" s="1" t="inlineStr">
        <is>
          <t>Michael Carrillo</t>
        </is>
      </c>
      <c r="H1179" s="1" t="inlineStr">
        <is>
          <t>Samantha Sanchez</t>
        </is>
      </c>
      <c r="I1179" s="30" t="n">
        <v>46065</v>
      </c>
      <c r="J1179" s="1" t="inlineStr">
        <is>
          <t>219 Ricky Avenue Apt. 450</t>
        </is>
      </c>
      <c r="K1179" s="1" t="inlineStr">
        <is>
          <t>Apt. 442</t>
        </is>
      </c>
      <c r="L1179" s="1" t="inlineStr">
        <is>
          <t>PIN:99110 KATHLEENVIEW</t>
        </is>
      </c>
      <c r="M1179" s="2" t="inlineStr">
        <is>
          <t>MHA/IND/01196</t>
        </is>
      </c>
      <c r="N1179" s="30" t="n">
        <v>46066</v>
      </c>
    </row>
    <row r="1180">
      <c r="A1180" s="28" t="n">
        <v>1179</v>
      </c>
      <c r="B1180" s="1" t="inlineStr">
        <is>
          <t>SAMUEL FOWLER</t>
        </is>
      </c>
      <c r="C1180" s="30" t="n">
        <v>45822</v>
      </c>
      <c r="D1180" s="1" t="inlineStr">
        <is>
          <t>MORANBOROUGH</t>
        </is>
      </c>
      <c r="E1180" s="12" t="inlineStr">
        <is>
          <t>IND/MEL/01179</t>
        </is>
      </c>
      <c r="F1180" s="1" t="inlineStr">
        <is>
          <t>F</t>
        </is>
      </c>
      <c r="G1180" s="1" t="inlineStr">
        <is>
          <t>Robert Peters</t>
        </is>
      </c>
      <c r="H1180" s="1" t="inlineStr">
        <is>
          <t>Mariah Cook</t>
        </is>
      </c>
      <c r="I1180" s="30" t="n">
        <v>46065</v>
      </c>
      <c r="J1180" s="1" t="inlineStr">
        <is>
          <t>78299 Whitaker Hill Suite 889</t>
        </is>
      </c>
      <c r="K1180" s="1" t="inlineStr">
        <is>
          <t>Apt. 322</t>
        </is>
      </c>
      <c r="L1180" s="1" t="inlineStr">
        <is>
          <t>PIN:63786 ESTESTOWN</t>
        </is>
      </c>
      <c r="M1180" s="2" t="inlineStr">
        <is>
          <t>MHA/IND/01197</t>
        </is>
      </c>
      <c r="N1180" s="30" t="n">
        <v>46084</v>
      </c>
    </row>
    <row r="1181">
      <c r="A1181" s="28" t="n">
        <v>1180</v>
      </c>
      <c r="B1181" s="1" t="inlineStr">
        <is>
          <t>MRS. SYDNEY NELSON</t>
        </is>
      </c>
      <c r="C1181" s="30" t="n">
        <v>45734</v>
      </c>
      <c r="D1181" s="1" t="inlineStr">
        <is>
          <t>KELSEYBURGH</t>
        </is>
      </c>
      <c r="E1181" s="12" t="inlineStr">
        <is>
          <t>IND/MEL/01180</t>
        </is>
      </c>
      <c r="F1181" s="1" t="inlineStr">
        <is>
          <t>M</t>
        </is>
      </c>
      <c r="G1181" s="1" t="inlineStr">
        <is>
          <t>Andrew Gilbert</t>
        </is>
      </c>
      <c r="H1181" s="1" t="inlineStr">
        <is>
          <t>Catherine Dennis</t>
        </is>
      </c>
      <c r="I1181" s="30" t="n">
        <v>46065</v>
      </c>
      <c r="J1181" s="1" t="inlineStr">
        <is>
          <t>659 James Course</t>
        </is>
      </c>
      <c r="K1181" s="1" t="inlineStr">
        <is>
          <t>Suite 604</t>
        </is>
      </c>
      <c r="L1181" s="1" t="inlineStr">
        <is>
          <t>PIN:14708 SOUTH CRYSTAL</t>
        </is>
      </c>
      <c r="M1181" s="2" t="inlineStr">
        <is>
          <t>MHA/IND/01198</t>
        </is>
      </c>
      <c r="N1181" s="30" t="n">
        <v>46070</v>
      </c>
    </row>
    <row r="1182">
      <c r="A1182" s="28" t="n">
        <v>1181</v>
      </c>
      <c r="B1182" s="1" t="inlineStr">
        <is>
          <t>MADELINE OCONNOR</t>
        </is>
      </c>
      <c r="C1182" s="30" t="n">
        <v>45809</v>
      </c>
      <c r="D1182" s="1" t="inlineStr">
        <is>
          <t>EAST JASONSTAD</t>
        </is>
      </c>
      <c r="E1182" s="12" t="inlineStr">
        <is>
          <t>IND/MEL/01181</t>
        </is>
      </c>
      <c r="F1182" s="1" t="inlineStr">
        <is>
          <t>F</t>
        </is>
      </c>
      <c r="G1182" s="1" t="inlineStr">
        <is>
          <t>Jason Nelson</t>
        </is>
      </c>
      <c r="H1182" s="1" t="inlineStr">
        <is>
          <t>Lisa Mcbride</t>
        </is>
      </c>
      <c r="I1182" s="30" t="n">
        <v>46065</v>
      </c>
      <c r="J1182" s="1" t="inlineStr">
        <is>
          <t>865 Lee Plain Apt. 358</t>
        </is>
      </c>
      <c r="K1182" s="1" t="inlineStr">
        <is>
          <t>Suite 689</t>
        </is>
      </c>
      <c r="L1182" s="1" t="inlineStr">
        <is>
          <t>PIN:47931 CHARLESMOUTH</t>
        </is>
      </c>
      <c r="M1182" s="2" t="inlineStr">
        <is>
          <t>MHA/IND/01199</t>
        </is>
      </c>
      <c r="N1182" s="30" t="n">
        <v>46074</v>
      </c>
    </row>
    <row r="1183">
      <c r="A1183" s="28" t="n">
        <v>1182</v>
      </c>
      <c r="B1183" s="1" t="inlineStr">
        <is>
          <t>GARY SCHMIDT</t>
        </is>
      </c>
      <c r="C1183" s="30" t="n">
        <v>45956</v>
      </c>
      <c r="D1183" s="1" t="inlineStr">
        <is>
          <t>EAST LORETTA</t>
        </is>
      </c>
      <c r="E1183" s="12" t="inlineStr">
        <is>
          <t>IND/MEL/01182</t>
        </is>
      </c>
      <c r="F1183" s="1" t="inlineStr">
        <is>
          <t>M</t>
        </is>
      </c>
      <c r="G1183" s="1" t="inlineStr">
        <is>
          <t>Ronald Cook</t>
        </is>
      </c>
      <c r="H1183" s="1" t="inlineStr">
        <is>
          <t>Lori Thomas</t>
        </is>
      </c>
      <c r="I1183" s="30" t="n">
        <v>46065</v>
      </c>
      <c r="J1183" s="1" t="inlineStr">
        <is>
          <t>23654 Jenna Passage</t>
        </is>
      </c>
      <c r="K1183" s="1" t="inlineStr">
        <is>
          <t>Suite 836</t>
        </is>
      </c>
      <c r="L1183" s="1" t="inlineStr">
        <is>
          <t>PIN:72143 KEVINVILLE</t>
        </is>
      </c>
      <c r="M1183" s="2" t="inlineStr">
        <is>
          <t>MHA/IND/01200</t>
        </is>
      </c>
      <c r="N1183" s="30" t="n">
        <v>46073</v>
      </c>
    </row>
    <row r="1184">
      <c r="A1184" s="28" t="n">
        <v>1183</v>
      </c>
      <c r="B1184" s="1" t="inlineStr">
        <is>
          <t>DAVID ROSS</t>
        </is>
      </c>
      <c r="C1184" s="30" t="n">
        <v>45733</v>
      </c>
      <c r="D1184" s="1" t="inlineStr">
        <is>
          <t>JOHNLAND</t>
        </is>
      </c>
      <c r="E1184" s="12" t="inlineStr">
        <is>
          <t>IND/MEL/01183</t>
        </is>
      </c>
      <c r="F1184" s="1" t="inlineStr">
        <is>
          <t>F</t>
        </is>
      </c>
      <c r="G1184" s="1" t="inlineStr">
        <is>
          <t>Johnny Smith</t>
        </is>
      </c>
      <c r="H1184" s="1" t="inlineStr">
        <is>
          <t>Samantha Nelson</t>
        </is>
      </c>
      <c r="I1184" s="30" t="n">
        <v>46065</v>
      </c>
      <c r="J1184" s="1" t="inlineStr">
        <is>
          <t>291 Cruz Ridge</t>
        </is>
      </c>
      <c r="K1184" s="1" t="inlineStr">
        <is>
          <t>Suite 785</t>
        </is>
      </c>
      <c r="L1184" s="1" t="inlineStr">
        <is>
          <t>PIN:33948 SOUTH ALLISONHAVEN</t>
        </is>
      </c>
      <c r="M1184" s="2" t="inlineStr">
        <is>
          <t>MHA/IND/01201</t>
        </is>
      </c>
      <c r="N1184" s="30" t="n">
        <v>46095</v>
      </c>
    </row>
    <row r="1185">
      <c r="A1185" s="28" t="n">
        <v>1184</v>
      </c>
      <c r="B1185" s="1" t="inlineStr">
        <is>
          <t>MARIE BRENNAN</t>
        </is>
      </c>
      <c r="C1185" s="30" t="n">
        <v>45733</v>
      </c>
      <c r="D1185" s="1" t="inlineStr">
        <is>
          <t>JOHNLAND</t>
        </is>
      </c>
      <c r="E1185" s="12" t="inlineStr">
        <is>
          <t>IND/MEL/01184</t>
        </is>
      </c>
      <c r="F1185" s="1" t="inlineStr">
        <is>
          <t>F</t>
        </is>
      </c>
      <c r="G1185" s="1" t="inlineStr">
        <is>
          <t>Johnny Smith</t>
        </is>
      </c>
      <c r="H1185" s="1" t="inlineStr">
        <is>
          <t>Samantha Nelson</t>
        </is>
      </c>
      <c r="I1185" s="30" t="n">
        <v>46065</v>
      </c>
      <c r="J1185" s="1" t="inlineStr">
        <is>
          <t>291 Cruz Ridge</t>
        </is>
      </c>
      <c r="K1185" s="1" t="inlineStr">
        <is>
          <t>Suite 785</t>
        </is>
      </c>
      <c r="L1185" s="1" t="inlineStr">
        <is>
          <t>PIN:33948 SOUTH ALLISONHAVEN</t>
        </is>
      </c>
      <c r="M1185" s="2" t="inlineStr">
        <is>
          <t>MHA/IND/01201</t>
        </is>
      </c>
      <c r="N1185" s="30" t="n">
        <v>46084</v>
      </c>
    </row>
    <row r="1186">
      <c r="A1186" s="28" t="n">
        <v>1185</v>
      </c>
      <c r="B1186" s="1" t="inlineStr">
        <is>
          <t>MR. CHARLES BROWN</t>
        </is>
      </c>
      <c r="C1186" s="30" t="n">
        <v>46047</v>
      </c>
      <c r="D1186" s="1" t="inlineStr">
        <is>
          <t>SIMPSONTON</t>
        </is>
      </c>
      <c r="E1186" s="12" t="inlineStr">
        <is>
          <t>IND/MEL/01185</t>
        </is>
      </c>
      <c r="F1186" s="1" t="inlineStr">
        <is>
          <t>F</t>
        </is>
      </c>
      <c r="G1186" s="1" t="inlineStr">
        <is>
          <t>Jerome Miller</t>
        </is>
      </c>
      <c r="H1186" s="1" t="inlineStr">
        <is>
          <t>Tiffany Harris</t>
        </is>
      </c>
      <c r="I1186" s="30" t="n">
        <v>46065</v>
      </c>
      <c r="J1186" s="1" t="inlineStr">
        <is>
          <t>186 Kimberly Centers</t>
        </is>
      </c>
      <c r="K1186" s="1" t="inlineStr">
        <is>
          <t>Apt. 948</t>
        </is>
      </c>
      <c r="L1186" s="1" t="inlineStr">
        <is>
          <t>PIN:31060 EAST ROBIN</t>
        </is>
      </c>
      <c r="M1186" s="2" t="inlineStr">
        <is>
          <t>MHA/IND/01202</t>
        </is>
      </c>
      <c r="N1186" s="30" t="n">
        <v>46068</v>
      </c>
    </row>
    <row r="1187">
      <c r="A1187" s="28" t="n">
        <v>1186</v>
      </c>
      <c r="B1187" s="1" t="inlineStr">
        <is>
          <t>VALERIE WATSON</t>
        </is>
      </c>
      <c r="C1187" s="30" t="n">
        <v>46047</v>
      </c>
      <c r="D1187" s="1" t="inlineStr">
        <is>
          <t>SIMPSONTON</t>
        </is>
      </c>
      <c r="E1187" s="12" t="inlineStr">
        <is>
          <t>IND/MEL/01186</t>
        </is>
      </c>
      <c r="F1187" s="1" t="inlineStr">
        <is>
          <t>F</t>
        </is>
      </c>
      <c r="G1187" s="1" t="inlineStr">
        <is>
          <t>Jerome Miller</t>
        </is>
      </c>
      <c r="H1187" s="1" t="inlineStr">
        <is>
          <t>Tiffany Harris</t>
        </is>
      </c>
      <c r="I1187" s="30" t="n">
        <v>46065</v>
      </c>
      <c r="J1187" s="1" t="inlineStr">
        <is>
          <t>186 Kimberly Centers</t>
        </is>
      </c>
      <c r="K1187" s="1" t="inlineStr">
        <is>
          <t>Apt. 948</t>
        </is>
      </c>
      <c r="L1187" s="1" t="inlineStr">
        <is>
          <t>PIN:31060 EAST ROBIN</t>
        </is>
      </c>
      <c r="M1187" s="2" t="inlineStr">
        <is>
          <t>MHA/IND/01202</t>
        </is>
      </c>
      <c r="N1187" s="30" t="n">
        <v>46084</v>
      </c>
    </row>
    <row r="1188">
      <c r="A1188" s="28" t="n">
        <v>1187</v>
      </c>
      <c r="B1188" s="1" t="inlineStr">
        <is>
          <t>LINDA KELLEY</t>
        </is>
      </c>
      <c r="C1188" s="30" t="n">
        <v>45990</v>
      </c>
      <c r="D1188" s="1" t="inlineStr">
        <is>
          <t>LAKE JOHNVILLE</t>
        </is>
      </c>
      <c r="E1188" s="12" t="inlineStr">
        <is>
          <t>IND/MEL/01187</t>
        </is>
      </c>
      <c r="F1188" s="1" t="inlineStr">
        <is>
          <t>M</t>
        </is>
      </c>
      <c r="G1188" s="1" t="inlineStr">
        <is>
          <t>Andrew Williams</t>
        </is>
      </c>
      <c r="H1188" s="1" t="inlineStr">
        <is>
          <t>Emily Newman</t>
        </is>
      </c>
      <c r="I1188" s="30" t="n">
        <v>46065</v>
      </c>
      <c r="J1188" s="1" t="inlineStr">
        <is>
          <t>83666 John Ways</t>
        </is>
      </c>
      <c r="K1188" s="1" t="inlineStr">
        <is>
          <t>Suite 754</t>
        </is>
      </c>
      <c r="L1188" s="1" t="inlineStr">
        <is>
          <t>PIN:60712 PORT KENDRA</t>
        </is>
      </c>
      <c r="M1188" s="2" t="inlineStr">
        <is>
          <t>MHA/IND/01203</t>
        </is>
      </c>
      <c r="N1188" s="30" t="n">
        <v>46080</v>
      </c>
    </row>
    <row r="1189">
      <c r="A1189" s="28" t="n">
        <v>1188</v>
      </c>
      <c r="B1189" s="1" t="inlineStr">
        <is>
          <t>MARTIN NICHOLS</t>
        </is>
      </c>
      <c r="C1189" s="30" t="n">
        <v>45990</v>
      </c>
      <c r="D1189" s="1" t="inlineStr">
        <is>
          <t>LAKE JOHNVILLE</t>
        </is>
      </c>
      <c r="E1189" s="12" t="inlineStr">
        <is>
          <t>IND/MEL/01188</t>
        </is>
      </c>
      <c r="F1189" s="1" t="inlineStr">
        <is>
          <t>M</t>
        </is>
      </c>
      <c r="G1189" s="1" t="inlineStr">
        <is>
          <t>Andrew Williams</t>
        </is>
      </c>
      <c r="H1189" s="1" t="inlineStr">
        <is>
          <t>Emily Newman</t>
        </is>
      </c>
      <c r="I1189" s="30" t="n">
        <v>46065</v>
      </c>
      <c r="J1189" s="1" t="inlineStr">
        <is>
          <t>83666 John Ways</t>
        </is>
      </c>
      <c r="K1189" s="1" t="inlineStr">
        <is>
          <t>Suite 754</t>
        </is>
      </c>
      <c r="L1189" s="1" t="inlineStr">
        <is>
          <t>PIN:60712 PORT KENDRA</t>
        </is>
      </c>
      <c r="M1189" s="2" t="inlineStr">
        <is>
          <t>MHA/IND/01203</t>
        </is>
      </c>
      <c r="N1189" s="30" t="n">
        <v>46091</v>
      </c>
    </row>
    <row r="1190">
      <c r="A1190" s="28" t="n">
        <v>1189</v>
      </c>
      <c r="B1190" s="1" t="inlineStr">
        <is>
          <t>NOAH MARTIN</t>
        </is>
      </c>
      <c r="C1190" s="30" t="n">
        <v>45725</v>
      </c>
      <c r="D1190" s="1" t="inlineStr">
        <is>
          <t>PORT BRANDYSTAD</t>
        </is>
      </c>
      <c r="E1190" s="12" t="inlineStr">
        <is>
          <t>IND/MEL/01189</t>
        </is>
      </c>
      <c r="F1190" s="1" t="inlineStr">
        <is>
          <t>F</t>
        </is>
      </c>
      <c r="G1190" s="1" t="inlineStr">
        <is>
          <t>Eric Conway</t>
        </is>
      </c>
      <c r="H1190" s="1" t="inlineStr">
        <is>
          <t>Pamela Patton</t>
        </is>
      </c>
      <c r="I1190" s="30" t="n">
        <v>46065</v>
      </c>
      <c r="J1190" s="1" t="inlineStr">
        <is>
          <t>8612 Pam Ford</t>
        </is>
      </c>
      <c r="K1190" s="1" t="inlineStr">
        <is>
          <t>Apt. 043</t>
        </is>
      </c>
      <c r="L1190" s="1" t="inlineStr">
        <is>
          <t>PIN:84686 EMILYSIDE</t>
        </is>
      </c>
      <c r="M1190" s="2" t="inlineStr">
        <is>
          <t>MHA/IND/01204</t>
        </is>
      </c>
      <c r="N1190" s="30" t="n">
        <v>46089</v>
      </c>
    </row>
    <row r="1191">
      <c r="A1191" s="28" t="n">
        <v>1190</v>
      </c>
      <c r="B1191" s="1" t="inlineStr">
        <is>
          <t>CAROLYN REED</t>
        </is>
      </c>
      <c r="C1191" s="30" t="n">
        <v>45725</v>
      </c>
      <c r="D1191" s="1" t="inlineStr">
        <is>
          <t>PORT BRANDYSTAD</t>
        </is>
      </c>
      <c r="E1191" s="12" t="inlineStr">
        <is>
          <t>IND/MEL/01190</t>
        </is>
      </c>
      <c r="F1191" s="1" t="inlineStr">
        <is>
          <t>F</t>
        </is>
      </c>
      <c r="G1191" s="1" t="inlineStr">
        <is>
          <t>Eric Conway</t>
        </is>
      </c>
      <c r="H1191" s="1" t="inlineStr">
        <is>
          <t>Pamela Patton</t>
        </is>
      </c>
      <c r="I1191" s="30" t="n">
        <v>46065</v>
      </c>
      <c r="J1191" s="1" t="inlineStr">
        <is>
          <t>8612 Pam Ford</t>
        </is>
      </c>
      <c r="K1191" s="1" t="inlineStr">
        <is>
          <t>Apt. 043</t>
        </is>
      </c>
      <c r="L1191" s="1" t="inlineStr">
        <is>
          <t>PIN:84686 EMILYSIDE</t>
        </is>
      </c>
      <c r="M1191" s="2" t="inlineStr">
        <is>
          <t>MHA/IND/01204</t>
        </is>
      </c>
      <c r="N1191" s="30" t="n">
        <v>46071</v>
      </c>
    </row>
    <row r="1192">
      <c r="A1192" s="28" t="n">
        <v>1191</v>
      </c>
      <c r="B1192" s="1" t="inlineStr">
        <is>
          <t>TIMOTHY HERRERA</t>
        </is>
      </c>
      <c r="C1192" s="30" t="n">
        <v>45795</v>
      </c>
      <c r="D1192" s="1" t="inlineStr">
        <is>
          <t>NEW JAMES</t>
        </is>
      </c>
      <c r="E1192" s="12" t="inlineStr">
        <is>
          <t>IND/MEL/01191</t>
        </is>
      </c>
      <c r="F1192" s="1" t="inlineStr">
        <is>
          <t>F</t>
        </is>
      </c>
      <c r="G1192" s="1" t="inlineStr">
        <is>
          <t>Brian Gonzalez</t>
        </is>
      </c>
      <c r="H1192" s="1" t="inlineStr">
        <is>
          <t>Katherine Andrews</t>
        </is>
      </c>
      <c r="I1192" s="30" t="n">
        <v>46065</v>
      </c>
      <c r="J1192" s="1" t="inlineStr">
        <is>
          <t>448 Sanchez Squares</t>
        </is>
      </c>
      <c r="K1192" s="1" t="inlineStr">
        <is>
          <t>Apt. 820</t>
        </is>
      </c>
      <c r="L1192" s="1" t="inlineStr">
        <is>
          <t>PIN:80623 ROBERTVIEW</t>
        </is>
      </c>
      <c r="M1192" s="2" t="inlineStr">
        <is>
          <t>MHA/IND/01205</t>
        </is>
      </c>
      <c r="N1192" s="30" t="n">
        <v>46084</v>
      </c>
    </row>
    <row r="1193">
      <c r="A1193" s="28" t="n">
        <v>1192</v>
      </c>
      <c r="B1193" s="1" t="inlineStr">
        <is>
          <t>ADAM THOMAS JR.</t>
        </is>
      </c>
      <c r="C1193" s="30" t="n">
        <v>45795</v>
      </c>
      <c r="D1193" s="1" t="inlineStr">
        <is>
          <t>NEW JAMES</t>
        </is>
      </c>
      <c r="E1193" s="12" t="inlineStr">
        <is>
          <t>IND/MEL/01192</t>
        </is>
      </c>
      <c r="F1193" s="1" t="inlineStr">
        <is>
          <t>F</t>
        </is>
      </c>
      <c r="G1193" s="1" t="inlineStr">
        <is>
          <t>Brian Gonzalez</t>
        </is>
      </c>
      <c r="H1193" s="1" t="inlineStr">
        <is>
          <t>Katherine Andrews</t>
        </is>
      </c>
      <c r="I1193" s="30" t="n">
        <v>46065</v>
      </c>
      <c r="J1193" s="1" t="inlineStr">
        <is>
          <t>448 Sanchez Squares</t>
        </is>
      </c>
      <c r="K1193" s="1" t="inlineStr">
        <is>
          <t>Apt. 820</t>
        </is>
      </c>
      <c r="L1193" s="1" t="inlineStr">
        <is>
          <t>PIN:80623 ROBERTVIEW</t>
        </is>
      </c>
      <c r="M1193" s="2" t="inlineStr">
        <is>
          <t>MHA/IND/01205</t>
        </is>
      </c>
      <c r="N1193" s="30" t="n">
        <v>46093</v>
      </c>
    </row>
    <row r="1194">
      <c r="A1194" s="28" t="n">
        <v>1193</v>
      </c>
      <c r="B1194" s="1" t="inlineStr">
        <is>
          <t>ERIC WILLIAMS</t>
        </is>
      </c>
      <c r="C1194" s="30" t="n">
        <v>46037</v>
      </c>
      <c r="D1194" s="1" t="inlineStr">
        <is>
          <t>KARENSTAD</t>
        </is>
      </c>
      <c r="E1194" s="12" t="inlineStr">
        <is>
          <t>IND/MEL/01193</t>
        </is>
      </c>
      <c r="F1194" s="1" t="inlineStr">
        <is>
          <t>F</t>
        </is>
      </c>
      <c r="G1194" s="1" t="inlineStr">
        <is>
          <t>Robert Bush</t>
        </is>
      </c>
      <c r="H1194" s="1" t="inlineStr">
        <is>
          <t>Amanda Carr</t>
        </is>
      </c>
      <c r="I1194" s="30" t="n">
        <v>46065</v>
      </c>
      <c r="J1194" s="1" t="inlineStr">
        <is>
          <t>955 Tanner Ferry</t>
        </is>
      </c>
      <c r="K1194" s="1" t="inlineStr">
        <is>
          <t>Suite 530</t>
        </is>
      </c>
      <c r="L1194" s="1" t="inlineStr">
        <is>
          <t>PIN:70598 WRIGHTLAND</t>
        </is>
      </c>
      <c r="M1194" s="2" t="inlineStr">
        <is>
          <t>MHA/IND/01206</t>
        </is>
      </c>
      <c r="N1194" s="30" t="n">
        <v>46074</v>
      </c>
    </row>
    <row r="1195">
      <c r="A1195" s="28" t="n">
        <v>1194</v>
      </c>
      <c r="B1195" s="1" t="inlineStr">
        <is>
          <t>KEVIN SILVA</t>
        </is>
      </c>
      <c r="C1195" s="30" t="n">
        <v>46037</v>
      </c>
      <c r="D1195" s="1" t="inlineStr">
        <is>
          <t>KARENSTAD</t>
        </is>
      </c>
      <c r="E1195" s="12" t="inlineStr">
        <is>
          <t>IND/MEL/01194</t>
        </is>
      </c>
      <c r="F1195" s="1" t="inlineStr">
        <is>
          <t>F</t>
        </is>
      </c>
      <c r="G1195" s="1" t="inlineStr">
        <is>
          <t>Robert Bush</t>
        </is>
      </c>
      <c r="H1195" s="1" t="inlineStr">
        <is>
          <t>Amanda Carr</t>
        </is>
      </c>
      <c r="I1195" s="30" t="n">
        <v>46065</v>
      </c>
      <c r="J1195" s="1" t="inlineStr">
        <is>
          <t>955 Tanner Ferry</t>
        </is>
      </c>
      <c r="K1195" s="1" t="inlineStr">
        <is>
          <t>Suite 530</t>
        </is>
      </c>
      <c r="L1195" s="1" t="inlineStr">
        <is>
          <t>PIN:70598 WRIGHTLAND</t>
        </is>
      </c>
      <c r="M1195" s="2" t="inlineStr">
        <is>
          <t>MHA/IND/01206</t>
        </is>
      </c>
      <c r="N1195" s="30" t="n">
        <v>46078</v>
      </c>
    </row>
    <row r="1196">
      <c r="A1196" s="28" t="n">
        <v>1195</v>
      </c>
      <c r="B1196" s="1" t="inlineStr">
        <is>
          <t>JENNIFER STONE</t>
        </is>
      </c>
      <c r="C1196" s="30" t="n">
        <v>45924</v>
      </c>
      <c r="D1196" s="1" t="inlineStr">
        <is>
          <t>EAST SARAHSTAD</t>
        </is>
      </c>
      <c r="E1196" s="12" t="inlineStr">
        <is>
          <t>IND/MEL/01195</t>
        </is>
      </c>
      <c r="F1196" s="1" t="inlineStr">
        <is>
          <t>F</t>
        </is>
      </c>
      <c r="G1196" s="1" t="inlineStr">
        <is>
          <t>James Baker</t>
        </is>
      </c>
      <c r="H1196" s="1" t="inlineStr">
        <is>
          <t>Melinda Bishop MD</t>
        </is>
      </c>
      <c r="I1196" s="30" t="n">
        <v>46065</v>
      </c>
      <c r="J1196" s="1" t="inlineStr">
        <is>
          <t>9200 Williams Ranch</t>
        </is>
      </c>
      <c r="K1196" s="1" t="inlineStr">
        <is>
          <t>Apt. 064</t>
        </is>
      </c>
      <c r="L1196" s="1" t="inlineStr">
        <is>
          <t>PIN:14960 HALEYSIDE</t>
        </is>
      </c>
      <c r="M1196" s="2" t="inlineStr">
        <is>
          <t>MHA/IND/01207</t>
        </is>
      </c>
      <c r="N1196" s="30" t="n">
        <v>46084</v>
      </c>
    </row>
    <row r="1197">
      <c r="A1197" s="28" t="n">
        <v>1196</v>
      </c>
      <c r="B1197" s="1" t="inlineStr">
        <is>
          <t>EMILY MARTINEZ</t>
        </is>
      </c>
      <c r="C1197" s="30" t="n">
        <v>45924</v>
      </c>
      <c r="D1197" s="1" t="inlineStr">
        <is>
          <t>EAST SARAHSTAD</t>
        </is>
      </c>
      <c r="E1197" s="12" t="inlineStr">
        <is>
          <t>IND/MEL/01196</t>
        </is>
      </c>
      <c r="F1197" s="1" t="inlineStr">
        <is>
          <t>F</t>
        </is>
      </c>
      <c r="G1197" s="1" t="inlineStr">
        <is>
          <t>James Baker</t>
        </is>
      </c>
      <c r="H1197" s="1" t="inlineStr">
        <is>
          <t>Melinda Bishop MD</t>
        </is>
      </c>
      <c r="I1197" s="30" t="n">
        <v>46065</v>
      </c>
      <c r="J1197" s="1" t="inlineStr">
        <is>
          <t>9200 Williams Ranch</t>
        </is>
      </c>
      <c r="K1197" s="1" t="inlineStr">
        <is>
          <t>Apt. 064</t>
        </is>
      </c>
      <c r="L1197" s="1" t="inlineStr">
        <is>
          <t>PIN:14960 HALEYSIDE</t>
        </is>
      </c>
      <c r="M1197" s="2" t="inlineStr">
        <is>
          <t>MHA/IND/01207</t>
        </is>
      </c>
      <c r="N1197" s="30" t="n">
        <v>46094</v>
      </c>
    </row>
    <row r="1198">
      <c r="A1198" s="28" t="n">
        <v>1197</v>
      </c>
      <c r="B1198" s="1" t="inlineStr">
        <is>
          <t>MIKAYLA HINES</t>
        </is>
      </c>
      <c r="C1198" s="30" t="n">
        <v>45892</v>
      </c>
      <c r="D1198" s="1" t="inlineStr">
        <is>
          <t>CRAIGFURT</t>
        </is>
      </c>
      <c r="E1198" s="12" t="inlineStr">
        <is>
          <t>IND/MEL/01197</t>
        </is>
      </c>
      <c r="F1198" s="1" t="inlineStr">
        <is>
          <t>F</t>
        </is>
      </c>
      <c r="G1198" s="1" t="inlineStr">
        <is>
          <t>Phillip Burnett</t>
        </is>
      </c>
      <c r="H1198" s="1" t="inlineStr">
        <is>
          <t>Tiffany Thompson</t>
        </is>
      </c>
      <c r="I1198" s="30" t="n">
        <v>46065</v>
      </c>
      <c r="J1198" s="1" t="inlineStr">
        <is>
          <t>64130 Gina Village</t>
        </is>
      </c>
      <c r="K1198" s="1" t="inlineStr">
        <is>
          <t>Suite 991</t>
        </is>
      </c>
      <c r="L1198" s="1" t="inlineStr">
        <is>
          <t>PIN:31837 JOSEVIEW</t>
        </is>
      </c>
      <c r="M1198" s="2" t="inlineStr">
        <is>
          <t>MHA/IND/01208</t>
        </is>
      </c>
      <c r="N1198" s="30" t="n">
        <v>46088</v>
      </c>
    </row>
    <row r="1199">
      <c r="A1199" s="28" t="n">
        <v>1198</v>
      </c>
      <c r="B1199" s="1" t="inlineStr">
        <is>
          <t>NATHAN HOFFMAN</t>
        </is>
      </c>
      <c r="C1199" s="30" t="n">
        <v>45892</v>
      </c>
      <c r="D1199" s="1" t="inlineStr">
        <is>
          <t>CRAIGFURT</t>
        </is>
      </c>
      <c r="E1199" s="12" t="inlineStr">
        <is>
          <t>IND/MEL/01198</t>
        </is>
      </c>
      <c r="F1199" s="1" t="inlineStr">
        <is>
          <t>F</t>
        </is>
      </c>
      <c r="G1199" s="1" t="inlineStr">
        <is>
          <t>Phillip Burnett</t>
        </is>
      </c>
      <c r="H1199" s="1" t="inlineStr">
        <is>
          <t>Tiffany Thompson</t>
        </is>
      </c>
      <c r="I1199" s="30" t="n">
        <v>46065</v>
      </c>
      <c r="J1199" s="1" t="inlineStr">
        <is>
          <t>64130 Gina Village</t>
        </is>
      </c>
      <c r="K1199" s="1" t="inlineStr">
        <is>
          <t>Suite 991</t>
        </is>
      </c>
      <c r="L1199" s="1" t="inlineStr">
        <is>
          <t>PIN:31837 JOSEVIEW</t>
        </is>
      </c>
      <c r="M1199" s="2" t="inlineStr">
        <is>
          <t>MHA/IND/01208</t>
        </is>
      </c>
      <c r="N1199" s="30" t="n">
        <v>46083</v>
      </c>
    </row>
    <row r="1200">
      <c r="A1200" s="28" t="n">
        <v>1199</v>
      </c>
      <c r="B1200" s="1" t="inlineStr">
        <is>
          <t>JENNIFER MILLER</t>
        </is>
      </c>
      <c r="C1200" s="30" t="n">
        <v>45826</v>
      </c>
      <c r="D1200" s="1" t="inlineStr">
        <is>
          <t>SANCHEZPORT</t>
        </is>
      </c>
      <c r="E1200" s="12" t="inlineStr">
        <is>
          <t>IND/MEL/01199</t>
        </is>
      </c>
      <c r="F1200" s="1" t="inlineStr">
        <is>
          <t>F</t>
        </is>
      </c>
      <c r="G1200" s="1" t="inlineStr">
        <is>
          <t>Andrew Boyle</t>
        </is>
      </c>
      <c r="H1200" s="1" t="inlineStr">
        <is>
          <t>Crystal Bishop</t>
        </is>
      </c>
      <c r="I1200" s="30" t="n">
        <v>46065</v>
      </c>
      <c r="J1200" s="1" t="inlineStr">
        <is>
          <t>059 Jackson Common Apt. 801</t>
        </is>
      </c>
      <c r="K1200" s="1" t="inlineStr">
        <is>
          <t>Apt. 569</t>
        </is>
      </c>
      <c r="L1200" s="1" t="inlineStr">
        <is>
          <t>PIN:08098 PORT PAULVILLE</t>
        </is>
      </c>
      <c r="M1200" s="2" t="inlineStr">
        <is>
          <t>MHA/IND/01209</t>
        </is>
      </c>
      <c r="N1200" s="30" t="n">
        <v>46067</v>
      </c>
    </row>
    <row r="1201">
      <c r="A1201" s="28" t="n">
        <v>1200</v>
      </c>
      <c r="B1201" s="1" t="inlineStr">
        <is>
          <t>JONATHAN SNYDER</t>
        </is>
      </c>
      <c r="C1201" s="30" t="n">
        <v>45826</v>
      </c>
      <c r="D1201" s="1" t="inlineStr">
        <is>
          <t>SANCHEZPORT</t>
        </is>
      </c>
      <c r="E1201" s="12" t="inlineStr">
        <is>
          <t>IND/MEL/01200</t>
        </is>
      </c>
      <c r="F1201" s="1" t="inlineStr">
        <is>
          <t>F</t>
        </is>
      </c>
      <c r="G1201" s="1" t="inlineStr">
        <is>
          <t>Andrew Boyle</t>
        </is>
      </c>
      <c r="H1201" s="1" t="inlineStr">
        <is>
          <t>Crystal Bishop</t>
        </is>
      </c>
      <c r="I1201" s="30" t="n">
        <v>46065</v>
      </c>
      <c r="J1201" s="1" t="inlineStr">
        <is>
          <t>059 Jackson Common Apt. 801</t>
        </is>
      </c>
      <c r="K1201" s="1" t="inlineStr">
        <is>
          <t>Apt. 569</t>
        </is>
      </c>
      <c r="L1201" s="1" t="inlineStr">
        <is>
          <t>PIN:08098 PORT PAULVILLE</t>
        </is>
      </c>
      <c r="M1201" s="2" t="inlineStr">
        <is>
          <t>MHA/IND/01209</t>
        </is>
      </c>
      <c r="N1201" s="30" t="n">
        <v>46089</v>
      </c>
    </row>
    <row r="1202">
      <c r="A1202" s="28" t="n">
        <v>1201</v>
      </c>
      <c r="B1202" s="1" t="inlineStr">
        <is>
          <t>MICHELLE EVANS</t>
        </is>
      </c>
      <c r="C1202" s="30" t="n">
        <v>45923</v>
      </c>
      <c r="D1202" s="1" t="inlineStr">
        <is>
          <t>KENNETHCHESTER</t>
        </is>
      </c>
      <c r="E1202" s="12" t="inlineStr">
        <is>
          <t>IND/MEL/01201</t>
        </is>
      </c>
      <c r="F1202" s="1" t="inlineStr">
        <is>
          <t>F</t>
        </is>
      </c>
      <c r="G1202" s="1" t="inlineStr">
        <is>
          <t>Brian Fernandez</t>
        </is>
      </c>
      <c r="H1202" s="1" t="inlineStr">
        <is>
          <t>Sharon Landry</t>
        </is>
      </c>
      <c r="I1202" s="30" t="n">
        <v>46065</v>
      </c>
      <c r="J1202" s="1" t="inlineStr">
        <is>
          <t>22154 Kim Common</t>
        </is>
      </c>
      <c r="K1202" s="1" t="inlineStr">
        <is>
          <t>Apt. 596</t>
        </is>
      </c>
      <c r="L1202" s="1" t="inlineStr">
        <is>
          <t>PIN:74708 CANNONSTAD</t>
        </is>
      </c>
      <c r="M1202" s="2" t="inlineStr">
        <is>
          <t>MHA/IND/01210</t>
        </is>
      </c>
      <c r="N1202" s="30" t="n">
        <v>46078</v>
      </c>
    </row>
    <row r="1203">
      <c r="A1203" s="28" t="n">
        <v>1202</v>
      </c>
      <c r="B1203" s="1" t="inlineStr">
        <is>
          <t>ELIZABETH GORDON</t>
        </is>
      </c>
      <c r="C1203" s="30" t="n">
        <v>45923</v>
      </c>
      <c r="D1203" s="1" t="inlineStr">
        <is>
          <t>KENNETHCHESTER</t>
        </is>
      </c>
      <c r="E1203" s="12" t="inlineStr">
        <is>
          <t>IND/MEL/01202</t>
        </is>
      </c>
      <c r="F1203" s="1" t="inlineStr">
        <is>
          <t>F</t>
        </is>
      </c>
      <c r="G1203" s="1" t="inlineStr">
        <is>
          <t>Brian Fernandez</t>
        </is>
      </c>
      <c r="H1203" s="1" t="inlineStr">
        <is>
          <t>Sharon Landry</t>
        </is>
      </c>
      <c r="I1203" s="30" t="n">
        <v>46065</v>
      </c>
      <c r="J1203" s="1" t="inlineStr">
        <is>
          <t>22154 Kim Common</t>
        </is>
      </c>
      <c r="K1203" s="1" t="inlineStr">
        <is>
          <t>Apt. 596</t>
        </is>
      </c>
      <c r="L1203" s="1" t="inlineStr">
        <is>
          <t>PIN:74708 CANNONSTAD</t>
        </is>
      </c>
      <c r="M1203" s="2" t="inlineStr">
        <is>
          <t>MHA/IND/01210</t>
        </is>
      </c>
      <c r="N1203" s="30" t="n">
        <v>46076</v>
      </c>
    </row>
    <row r="1204">
      <c r="A1204" s="28" t="n">
        <v>1203</v>
      </c>
      <c r="B1204" s="1" t="inlineStr">
        <is>
          <t>FRANCISCO GILL</t>
        </is>
      </c>
      <c r="C1204" s="30" t="n">
        <v>45852</v>
      </c>
      <c r="D1204" s="1" t="inlineStr">
        <is>
          <t>ROGERSMOUTH</t>
        </is>
      </c>
      <c r="E1204" s="12" t="inlineStr">
        <is>
          <t>IND/MEL/01203</t>
        </is>
      </c>
      <c r="F1204" s="1" t="inlineStr">
        <is>
          <t>F</t>
        </is>
      </c>
      <c r="G1204" s="1" t="inlineStr">
        <is>
          <t>Jason Brown</t>
        </is>
      </c>
      <c r="H1204" s="1" t="inlineStr">
        <is>
          <t>Molly Moore</t>
        </is>
      </c>
      <c r="I1204" s="30" t="n">
        <v>46065</v>
      </c>
      <c r="J1204" s="1" t="inlineStr">
        <is>
          <t>928 Randy Brook</t>
        </is>
      </c>
      <c r="K1204" s="1" t="inlineStr">
        <is>
          <t>Suite 699</t>
        </is>
      </c>
      <c r="L1204" s="1" t="inlineStr">
        <is>
          <t>PIN:45377 TAMMYPORT</t>
        </is>
      </c>
      <c r="M1204" s="2" t="inlineStr">
        <is>
          <t>MHA/IND/01211</t>
        </is>
      </c>
      <c r="N1204" s="30" t="n">
        <v>46082</v>
      </c>
    </row>
    <row r="1205">
      <c r="A1205" s="28" t="n">
        <v>1204</v>
      </c>
      <c r="B1205" s="1" t="inlineStr">
        <is>
          <t>EMILY RIDDLE</t>
        </is>
      </c>
      <c r="C1205" s="30" t="n">
        <v>45852</v>
      </c>
      <c r="D1205" s="1" t="inlineStr">
        <is>
          <t>ROGERSMOUTH</t>
        </is>
      </c>
      <c r="E1205" s="12" t="inlineStr">
        <is>
          <t>IND/MEL/01204</t>
        </is>
      </c>
      <c r="F1205" s="1" t="inlineStr">
        <is>
          <t>F</t>
        </is>
      </c>
      <c r="G1205" s="1" t="inlineStr">
        <is>
          <t>Jason Brown</t>
        </is>
      </c>
      <c r="H1205" s="1" t="inlineStr">
        <is>
          <t>Molly Moore</t>
        </is>
      </c>
      <c r="I1205" s="30" t="n">
        <v>46065</v>
      </c>
      <c r="J1205" s="1" t="inlineStr">
        <is>
          <t>928 Randy Brook</t>
        </is>
      </c>
      <c r="K1205" s="1" t="inlineStr">
        <is>
          <t>Suite 699</t>
        </is>
      </c>
      <c r="L1205" s="1" t="inlineStr">
        <is>
          <t>PIN:45377 TAMMYPORT</t>
        </is>
      </c>
      <c r="M1205" s="2" t="inlineStr">
        <is>
          <t>MHA/IND/01211</t>
        </is>
      </c>
      <c r="N1205" s="30" t="n">
        <v>46093</v>
      </c>
    </row>
    <row r="1206">
      <c r="A1206" s="28" t="n">
        <v>1205</v>
      </c>
      <c r="B1206" s="1" t="inlineStr">
        <is>
          <t>LINDSEY PERRY</t>
        </is>
      </c>
      <c r="C1206" s="30" t="n">
        <v>46001</v>
      </c>
      <c r="D1206" s="1" t="inlineStr">
        <is>
          <t>LAKE MATTHEW</t>
        </is>
      </c>
      <c r="E1206" s="12" t="inlineStr">
        <is>
          <t>IND/MEL/01205</t>
        </is>
      </c>
      <c r="F1206" s="1" t="inlineStr">
        <is>
          <t>M</t>
        </is>
      </c>
      <c r="G1206" s="1" t="inlineStr">
        <is>
          <t>Zachary Hill</t>
        </is>
      </c>
      <c r="H1206" s="1" t="inlineStr">
        <is>
          <t>Jessica Freeman</t>
        </is>
      </c>
      <c r="I1206" s="30" t="n">
        <v>46065</v>
      </c>
      <c r="J1206" s="1" t="inlineStr">
        <is>
          <t>9170 Rivers Track</t>
        </is>
      </c>
      <c r="K1206" s="1" t="inlineStr">
        <is>
          <t>Apt. 722</t>
        </is>
      </c>
      <c r="L1206" s="1" t="inlineStr">
        <is>
          <t>PIN:25147 SOUTH MATTHEWBERG</t>
        </is>
      </c>
      <c r="M1206" s="2" t="inlineStr">
        <is>
          <t>MHA/IND/01212</t>
        </is>
      </c>
      <c r="N1206" s="30" t="n">
        <v>46078</v>
      </c>
    </row>
    <row r="1207">
      <c r="A1207" s="28" t="n">
        <v>1206</v>
      </c>
      <c r="B1207" s="1" t="inlineStr">
        <is>
          <t>TERRI GILES</t>
        </is>
      </c>
      <c r="C1207" s="30" t="n">
        <v>46001</v>
      </c>
      <c r="D1207" s="1" t="inlineStr">
        <is>
          <t>LAKE MATTHEW</t>
        </is>
      </c>
      <c r="E1207" s="12" t="inlineStr">
        <is>
          <t>IND/MEL/01206</t>
        </is>
      </c>
      <c r="F1207" s="1" t="inlineStr">
        <is>
          <t>M</t>
        </is>
      </c>
      <c r="G1207" s="1" t="inlineStr">
        <is>
          <t>Zachary Hill</t>
        </is>
      </c>
      <c r="H1207" s="1" t="inlineStr">
        <is>
          <t>Jessica Freeman</t>
        </is>
      </c>
      <c r="I1207" s="30" t="n">
        <v>46065</v>
      </c>
      <c r="J1207" s="1" t="inlineStr">
        <is>
          <t>9170 Rivers Track</t>
        </is>
      </c>
      <c r="K1207" s="1" t="inlineStr">
        <is>
          <t>Apt. 722</t>
        </is>
      </c>
      <c r="L1207" s="1" t="inlineStr">
        <is>
          <t>PIN:25147 SOUTH MATTHEWBERG</t>
        </is>
      </c>
      <c r="M1207" s="2" t="inlineStr">
        <is>
          <t>MHA/IND/01212</t>
        </is>
      </c>
      <c r="N1207" s="30" t="n">
        <v>46066</v>
      </c>
    </row>
    <row r="1208">
      <c r="A1208" s="28" t="n">
        <v>1207</v>
      </c>
      <c r="B1208" s="1" t="inlineStr">
        <is>
          <t>CAITLYN GUTIERREZ</t>
        </is>
      </c>
      <c r="C1208" s="30" t="n">
        <v>45802</v>
      </c>
      <c r="D1208" s="1" t="inlineStr">
        <is>
          <t>AMYVIEW</t>
        </is>
      </c>
      <c r="E1208" s="12" t="inlineStr">
        <is>
          <t>IND/MEL/01207</t>
        </is>
      </c>
      <c r="F1208" s="1" t="inlineStr">
        <is>
          <t>F</t>
        </is>
      </c>
      <c r="G1208" s="1" t="inlineStr">
        <is>
          <t>Phillip Ferguson</t>
        </is>
      </c>
      <c r="H1208" s="1" t="inlineStr">
        <is>
          <t>Elizabeth Martin</t>
        </is>
      </c>
      <c r="I1208" s="30" t="n">
        <v>46065</v>
      </c>
      <c r="J1208" s="1" t="inlineStr">
        <is>
          <t>55273 Sanders Plaza</t>
        </is>
      </c>
      <c r="K1208" s="1" t="inlineStr">
        <is>
          <t>Apt. 931</t>
        </is>
      </c>
      <c r="L1208" s="1" t="inlineStr">
        <is>
          <t>PIN:06336 TONYSIDE</t>
        </is>
      </c>
      <c r="M1208" s="2" t="inlineStr">
        <is>
          <t>MHA/IND/01213</t>
        </is>
      </c>
      <c r="N1208" s="30" t="n">
        <v>46084</v>
      </c>
    </row>
    <row r="1209">
      <c r="A1209" s="28" t="n">
        <v>1208</v>
      </c>
      <c r="B1209" s="1" t="inlineStr">
        <is>
          <t>KATHERINE LAWSON</t>
        </is>
      </c>
      <c r="C1209" s="30" t="n">
        <v>45825</v>
      </c>
      <c r="D1209" s="1" t="inlineStr">
        <is>
          <t>BANKSFURT</t>
        </is>
      </c>
      <c r="E1209" s="12" t="inlineStr">
        <is>
          <t>IND/MEL/01208</t>
        </is>
      </c>
      <c r="F1209" s="1" t="inlineStr">
        <is>
          <t>F</t>
        </is>
      </c>
      <c r="G1209" s="1" t="inlineStr">
        <is>
          <t>Bruce Kelly</t>
        </is>
      </c>
      <c r="H1209" s="1" t="inlineStr">
        <is>
          <t>Angela Shields</t>
        </is>
      </c>
      <c r="I1209" s="30" t="n">
        <v>46065</v>
      </c>
      <c r="J1209" s="1" t="inlineStr">
        <is>
          <t>395 Arthur Roads</t>
        </is>
      </c>
      <c r="K1209" s="1" t="inlineStr">
        <is>
          <t>Suite 588</t>
        </is>
      </c>
      <c r="L1209" s="1" t="inlineStr">
        <is>
          <t>PIN:55225 NORTH ANTONIO</t>
        </is>
      </c>
      <c r="M1209" s="2" t="inlineStr">
        <is>
          <t>MHA/IND/01214</t>
        </is>
      </c>
      <c r="N1209" s="30" t="n">
        <v>46084</v>
      </c>
    </row>
    <row r="1210">
      <c r="A1210" s="28" t="n">
        <v>1209</v>
      </c>
      <c r="B1210" s="1" t="inlineStr">
        <is>
          <t>JAMIE HOLMES</t>
        </is>
      </c>
      <c r="C1210" s="30" t="n">
        <v>45779</v>
      </c>
      <c r="D1210" s="1" t="inlineStr">
        <is>
          <t>EAST JACQUELINE</t>
        </is>
      </c>
      <c r="E1210" s="12" t="inlineStr">
        <is>
          <t>IND/MEL/01209</t>
        </is>
      </c>
      <c r="F1210" s="1" t="inlineStr">
        <is>
          <t>F</t>
        </is>
      </c>
      <c r="G1210" s="1" t="inlineStr">
        <is>
          <t>Richard Miranda</t>
        </is>
      </c>
      <c r="H1210" s="1" t="inlineStr">
        <is>
          <t>Stacie Wright</t>
        </is>
      </c>
      <c r="I1210" s="30" t="n">
        <v>46065</v>
      </c>
      <c r="J1210" s="1" t="inlineStr">
        <is>
          <t>60731 Amber Court</t>
        </is>
      </c>
      <c r="K1210" s="1" t="inlineStr">
        <is>
          <t>Suite 736</t>
        </is>
      </c>
      <c r="L1210" s="1" t="inlineStr">
        <is>
          <t>PIN:46526 MICHAELSHIRE</t>
        </is>
      </c>
      <c r="M1210" s="2" t="inlineStr">
        <is>
          <t>MHA/IND/01215</t>
        </is>
      </c>
      <c r="N1210" s="30" t="n">
        <v>46094</v>
      </c>
    </row>
    <row r="1211">
      <c r="A1211" s="28" t="n">
        <v>1210</v>
      </c>
      <c r="B1211" s="1" t="inlineStr">
        <is>
          <t>NICOLE BANKS</t>
        </is>
      </c>
      <c r="C1211" s="30" t="n">
        <v>45872</v>
      </c>
      <c r="D1211" s="1" t="inlineStr">
        <is>
          <t>WEST AARON</t>
        </is>
      </c>
      <c r="E1211" s="12" t="inlineStr">
        <is>
          <t>IND/MEL/01210</t>
        </is>
      </c>
      <c r="F1211" s="1" t="inlineStr">
        <is>
          <t>F</t>
        </is>
      </c>
      <c r="G1211" s="1" t="inlineStr">
        <is>
          <t>Nicholas Bennett</t>
        </is>
      </c>
      <c r="H1211" s="1" t="inlineStr">
        <is>
          <t>Nancy Jones</t>
        </is>
      </c>
      <c r="I1211" s="30" t="n">
        <v>46065</v>
      </c>
      <c r="J1211" s="1" t="inlineStr">
        <is>
          <t>088 Daniel Trail</t>
        </is>
      </c>
      <c r="K1211" s="1" t="inlineStr">
        <is>
          <t>Apt. 013</t>
        </is>
      </c>
      <c r="L1211" s="1" t="inlineStr">
        <is>
          <t>PIN:29806 BRITTANYBURGH</t>
        </is>
      </c>
      <c r="M1211" s="2" t="inlineStr">
        <is>
          <t>MHA/IND/01216</t>
        </is>
      </c>
      <c r="N1211" s="30" t="n">
        <v>46071</v>
      </c>
    </row>
    <row r="1212">
      <c r="A1212" s="28" t="n">
        <v>1211</v>
      </c>
      <c r="B1212" s="1" t="inlineStr">
        <is>
          <t>JUDY WARREN</t>
        </is>
      </c>
      <c r="C1212" s="30" t="n">
        <v>45807</v>
      </c>
      <c r="D1212" s="1" t="inlineStr">
        <is>
          <t>SOUTH HOLLY</t>
        </is>
      </c>
      <c r="E1212" s="12" t="inlineStr">
        <is>
          <t>IND/MEL/01211</t>
        </is>
      </c>
      <c r="F1212" s="1" t="inlineStr">
        <is>
          <t>M</t>
        </is>
      </c>
      <c r="G1212" s="1" t="inlineStr">
        <is>
          <t>George Williams</t>
        </is>
      </c>
      <c r="H1212" s="1" t="inlineStr">
        <is>
          <t>Jamie Herring</t>
        </is>
      </c>
      <c r="I1212" s="30" t="n">
        <v>46065</v>
      </c>
      <c r="J1212" s="1" t="inlineStr">
        <is>
          <t>43613 Mark Station Apt. 148</t>
        </is>
      </c>
      <c r="K1212" s="1" t="inlineStr">
        <is>
          <t>Suite 834</t>
        </is>
      </c>
      <c r="L1212" s="1" t="inlineStr">
        <is>
          <t>PIN:25860 NEW AARON</t>
        </is>
      </c>
      <c r="M1212" s="2" t="inlineStr">
        <is>
          <t>MHA/IND/01217</t>
        </is>
      </c>
      <c r="N1212" s="30" t="n">
        <v>46073</v>
      </c>
    </row>
    <row r="1213">
      <c r="A1213" s="28" t="n">
        <v>1212</v>
      </c>
      <c r="B1213" s="1" t="inlineStr">
        <is>
          <t>JOHN JONES</t>
        </is>
      </c>
      <c r="C1213" s="30" t="n">
        <v>45892</v>
      </c>
      <c r="D1213" s="1" t="inlineStr">
        <is>
          <t>PORT DONNABOROUGH</t>
        </is>
      </c>
      <c r="E1213" s="12" t="inlineStr">
        <is>
          <t>IND/MEL/01212</t>
        </is>
      </c>
      <c r="F1213" s="1" t="inlineStr">
        <is>
          <t>F</t>
        </is>
      </c>
      <c r="G1213" s="1" t="inlineStr">
        <is>
          <t>Dr. Brian Myers</t>
        </is>
      </c>
      <c r="H1213" s="1" t="inlineStr">
        <is>
          <t>Stacey Ramos</t>
        </is>
      </c>
      <c r="I1213" s="30" t="n">
        <v>46065</v>
      </c>
      <c r="J1213" s="1" t="inlineStr">
        <is>
          <t>97386 Kim Mall Suite 881</t>
        </is>
      </c>
      <c r="K1213" s="1" t="inlineStr">
        <is>
          <t>Suite 495</t>
        </is>
      </c>
      <c r="L1213" s="1" t="inlineStr">
        <is>
          <t>PIN:54134 JANICEBOROUGH</t>
        </is>
      </c>
      <c r="M1213" s="2" t="inlineStr">
        <is>
          <t>MHA/IND/01218</t>
        </is>
      </c>
      <c r="N1213" s="30" t="n">
        <v>46077</v>
      </c>
    </row>
    <row r="1214">
      <c r="A1214" s="28" t="n">
        <v>1213</v>
      </c>
      <c r="B1214" s="1" t="inlineStr">
        <is>
          <t>AMY LE</t>
        </is>
      </c>
      <c r="C1214" s="30" t="n">
        <v>45815</v>
      </c>
      <c r="D1214" s="1" t="inlineStr">
        <is>
          <t>NICHOLSSIDE</t>
        </is>
      </c>
      <c r="E1214" s="12" t="inlineStr">
        <is>
          <t>IND/MEL/01213</t>
        </is>
      </c>
      <c r="F1214" s="1" t="inlineStr">
        <is>
          <t>F</t>
        </is>
      </c>
      <c r="G1214" s="1" t="inlineStr">
        <is>
          <t>Lance Stone</t>
        </is>
      </c>
      <c r="H1214" s="1" t="inlineStr">
        <is>
          <t>Stacy Hardy</t>
        </is>
      </c>
      <c r="I1214" s="30" t="n">
        <v>46065</v>
      </c>
      <c r="J1214" s="1" t="inlineStr">
        <is>
          <t>8697 Hanson Port</t>
        </is>
      </c>
      <c r="K1214" s="1" t="inlineStr">
        <is>
          <t>Apt. 801</t>
        </is>
      </c>
      <c r="L1214" s="1" t="inlineStr">
        <is>
          <t>PIN:43999 PORT JOHNNYFORT</t>
        </is>
      </c>
      <c r="M1214" s="2" t="inlineStr">
        <is>
          <t>MHA/IND/01219</t>
        </is>
      </c>
      <c r="N1214" s="30" t="n">
        <v>46076</v>
      </c>
    </row>
    <row r="1215">
      <c r="A1215" s="28" t="n">
        <v>1214</v>
      </c>
      <c r="B1215" s="1" t="inlineStr">
        <is>
          <t>TAMMY BLEVINS</t>
        </is>
      </c>
      <c r="C1215" s="30" t="n">
        <v>45921</v>
      </c>
      <c r="D1215" s="1" t="inlineStr">
        <is>
          <t>WEST LAURAVILLE</t>
        </is>
      </c>
      <c r="E1215" s="12" t="inlineStr">
        <is>
          <t>IND/MEL/01214</t>
        </is>
      </c>
      <c r="F1215" s="1" t="inlineStr">
        <is>
          <t>F</t>
        </is>
      </c>
      <c r="G1215" s="1" t="inlineStr">
        <is>
          <t>John Sullivan</t>
        </is>
      </c>
      <c r="H1215" s="1" t="inlineStr">
        <is>
          <t>Nancy Spears</t>
        </is>
      </c>
      <c r="I1215" s="30" t="n">
        <v>46065</v>
      </c>
      <c r="J1215" s="1" t="inlineStr">
        <is>
          <t>2072 Garner Motorway Apt. 585</t>
        </is>
      </c>
      <c r="K1215" s="1" t="inlineStr">
        <is>
          <t>Apt. 613</t>
        </is>
      </c>
      <c r="L1215" s="1" t="inlineStr">
        <is>
          <t>PIN:20610 GARYPORT</t>
        </is>
      </c>
      <c r="M1215" s="2" t="inlineStr">
        <is>
          <t>MHA/IND/01220</t>
        </is>
      </c>
      <c r="N1215" s="30" t="n">
        <v>46067</v>
      </c>
    </row>
    <row r="1216">
      <c r="A1216" s="28" t="n">
        <v>1215</v>
      </c>
      <c r="B1216" s="1" t="inlineStr">
        <is>
          <t>AMANDA OLIVER</t>
        </is>
      </c>
      <c r="C1216" s="30" t="n">
        <v>45921</v>
      </c>
      <c r="D1216" s="1" t="inlineStr">
        <is>
          <t>EAST WILLIE</t>
        </is>
      </c>
      <c r="E1216" s="12" t="inlineStr">
        <is>
          <t>IND/MEL/01215</t>
        </is>
      </c>
      <c r="F1216" s="1" t="inlineStr">
        <is>
          <t>F</t>
        </is>
      </c>
      <c r="G1216" s="1" t="inlineStr">
        <is>
          <t>Mark Grant</t>
        </is>
      </c>
      <c r="H1216" s="1" t="inlineStr">
        <is>
          <t>Mary Mcdonald</t>
        </is>
      </c>
      <c r="I1216" s="30" t="n">
        <v>46065</v>
      </c>
      <c r="J1216" s="1" t="inlineStr">
        <is>
          <t>6890 Stephen Road Apt. 693</t>
        </is>
      </c>
      <c r="K1216" s="1" t="inlineStr">
        <is>
          <t>Apt. 357</t>
        </is>
      </c>
      <c r="L1216" s="1" t="inlineStr">
        <is>
          <t>PIN:23020 MARTINEZSTAD</t>
        </is>
      </c>
      <c r="M1216" s="2" t="inlineStr">
        <is>
          <t>MHA/IND/01221</t>
        </is>
      </c>
      <c r="N1216" s="30" t="n">
        <v>46083</v>
      </c>
    </row>
    <row r="1217">
      <c r="A1217" s="28" t="n">
        <v>1216</v>
      </c>
      <c r="B1217" s="1" t="inlineStr">
        <is>
          <t>JENNIFER MCCORMICK</t>
        </is>
      </c>
      <c r="C1217" s="30" t="n">
        <v>45927</v>
      </c>
      <c r="D1217" s="1" t="inlineStr">
        <is>
          <t>DANIELSIDE</t>
        </is>
      </c>
      <c r="E1217" s="12" t="inlineStr">
        <is>
          <t>IND/MEL/01216</t>
        </is>
      </c>
      <c r="F1217" s="1" t="inlineStr">
        <is>
          <t>M</t>
        </is>
      </c>
      <c r="G1217" s="1" t="inlineStr">
        <is>
          <t>Benjamin Johnson</t>
        </is>
      </c>
      <c r="H1217" s="1" t="inlineStr">
        <is>
          <t>Samantha Howell</t>
        </is>
      </c>
      <c r="I1217" s="30" t="n">
        <v>46065</v>
      </c>
      <c r="J1217" s="1" t="inlineStr">
        <is>
          <t>332 Richard Meadow</t>
        </is>
      </c>
      <c r="K1217" s="1" t="inlineStr">
        <is>
          <t>Suite 549</t>
        </is>
      </c>
      <c r="L1217" s="1" t="inlineStr">
        <is>
          <t>PIN:07909 SOUTH PAMELA</t>
        </is>
      </c>
      <c r="M1217" s="2" t="inlineStr">
        <is>
          <t>MHA/IND/01222</t>
        </is>
      </c>
      <c r="N1217" s="30" t="n">
        <v>46085</v>
      </c>
    </row>
    <row r="1218">
      <c r="A1218" s="28" t="n">
        <v>1217</v>
      </c>
      <c r="B1218" s="1" t="inlineStr">
        <is>
          <t>ADRIAN STEPHENS</t>
        </is>
      </c>
      <c r="C1218" s="30" t="n">
        <v>45998</v>
      </c>
      <c r="D1218" s="1" t="inlineStr">
        <is>
          <t>PHAMMOUTH</t>
        </is>
      </c>
      <c r="E1218" s="12" t="inlineStr">
        <is>
          <t>IND/MEL/01217</t>
        </is>
      </c>
      <c r="F1218" s="1" t="inlineStr">
        <is>
          <t>F</t>
        </is>
      </c>
      <c r="G1218" s="1" t="inlineStr">
        <is>
          <t>Gerald Carey</t>
        </is>
      </c>
      <c r="H1218" s="1" t="inlineStr">
        <is>
          <t>Jill Graves</t>
        </is>
      </c>
      <c r="I1218" s="30" t="n">
        <v>46065</v>
      </c>
      <c r="J1218" s="1" t="inlineStr">
        <is>
          <t>83780 Byrd Roads Suite 525</t>
        </is>
      </c>
      <c r="K1218" s="1" t="inlineStr">
        <is>
          <t>Apt. 739</t>
        </is>
      </c>
      <c r="L1218" s="1" t="inlineStr">
        <is>
          <t>PIN:46111 JEFFREYBURY</t>
        </is>
      </c>
      <c r="M1218" s="2" t="inlineStr">
        <is>
          <t>MHA/IND/01223</t>
        </is>
      </c>
      <c r="N1218" s="30" t="n">
        <v>46090</v>
      </c>
    </row>
    <row r="1219">
      <c r="A1219" s="28" t="n">
        <v>1218</v>
      </c>
      <c r="B1219" s="1" t="inlineStr">
        <is>
          <t>ASHLEY GLASS</t>
        </is>
      </c>
      <c r="C1219" s="30" t="n">
        <v>45849</v>
      </c>
      <c r="D1219" s="1" t="inlineStr">
        <is>
          <t>EAST TONY</t>
        </is>
      </c>
      <c r="E1219" s="12" t="inlineStr">
        <is>
          <t>IND/MEL/01218</t>
        </is>
      </c>
      <c r="F1219" s="1" t="inlineStr">
        <is>
          <t>F</t>
        </is>
      </c>
      <c r="G1219" s="1" t="inlineStr">
        <is>
          <t>Matthew Clarke</t>
        </is>
      </c>
      <c r="H1219" s="1" t="inlineStr">
        <is>
          <t>Leslie Schultz</t>
        </is>
      </c>
      <c r="I1219" s="30" t="n">
        <v>46065</v>
      </c>
      <c r="J1219" s="1" t="inlineStr">
        <is>
          <t>996 James Port Apt. 226</t>
        </is>
      </c>
      <c r="K1219" s="1" t="inlineStr">
        <is>
          <t>Apt. 125</t>
        </is>
      </c>
      <c r="L1219" s="1" t="inlineStr">
        <is>
          <t>PIN:65619 WEST SYDNEYTOWN</t>
        </is>
      </c>
      <c r="M1219" s="2" t="inlineStr">
        <is>
          <t>MHA/IND/01224</t>
        </is>
      </c>
      <c r="N1219" s="30" t="n">
        <v>46089</v>
      </c>
    </row>
    <row r="1220">
      <c r="A1220" s="28" t="n">
        <v>1219</v>
      </c>
      <c r="B1220" s="1" t="inlineStr">
        <is>
          <t>LISA LLOYD</t>
        </is>
      </c>
      <c r="C1220" s="30" t="n">
        <v>45888</v>
      </c>
      <c r="D1220" s="1" t="inlineStr">
        <is>
          <t>NEW ASHLEYBURGH</t>
        </is>
      </c>
      <c r="E1220" s="12" t="inlineStr">
        <is>
          <t>IND/MEL/01219</t>
        </is>
      </c>
      <c r="F1220" s="1" t="inlineStr">
        <is>
          <t>F</t>
        </is>
      </c>
      <c r="G1220" s="1" t="inlineStr">
        <is>
          <t>David Rodriguez</t>
        </is>
      </c>
      <c r="H1220" s="1" t="inlineStr">
        <is>
          <t>Krystal Contreras</t>
        </is>
      </c>
      <c r="I1220" s="30" t="n">
        <v>46065</v>
      </c>
      <c r="J1220" s="1" t="inlineStr">
        <is>
          <t>2560 Gonzales Fields</t>
        </is>
      </c>
      <c r="K1220" s="1" t="inlineStr">
        <is>
          <t>Apt. 845</t>
        </is>
      </c>
      <c r="L1220" s="1" t="inlineStr">
        <is>
          <t>PIN:80250 EAST CRISTINA</t>
        </is>
      </c>
      <c r="M1220" s="2" t="inlineStr">
        <is>
          <t>MHA/IND/01225</t>
        </is>
      </c>
      <c r="N1220" s="30" t="n">
        <v>46078</v>
      </c>
    </row>
    <row r="1221">
      <c r="A1221" s="28" t="n">
        <v>1220</v>
      </c>
      <c r="B1221" s="1" t="inlineStr">
        <is>
          <t>DEBBIE MULLINS</t>
        </is>
      </c>
      <c r="C1221" s="30" t="n">
        <v>45917</v>
      </c>
      <c r="D1221" s="1" t="inlineStr">
        <is>
          <t>JOHNATHANTON</t>
        </is>
      </c>
      <c r="E1221" s="12" t="inlineStr">
        <is>
          <t>IND/MEL/01220</t>
        </is>
      </c>
      <c r="F1221" s="1" t="inlineStr">
        <is>
          <t>F</t>
        </is>
      </c>
      <c r="G1221" s="1" t="inlineStr">
        <is>
          <t>Matthew Johnson</t>
        </is>
      </c>
      <c r="H1221" s="1" t="inlineStr">
        <is>
          <t>Morgan Macias</t>
        </is>
      </c>
      <c r="I1221" s="30" t="n">
        <v>46065</v>
      </c>
      <c r="J1221" s="1" t="inlineStr">
        <is>
          <t>22933 Keith Inlet</t>
        </is>
      </c>
      <c r="K1221" s="1" t="inlineStr">
        <is>
          <t>Suite 611</t>
        </is>
      </c>
      <c r="L1221" s="1" t="inlineStr">
        <is>
          <t>PIN:55346 FLORESVILLE</t>
        </is>
      </c>
      <c r="M1221" s="2" t="inlineStr">
        <is>
          <t>MHA/IND/01226</t>
        </is>
      </c>
      <c r="N1221" s="30" t="n">
        <v>46072</v>
      </c>
    </row>
    <row r="1222">
      <c r="A1222" s="28" t="n">
        <v>1221</v>
      </c>
      <c r="B1222" s="1" t="inlineStr">
        <is>
          <t>VERONICA MARTINEZ</t>
        </is>
      </c>
      <c r="C1222" s="30" t="n">
        <v>45951</v>
      </c>
      <c r="D1222" s="1" t="inlineStr">
        <is>
          <t>LAKE MICHELLESHIRE</t>
        </is>
      </c>
      <c r="E1222" s="12" t="inlineStr">
        <is>
          <t>IND/MEL/01221</t>
        </is>
      </c>
      <c r="F1222" s="1" t="inlineStr">
        <is>
          <t>M</t>
        </is>
      </c>
      <c r="G1222" s="1" t="inlineStr">
        <is>
          <t>Richard Pitts</t>
        </is>
      </c>
      <c r="H1222" s="1" t="inlineStr">
        <is>
          <t>Sharon Wilson</t>
        </is>
      </c>
      <c r="I1222" s="30" t="n">
        <v>46065</v>
      </c>
      <c r="J1222" s="1" t="inlineStr">
        <is>
          <t>87759 Nathan Greens Apt. 337</t>
        </is>
      </c>
      <c r="K1222" s="1" t="inlineStr">
        <is>
          <t>Suite 882</t>
        </is>
      </c>
      <c r="L1222" s="1" t="inlineStr">
        <is>
          <t>PIN:60950 ALISONVILLE</t>
        </is>
      </c>
      <c r="M1222" s="2" t="inlineStr">
        <is>
          <t>MHA/IND/01227</t>
        </is>
      </c>
      <c r="N1222" s="30" t="n">
        <v>46091</v>
      </c>
    </row>
    <row r="1223">
      <c r="A1223" s="28" t="n">
        <v>1222</v>
      </c>
      <c r="B1223" s="1" t="inlineStr">
        <is>
          <t>CHRISTOPHER CAMPOS</t>
        </is>
      </c>
      <c r="C1223" s="30" t="n">
        <v>45724</v>
      </c>
      <c r="D1223" s="1" t="inlineStr">
        <is>
          <t>MARIABOROUGH</t>
        </is>
      </c>
      <c r="E1223" s="12" t="inlineStr">
        <is>
          <t>IND/MEL/01222</t>
        </is>
      </c>
      <c r="F1223" s="1" t="inlineStr">
        <is>
          <t>F</t>
        </is>
      </c>
      <c r="G1223" s="1" t="inlineStr">
        <is>
          <t>Ryan Brown</t>
        </is>
      </c>
      <c r="H1223" s="1" t="inlineStr">
        <is>
          <t>Samantha Christensen</t>
        </is>
      </c>
      <c r="I1223" s="30" t="n">
        <v>46065</v>
      </c>
      <c r="J1223" s="1" t="inlineStr">
        <is>
          <t>9255 Diana Wall</t>
        </is>
      </c>
      <c r="K1223" s="1" t="inlineStr">
        <is>
          <t>Apt. 513</t>
        </is>
      </c>
      <c r="L1223" s="1" t="inlineStr">
        <is>
          <t>PIN:12127 WEST JUAN</t>
        </is>
      </c>
      <c r="M1223" s="2" t="inlineStr">
        <is>
          <t>MHA/IND/01228</t>
        </is>
      </c>
      <c r="N1223" s="30" t="n">
        <v>46083</v>
      </c>
    </row>
    <row r="1224">
      <c r="A1224" s="28" t="n">
        <v>1223</v>
      </c>
      <c r="B1224" s="1" t="inlineStr">
        <is>
          <t>HANNAH JOHNSON</t>
        </is>
      </c>
      <c r="C1224" s="30" t="n">
        <v>45786</v>
      </c>
      <c r="D1224" s="1" t="inlineStr">
        <is>
          <t>LAKE ROBERTBOROUGH</t>
        </is>
      </c>
      <c r="E1224" s="12" t="inlineStr">
        <is>
          <t>IND/MEL/01223</t>
        </is>
      </c>
      <c r="F1224" s="1" t="inlineStr">
        <is>
          <t>M</t>
        </is>
      </c>
      <c r="G1224" s="1" t="inlineStr">
        <is>
          <t>Jeffrey Phillips</t>
        </is>
      </c>
      <c r="H1224" s="1" t="inlineStr">
        <is>
          <t>Shannon Riley</t>
        </is>
      </c>
      <c r="I1224" s="30" t="n">
        <v>46065</v>
      </c>
      <c r="J1224" s="1" t="inlineStr">
        <is>
          <t>3484 Paul Causeway Apt. 774</t>
        </is>
      </c>
      <c r="K1224" s="1" t="inlineStr">
        <is>
          <t>Apt. 719</t>
        </is>
      </c>
      <c r="L1224" s="1" t="inlineStr">
        <is>
          <t>PIN:72391 SOUTH SHANE</t>
        </is>
      </c>
      <c r="M1224" s="2" t="inlineStr">
        <is>
          <t>MHA/IND/01229</t>
        </is>
      </c>
      <c r="N1224" s="30" t="n">
        <v>46068</v>
      </c>
    </row>
    <row r="1225">
      <c r="A1225" s="28" t="n">
        <v>1224</v>
      </c>
      <c r="B1225" s="1" t="inlineStr">
        <is>
          <t>MICHELLE EVANS</t>
        </is>
      </c>
      <c r="C1225" s="30" t="n">
        <v>46052</v>
      </c>
      <c r="D1225" s="1" t="inlineStr">
        <is>
          <t>LAKE JAMESTOWN</t>
        </is>
      </c>
      <c r="E1225" s="12" t="inlineStr">
        <is>
          <t>IND/MEL/01224</t>
        </is>
      </c>
      <c r="F1225" s="1" t="inlineStr">
        <is>
          <t>M</t>
        </is>
      </c>
      <c r="G1225" s="1" t="inlineStr">
        <is>
          <t>Timothy Davis</t>
        </is>
      </c>
      <c r="H1225" s="1" t="inlineStr">
        <is>
          <t>Pamela Crosby</t>
        </is>
      </c>
      <c r="I1225" s="30" t="n">
        <v>46065</v>
      </c>
      <c r="J1225" s="1" t="inlineStr">
        <is>
          <t>4047 Hudson Roads Apt. 200</t>
        </is>
      </c>
      <c r="K1225" s="1" t="inlineStr">
        <is>
          <t>Apt. 067</t>
        </is>
      </c>
      <c r="L1225" s="1" t="inlineStr">
        <is>
          <t>PIN:69239 MARYSTAD</t>
        </is>
      </c>
      <c r="M1225" s="2" t="inlineStr">
        <is>
          <t>MHA/IND/01230</t>
        </is>
      </c>
      <c r="N1225" s="30" t="n">
        <v>46081</v>
      </c>
    </row>
    <row r="1226">
      <c r="A1226" s="28" t="n">
        <v>1225</v>
      </c>
      <c r="B1226" s="1" t="inlineStr">
        <is>
          <t>MARIA JOHNSON</t>
        </is>
      </c>
      <c r="C1226" s="30" t="n">
        <v>45842</v>
      </c>
      <c r="D1226" s="1" t="inlineStr">
        <is>
          <t>EAST JULIA</t>
        </is>
      </c>
      <c r="E1226" s="12" t="inlineStr">
        <is>
          <t>IND/MEL/01225</t>
        </is>
      </c>
      <c r="F1226" s="1" t="inlineStr">
        <is>
          <t>M</t>
        </is>
      </c>
      <c r="G1226" s="1" t="inlineStr">
        <is>
          <t>Corey Gray</t>
        </is>
      </c>
      <c r="H1226" s="1" t="inlineStr">
        <is>
          <t>Barbara Serrano</t>
        </is>
      </c>
      <c r="I1226" s="30" t="n">
        <v>46065</v>
      </c>
      <c r="J1226" s="1" t="inlineStr">
        <is>
          <t>605 Michael Extension</t>
        </is>
      </c>
      <c r="K1226" s="1" t="inlineStr">
        <is>
          <t>Apt. 899</t>
        </is>
      </c>
      <c r="L1226" s="1" t="inlineStr">
        <is>
          <t>PIN:34432 ALEXANDRAVIEW</t>
        </is>
      </c>
      <c r="M1226" s="2" t="inlineStr">
        <is>
          <t>MHA/IND/01231</t>
        </is>
      </c>
      <c r="N1226" s="30" t="n">
        <v>46071</v>
      </c>
    </row>
    <row r="1227">
      <c r="A1227" s="28" t="n">
        <v>1226</v>
      </c>
      <c r="B1227" s="1" t="inlineStr">
        <is>
          <t>STEPHANIE SKINNER</t>
        </is>
      </c>
      <c r="C1227" s="30" t="n">
        <v>45865</v>
      </c>
      <c r="D1227" s="1" t="inlineStr">
        <is>
          <t>PORT JAY</t>
        </is>
      </c>
      <c r="E1227" s="12" t="inlineStr">
        <is>
          <t>IND/MEL/01226</t>
        </is>
      </c>
      <c r="F1227" s="1" t="inlineStr">
        <is>
          <t>M</t>
        </is>
      </c>
      <c r="G1227" s="1" t="inlineStr">
        <is>
          <t>Matthew Zimmerman</t>
        </is>
      </c>
      <c r="H1227" s="1" t="inlineStr">
        <is>
          <t>Madeline Porter</t>
        </is>
      </c>
      <c r="I1227" s="30" t="n">
        <v>46065</v>
      </c>
      <c r="J1227" s="1" t="inlineStr">
        <is>
          <t>031 Haney Place</t>
        </is>
      </c>
      <c r="K1227" s="1" t="inlineStr">
        <is>
          <t>Apt. 016</t>
        </is>
      </c>
      <c r="L1227" s="1" t="inlineStr">
        <is>
          <t>PIN:69239 HUDSONFORT</t>
        </is>
      </c>
      <c r="M1227" s="2" t="inlineStr">
        <is>
          <t>MHA/IND/01232</t>
        </is>
      </c>
      <c r="N1227" s="30" t="n">
        <v>46076</v>
      </c>
    </row>
    <row r="1228">
      <c r="A1228" s="28" t="n">
        <v>1227</v>
      </c>
      <c r="B1228" s="1" t="inlineStr">
        <is>
          <t>JAMES MITCHELL</t>
        </is>
      </c>
      <c r="C1228" s="30" t="n">
        <v>45819</v>
      </c>
      <c r="D1228" s="1" t="inlineStr">
        <is>
          <t>PORT AMANDA</t>
        </is>
      </c>
      <c r="E1228" s="12" t="inlineStr">
        <is>
          <t>IND/MEL/01227</t>
        </is>
      </c>
      <c r="F1228" s="1" t="inlineStr">
        <is>
          <t>M</t>
        </is>
      </c>
      <c r="G1228" s="1" t="inlineStr">
        <is>
          <t>Eddie Nelson</t>
        </is>
      </c>
      <c r="H1228" s="1" t="inlineStr">
        <is>
          <t>Kelsey Wright</t>
        </is>
      </c>
      <c r="I1228" s="30" t="n">
        <v>46065</v>
      </c>
      <c r="J1228" s="1" t="inlineStr">
        <is>
          <t>427 Gonzalez Mill Apt. 889</t>
        </is>
      </c>
      <c r="K1228" s="1" t="inlineStr">
        <is>
          <t>Apt. 357</t>
        </is>
      </c>
      <c r="L1228" s="1" t="inlineStr">
        <is>
          <t>PIN:47209 ELLISFURT</t>
        </is>
      </c>
      <c r="M1228" s="2" t="inlineStr">
        <is>
          <t>MHA/IND/01233</t>
        </is>
      </c>
      <c r="N1228" s="30" t="n">
        <v>46069</v>
      </c>
    </row>
    <row r="1229">
      <c r="A1229" s="28" t="n">
        <v>1228</v>
      </c>
      <c r="B1229" s="1" t="inlineStr">
        <is>
          <t>SHERRY ROSE</t>
        </is>
      </c>
      <c r="C1229" s="30" t="n">
        <v>45874</v>
      </c>
      <c r="D1229" s="1" t="inlineStr">
        <is>
          <t>WEST KATHLEENCHESTER</t>
        </is>
      </c>
      <c r="E1229" s="12" t="inlineStr">
        <is>
          <t>IND/MEL/01228</t>
        </is>
      </c>
      <c r="F1229" s="1" t="inlineStr">
        <is>
          <t>M</t>
        </is>
      </c>
      <c r="G1229" s="1" t="inlineStr">
        <is>
          <t>John Thompson</t>
        </is>
      </c>
      <c r="H1229" s="1" t="inlineStr">
        <is>
          <t>Laurie Ballard</t>
        </is>
      </c>
      <c r="I1229" s="30" t="n">
        <v>46065</v>
      </c>
      <c r="J1229" s="1" t="inlineStr">
        <is>
          <t>90176 Robert Island Suite 894</t>
        </is>
      </c>
      <c r="K1229" s="1" t="inlineStr">
        <is>
          <t>Apt. 354</t>
        </is>
      </c>
      <c r="L1229" s="1" t="inlineStr">
        <is>
          <t>PIN:21578 EAST BRITTANY</t>
        </is>
      </c>
      <c r="M1229" s="2" t="inlineStr">
        <is>
          <t>MHA/IND/01234</t>
        </is>
      </c>
      <c r="N1229" s="30" t="n">
        <v>46083</v>
      </c>
    </row>
    <row r="1230">
      <c r="A1230" s="28" t="n">
        <v>1229</v>
      </c>
      <c r="B1230" s="1" t="inlineStr">
        <is>
          <t>HAROLD VEGA</t>
        </is>
      </c>
      <c r="C1230" s="30" t="n">
        <v>45915</v>
      </c>
      <c r="D1230" s="1" t="inlineStr">
        <is>
          <t>NEW CANDACESIDE</t>
        </is>
      </c>
      <c r="E1230" s="12" t="inlineStr">
        <is>
          <t>IND/MEL/01229</t>
        </is>
      </c>
      <c r="F1230" s="1" t="inlineStr">
        <is>
          <t>M</t>
        </is>
      </c>
      <c r="G1230" s="1" t="inlineStr">
        <is>
          <t>Derek Moody</t>
        </is>
      </c>
      <c r="H1230" s="1" t="inlineStr">
        <is>
          <t>Theresa Harris</t>
        </is>
      </c>
      <c r="I1230" s="30" t="n">
        <v>46065</v>
      </c>
      <c r="J1230" s="1" t="inlineStr">
        <is>
          <t>20932 Gabriel Place Apt. 753</t>
        </is>
      </c>
      <c r="K1230" s="1" t="inlineStr">
        <is>
          <t>Apt. 059</t>
        </is>
      </c>
      <c r="L1230" s="1" t="inlineStr">
        <is>
          <t>PIN:13991 WHITNEYBURY</t>
        </is>
      </c>
      <c r="M1230" s="2" t="inlineStr">
        <is>
          <t>MHA/IND/01235</t>
        </is>
      </c>
      <c r="N1230" s="30" t="n">
        <v>46070</v>
      </c>
    </row>
    <row r="1231">
      <c r="A1231" s="28" t="n">
        <v>1230</v>
      </c>
      <c r="B1231" s="1" t="inlineStr">
        <is>
          <t>COREY ALLEN</t>
        </is>
      </c>
      <c r="C1231" s="30" t="n">
        <v>45701</v>
      </c>
      <c r="D1231" s="1" t="inlineStr">
        <is>
          <t>KENNETHSHIRE</t>
        </is>
      </c>
      <c r="E1231" s="12" t="inlineStr">
        <is>
          <t>IND/MEL/01230</t>
        </is>
      </c>
      <c r="F1231" s="1" t="inlineStr">
        <is>
          <t>F</t>
        </is>
      </c>
      <c r="G1231" s="1" t="inlineStr">
        <is>
          <t>Henry Wright</t>
        </is>
      </c>
      <c r="H1231" s="1" t="inlineStr">
        <is>
          <t>Annette Osborne</t>
        </is>
      </c>
      <c r="I1231" s="30" t="n">
        <v>46065</v>
      </c>
      <c r="J1231" s="1" t="inlineStr">
        <is>
          <t>14698 Quinn Motorway</t>
        </is>
      </c>
      <c r="K1231" s="1" t="inlineStr">
        <is>
          <t>Suite 067</t>
        </is>
      </c>
      <c r="L1231" s="1" t="inlineStr">
        <is>
          <t>PIN:95525 LAKE JOELMOUTH</t>
        </is>
      </c>
      <c r="M1231" s="2" t="inlineStr">
        <is>
          <t>MHA/IND/01236</t>
        </is>
      </c>
      <c r="N1231" s="30" t="n">
        <v>46095</v>
      </c>
    </row>
    <row r="1232">
      <c r="A1232" s="28" t="n">
        <v>1231</v>
      </c>
      <c r="B1232" s="1" t="inlineStr">
        <is>
          <t>SAMUEL JOHNSON</t>
        </is>
      </c>
      <c r="C1232" s="30" t="n">
        <v>45919</v>
      </c>
      <c r="D1232" s="1" t="inlineStr">
        <is>
          <t>WEST JAVIERVIEW</t>
        </is>
      </c>
      <c r="E1232" s="12" t="inlineStr">
        <is>
          <t>IND/MEL/01231</t>
        </is>
      </c>
      <c r="F1232" s="1" t="inlineStr">
        <is>
          <t>M</t>
        </is>
      </c>
      <c r="G1232" s="1" t="inlineStr">
        <is>
          <t>Benjamin Patton</t>
        </is>
      </c>
      <c r="H1232" s="1" t="inlineStr">
        <is>
          <t>Rachel Stephenson</t>
        </is>
      </c>
      <c r="I1232" s="30" t="n">
        <v>46065</v>
      </c>
      <c r="J1232" s="1" t="inlineStr">
        <is>
          <t>50433 Tucker Mills</t>
        </is>
      </c>
      <c r="K1232" s="1" t="inlineStr">
        <is>
          <t>Suite 549</t>
        </is>
      </c>
      <c r="L1232" s="1" t="inlineStr">
        <is>
          <t>PIN:40493 NORTH JAMESVILLE</t>
        </is>
      </c>
      <c r="M1232" s="2" t="inlineStr">
        <is>
          <t>MHA/IND/01237</t>
        </is>
      </c>
      <c r="N1232" s="30" t="n">
        <v>46073</v>
      </c>
    </row>
    <row r="1233">
      <c r="A1233" s="28" t="n">
        <v>1232</v>
      </c>
      <c r="B1233" s="1" t="inlineStr">
        <is>
          <t>CHRISTOPHER MARTINEZ</t>
        </is>
      </c>
      <c r="C1233" s="30" t="n">
        <v>45946</v>
      </c>
      <c r="D1233" s="1" t="inlineStr">
        <is>
          <t>LAKE LAURA</t>
        </is>
      </c>
      <c r="E1233" s="12" t="inlineStr">
        <is>
          <t>IND/MEL/01232</t>
        </is>
      </c>
      <c r="F1233" s="1" t="inlineStr">
        <is>
          <t>M</t>
        </is>
      </c>
      <c r="G1233" s="1" t="inlineStr">
        <is>
          <t>James Tanner</t>
        </is>
      </c>
      <c r="H1233" s="1" t="inlineStr">
        <is>
          <t>Jill Hall</t>
        </is>
      </c>
      <c r="I1233" s="30" t="n">
        <v>46065</v>
      </c>
      <c r="J1233" s="1" t="inlineStr">
        <is>
          <t>639 Jenny Motorway Apt. 905</t>
        </is>
      </c>
      <c r="K1233" s="1" t="inlineStr">
        <is>
          <t>Apt. 833</t>
        </is>
      </c>
      <c r="L1233" s="1" t="inlineStr">
        <is>
          <t>PIN:75005 WALKERMOUTH</t>
        </is>
      </c>
      <c r="M1233" s="2" t="inlineStr">
        <is>
          <t>MHA/IND/01238</t>
        </is>
      </c>
      <c r="N1233" s="30" t="n">
        <v>46082</v>
      </c>
    </row>
    <row r="1234">
      <c r="A1234" s="28" t="n">
        <v>1233</v>
      </c>
      <c r="B1234" s="1" t="inlineStr">
        <is>
          <t>CHRISTOPHER PEREZ</t>
        </is>
      </c>
      <c r="C1234" s="30" t="n">
        <v>45962</v>
      </c>
      <c r="D1234" s="1" t="inlineStr">
        <is>
          <t>DERRICKTOWN</t>
        </is>
      </c>
      <c r="E1234" s="12" t="inlineStr">
        <is>
          <t>IND/MEL/01233</t>
        </is>
      </c>
      <c r="F1234" s="1" t="inlineStr">
        <is>
          <t>M</t>
        </is>
      </c>
      <c r="G1234" s="1" t="inlineStr">
        <is>
          <t>Guy Davis</t>
        </is>
      </c>
      <c r="H1234" s="1" t="inlineStr">
        <is>
          <t>Julia Miller</t>
        </is>
      </c>
      <c r="I1234" s="30" t="n">
        <v>46065</v>
      </c>
      <c r="J1234" s="1" t="inlineStr">
        <is>
          <t>039 Christine Views Apt. 257</t>
        </is>
      </c>
      <c r="K1234" s="1" t="inlineStr">
        <is>
          <t>Suite 344</t>
        </is>
      </c>
      <c r="L1234" s="1" t="inlineStr">
        <is>
          <t>PIN:94618 CONWAYBURGH</t>
        </is>
      </c>
      <c r="M1234" s="2" t="inlineStr">
        <is>
          <t>MHA/IND/01239</t>
        </is>
      </c>
      <c r="N1234" s="30" t="n">
        <v>46073</v>
      </c>
    </row>
    <row r="1235">
      <c r="A1235" s="28" t="n">
        <v>1234</v>
      </c>
      <c r="B1235" s="1" t="inlineStr">
        <is>
          <t>DAVID MYERS</t>
        </is>
      </c>
      <c r="C1235" s="30" t="n">
        <v>45848</v>
      </c>
      <c r="D1235" s="1" t="inlineStr">
        <is>
          <t>PORT AMBER</t>
        </is>
      </c>
      <c r="E1235" s="12" t="inlineStr">
        <is>
          <t>IND/MEL/01234</t>
        </is>
      </c>
      <c r="F1235" s="1" t="inlineStr">
        <is>
          <t>M</t>
        </is>
      </c>
      <c r="G1235" s="1" t="inlineStr">
        <is>
          <t>Austin Butler</t>
        </is>
      </c>
      <c r="H1235" s="1" t="inlineStr">
        <is>
          <t>Anna Nelson</t>
        </is>
      </c>
      <c r="I1235" s="30" t="n">
        <v>46065</v>
      </c>
      <c r="J1235" s="1" t="inlineStr">
        <is>
          <t>901 John Knoll</t>
        </is>
      </c>
      <c r="K1235" s="1" t="inlineStr">
        <is>
          <t>Suite 238</t>
        </is>
      </c>
      <c r="L1235" s="1" t="inlineStr">
        <is>
          <t>PIN:56791 GORDONLAND</t>
        </is>
      </c>
      <c r="M1235" s="2" t="inlineStr">
        <is>
          <t>MHA/IND/01240</t>
        </is>
      </c>
      <c r="N1235" s="30" t="n">
        <v>46082</v>
      </c>
    </row>
    <row r="1236">
      <c r="A1236" s="28" t="n">
        <v>1235</v>
      </c>
      <c r="B1236" s="1" t="inlineStr">
        <is>
          <t>CHARLES MARTINEZ</t>
        </is>
      </c>
      <c r="C1236" s="30" t="n">
        <v>46029</v>
      </c>
      <c r="D1236" s="1" t="inlineStr">
        <is>
          <t>SOUTH STEPHANIE</t>
        </is>
      </c>
      <c r="E1236" s="12" t="inlineStr">
        <is>
          <t>IND/MEL/01235</t>
        </is>
      </c>
      <c r="F1236" s="1" t="inlineStr">
        <is>
          <t>F</t>
        </is>
      </c>
      <c r="G1236" s="1" t="inlineStr">
        <is>
          <t>Adam Fox</t>
        </is>
      </c>
      <c r="H1236" s="1" t="inlineStr">
        <is>
          <t>Jordan Carpenter</t>
        </is>
      </c>
      <c r="I1236" s="30" t="n">
        <v>46065</v>
      </c>
      <c r="J1236" s="1" t="inlineStr">
        <is>
          <t>0655 Fisher Squares Apt. 696</t>
        </is>
      </c>
      <c r="K1236" s="1" t="inlineStr">
        <is>
          <t>Suite 115</t>
        </is>
      </c>
      <c r="L1236" s="1" t="inlineStr">
        <is>
          <t>PIN:71397 GUERRASHIRE</t>
        </is>
      </c>
      <c r="M1236" s="2" t="inlineStr">
        <is>
          <t>MHA/IND/01241</t>
        </is>
      </c>
      <c r="N1236" s="30" t="n">
        <v>46095</v>
      </c>
    </row>
    <row r="1237">
      <c r="A1237" s="28" t="n">
        <v>1236</v>
      </c>
      <c r="B1237" s="1" t="inlineStr">
        <is>
          <t>CARLA HANSON</t>
        </is>
      </c>
      <c r="C1237" s="30" t="n">
        <v>45951</v>
      </c>
      <c r="D1237" s="1" t="inlineStr">
        <is>
          <t>CARNEYBURY</t>
        </is>
      </c>
      <c r="E1237" s="12" t="inlineStr">
        <is>
          <t>IND/MEL/01236</t>
        </is>
      </c>
      <c r="F1237" s="1" t="inlineStr">
        <is>
          <t>M</t>
        </is>
      </c>
      <c r="G1237" s="1" t="inlineStr">
        <is>
          <t>Michael Snyder</t>
        </is>
      </c>
      <c r="H1237" s="1" t="inlineStr">
        <is>
          <t>Brenda Sutton</t>
        </is>
      </c>
      <c r="I1237" s="30" t="n">
        <v>46065</v>
      </c>
      <c r="J1237" s="1" t="inlineStr">
        <is>
          <t>2506 Lee Hills</t>
        </is>
      </c>
      <c r="K1237" s="1" t="inlineStr">
        <is>
          <t>Suite 721</t>
        </is>
      </c>
      <c r="L1237" s="1" t="inlineStr">
        <is>
          <t>PIN:10495 FERNANDOBERG</t>
        </is>
      </c>
      <c r="M1237" s="2" t="inlineStr">
        <is>
          <t>MHA/IND/01242</t>
        </is>
      </c>
      <c r="N1237" s="30" t="n">
        <v>46087</v>
      </c>
    </row>
    <row r="1238">
      <c r="A1238" s="28" t="n">
        <v>1237</v>
      </c>
      <c r="B1238" s="1" t="inlineStr">
        <is>
          <t>ISAAC TRUJILLO</t>
        </is>
      </c>
      <c r="C1238" s="30" t="n">
        <v>45817</v>
      </c>
      <c r="D1238" s="1" t="inlineStr">
        <is>
          <t>WARRENBERG</t>
        </is>
      </c>
      <c r="E1238" s="12" t="inlineStr">
        <is>
          <t>IND/MEL/01237</t>
        </is>
      </c>
      <c r="F1238" s="1" t="inlineStr">
        <is>
          <t>M</t>
        </is>
      </c>
      <c r="G1238" s="1" t="inlineStr">
        <is>
          <t>Eric Jones</t>
        </is>
      </c>
      <c r="H1238" s="1" t="inlineStr">
        <is>
          <t>Destiny Carson</t>
        </is>
      </c>
      <c r="I1238" s="30" t="n">
        <v>46065</v>
      </c>
      <c r="J1238" s="1" t="inlineStr">
        <is>
          <t>392 Grant Rapid</t>
        </is>
      </c>
      <c r="K1238" s="1" t="inlineStr">
        <is>
          <t>Suite 759</t>
        </is>
      </c>
      <c r="L1238" s="1" t="inlineStr">
        <is>
          <t>PIN:67124 MALDONADOFURT</t>
        </is>
      </c>
      <c r="M1238" s="2" t="inlineStr">
        <is>
          <t>MHA/IND/01243</t>
        </is>
      </c>
      <c r="N1238" s="30" t="n">
        <v>46074</v>
      </c>
    </row>
    <row r="1239">
      <c r="A1239" s="28" t="n">
        <v>1238</v>
      </c>
      <c r="B1239" s="1" t="inlineStr">
        <is>
          <t>RYAN CONTRERAS</t>
        </is>
      </c>
      <c r="C1239" s="30" t="n">
        <v>46060</v>
      </c>
      <c r="D1239" s="1" t="inlineStr">
        <is>
          <t>JACOBTOWN</t>
        </is>
      </c>
      <c r="E1239" s="12" t="inlineStr">
        <is>
          <t>IND/MEL/01238</t>
        </is>
      </c>
      <c r="F1239" s="1" t="inlineStr">
        <is>
          <t>F</t>
        </is>
      </c>
      <c r="G1239" s="1" t="inlineStr">
        <is>
          <t>Thomas Oconnell</t>
        </is>
      </c>
      <c r="H1239" s="1" t="inlineStr">
        <is>
          <t>Kathleen Flynn</t>
        </is>
      </c>
      <c r="I1239" s="30" t="n">
        <v>46065</v>
      </c>
      <c r="J1239" s="1" t="inlineStr">
        <is>
          <t>20036 Davis Meadows Suite 541</t>
        </is>
      </c>
      <c r="K1239" s="1" t="inlineStr">
        <is>
          <t>Suite 073</t>
        </is>
      </c>
      <c r="L1239" s="1" t="inlineStr">
        <is>
          <t>PIN:25123 ASHLEYTOWN</t>
        </is>
      </c>
      <c r="M1239" s="2" t="inlineStr">
        <is>
          <t>MHA/IND/01244</t>
        </is>
      </c>
      <c r="N1239" s="30" t="n">
        <v>46088</v>
      </c>
    </row>
    <row r="1240">
      <c r="A1240" s="28" t="n">
        <v>1239</v>
      </c>
      <c r="B1240" s="1" t="inlineStr">
        <is>
          <t>TREVOR BRADY</t>
        </is>
      </c>
      <c r="C1240" s="30" t="n">
        <v>45820</v>
      </c>
      <c r="D1240" s="1" t="inlineStr">
        <is>
          <t>MOSESMOUTH</t>
        </is>
      </c>
      <c r="E1240" s="12" t="inlineStr">
        <is>
          <t>IND/MEL/01239</t>
        </is>
      </c>
      <c r="F1240" s="1" t="inlineStr">
        <is>
          <t>F</t>
        </is>
      </c>
      <c r="G1240" s="1" t="inlineStr">
        <is>
          <t>David Schwartz</t>
        </is>
      </c>
      <c r="H1240" s="1" t="inlineStr">
        <is>
          <t>Andrea Mason</t>
        </is>
      </c>
      <c r="I1240" s="30" t="n">
        <v>46065</v>
      </c>
      <c r="J1240" s="1" t="inlineStr">
        <is>
          <t>56186 Tate Route Apt. 398</t>
        </is>
      </c>
      <c r="K1240" s="1" t="inlineStr">
        <is>
          <t>Suite 827</t>
        </is>
      </c>
      <c r="L1240" s="1" t="inlineStr">
        <is>
          <t>PIN:83105 GRIFFINCHESTER</t>
        </is>
      </c>
      <c r="M1240" s="2" t="inlineStr">
        <is>
          <t>MHA/IND/01245</t>
        </is>
      </c>
      <c r="N1240" s="30" t="n">
        <v>46077</v>
      </c>
    </row>
    <row r="1241">
      <c r="A1241" s="28" t="n">
        <v>1240</v>
      </c>
      <c r="B1241" s="1" t="inlineStr">
        <is>
          <t>LAWRENCE RYAN</t>
        </is>
      </c>
      <c r="C1241" s="30" t="n">
        <v>45997</v>
      </c>
      <c r="D1241" s="1" t="inlineStr">
        <is>
          <t>GRAHAMBURY</t>
        </is>
      </c>
      <c r="E1241" s="12" t="inlineStr">
        <is>
          <t>IND/MEL/01240</t>
        </is>
      </c>
      <c r="F1241" s="1" t="inlineStr">
        <is>
          <t>M</t>
        </is>
      </c>
      <c r="G1241" s="1" t="inlineStr">
        <is>
          <t>Karl Oliver</t>
        </is>
      </c>
      <c r="H1241" s="1" t="inlineStr">
        <is>
          <t>Mallory Everett</t>
        </is>
      </c>
      <c r="I1241" s="30" t="n">
        <v>46065</v>
      </c>
      <c r="J1241" s="1" t="inlineStr">
        <is>
          <t>8511 Nicholas Tunnel Suite 325</t>
        </is>
      </c>
      <c r="K1241" s="1" t="inlineStr">
        <is>
          <t>Suite 216</t>
        </is>
      </c>
      <c r="L1241" s="1" t="inlineStr">
        <is>
          <t>PIN:85497 LAKE TRACY</t>
        </is>
      </c>
      <c r="M1241" s="2" t="inlineStr">
        <is>
          <t>MHA/IND/01246</t>
        </is>
      </c>
      <c r="N1241" s="30" t="n">
        <v>46080</v>
      </c>
    </row>
    <row r="1242">
      <c r="A1242" s="28" t="n">
        <v>1241</v>
      </c>
      <c r="B1242" s="1" t="inlineStr">
        <is>
          <t>JENNIFER GREEN</t>
        </is>
      </c>
      <c r="C1242" s="30" t="n">
        <v>45822</v>
      </c>
      <c r="D1242" s="1" t="inlineStr">
        <is>
          <t>WANDATON</t>
        </is>
      </c>
      <c r="E1242" s="12" t="inlineStr">
        <is>
          <t>IND/MEL/01241</t>
        </is>
      </c>
      <c r="F1242" s="1" t="inlineStr">
        <is>
          <t>F</t>
        </is>
      </c>
      <c r="G1242" s="1" t="inlineStr">
        <is>
          <t>Chad Lawson</t>
        </is>
      </c>
      <c r="H1242" s="1" t="inlineStr">
        <is>
          <t>Amanda Smith</t>
        </is>
      </c>
      <c r="I1242" s="30" t="n">
        <v>46065</v>
      </c>
      <c r="J1242" s="1" t="inlineStr">
        <is>
          <t>9643 Powers Brook Apt. 584</t>
        </is>
      </c>
      <c r="K1242" s="1" t="inlineStr">
        <is>
          <t>Suite 804</t>
        </is>
      </c>
      <c r="L1242" s="1" t="inlineStr">
        <is>
          <t>PIN:67349 NEW DAVID</t>
        </is>
      </c>
      <c r="M1242" s="2" t="inlineStr">
        <is>
          <t>MHA/IND/01247</t>
        </is>
      </c>
      <c r="N1242" s="30" t="n">
        <v>46066</v>
      </c>
    </row>
    <row r="1243">
      <c r="A1243" s="28" t="n">
        <v>1242</v>
      </c>
      <c r="B1243" s="1" t="inlineStr">
        <is>
          <t>SCOTT WAGNER</t>
        </is>
      </c>
      <c r="C1243" s="30" t="n">
        <v>45730</v>
      </c>
      <c r="D1243" s="1" t="inlineStr">
        <is>
          <t>TIMOTHYBURY</t>
        </is>
      </c>
      <c r="E1243" s="12" t="inlineStr">
        <is>
          <t>IND/MEL/01242</t>
        </is>
      </c>
      <c r="F1243" s="1" t="inlineStr">
        <is>
          <t>M</t>
        </is>
      </c>
      <c r="G1243" s="1" t="inlineStr">
        <is>
          <t>David Parker</t>
        </is>
      </c>
      <c r="H1243" s="1" t="inlineStr">
        <is>
          <t>Denise Sanchez</t>
        </is>
      </c>
      <c r="I1243" s="30" t="n">
        <v>46065</v>
      </c>
      <c r="J1243" s="1" t="inlineStr">
        <is>
          <t>6109 Hall Forest Suite 220</t>
        </is>
      </c>
      <c r="K1243" s="1" t="inlineStr">
        <is>
          <t>Apt. 393</t>
        </is>
      </c>
      <c r="L1243" s="1" t="inlineStr">
        <is>
          <t>PIN:12390 LAKE AMANDA</t>
        </is>
      </c>
      <c r="M1243" s="2" t="inlineStr">
        <is>
          <t>MHA/IND/01248</t>
        </is>
      </c>
      <c r="N1243" s="30" t="n">
        <v>46069</v>
      </c>
    </row>
    <row r="1244">
      <c r="A1244" s="28" t="n">
        <v>1243</v>
      </c>
      <c r="B1244" s="1" t="inlineStr">
        <is>
          <t>RICHARD THOMAS</t>
        </is>
      </c>
      <c r="C1244" s="30" t="n">
        <v>45703</v>
      </c>
      <c r="D1244" s="1" t="inlineStr">
        <is>
          <t>MEGANTOWN</t>
        </is>
      </c>
      <c r="E1244" s="12" t="inlineStr">
        <is>
          <t>IND/MEL/01243</t>
        </is>
      </c>
      <c r="F1244" s="1" t="inlineStr">
        <is>
          <t>F</t>
        </is>
      </c>
      <c r="G1244" s="1" t="inlineStr">
        <is>
          <t>Darren Cook</t>
        </is>
      </c>
      <c r="H1244" s="1" t="inlineStr">
        <is>
          <t>Emma Perry</t>
        </is>
      </c>
      <c r="I1244" s="30" t="n">
        <v>46065</v>
      </c>
      <c r="J1244" s="1" t="inlineStr">
        <is>
          <t>02716 Austin Center</t>
        </is>
      </c>
      <c r="K1244" s="1" t="inlineStr">
        <is>
          <t>Suite 570</t>
        </is>
      </c>
      <c r="L1244" s="1" t="inlineStr">
        <is>
          <t>PIN:21091 SMITHHAVEN</t>
        </is>
      </c>
      <c r="M1244" s="2" t="inlineStr">
        <is>
          <t>MHA/IND/01249</t>
        </is>
      </c>
      <c r="N1244" s="30" t="n">
        <v>46075</v>
      </c>
    </row>
    <row r="1245">
      <c r="A1245" s="28" t="n">
        <v>1244</v>
      </c>
      <c r="B1245" s="1" t="inlineStr">
        <is>
          <t>CINDY BAXTER</t>
        </is>
      </c>
      <c r="C1245" s="30" t="n">
        <v>45712</v>
      </c>
      <c r="D1245" s="1" t="inlineStr">
        <is>
          <t>PORT RACHELHAVEN</t>
        </is>
      </c>
      <c r="E1245" s="12" t="inlineStr">
        <is>
          <t>IND/MEL/01244</t>
        </is>
      </c>
      <c r="F1245" s="1" t="inlineStr">
        <is>
          <t>F</t>
        </is>
      </c>
      <c r="G1245" s="1" t="inlineStr">
        <is>
          <t>Chase Gentry</t>
        </is>
      </c>
      <c r="H1245" s="1" t="inlineStr">
        <is>
          <t>Rebecca Ward</t>
        </is>
      </c>
      <c r="I1245" s="30" t="n">
        <v>46065</v>
      </c>
      <c r="J1245" s="1" t="inlineStr">
        <is>
          <t>0342 Karen Road</t>
        </is>
      </c>
      <c r="K1245" s="1" t="inlineStr">
        <is>
          <t>Suite 127</t>
        </is>
      </c>
      <c r="L1245" s="1" t="inlineStr">
        <is>
          <t>PIN:10626 MARKBERG</t>
        </is>
      </c>
      <c r="M1245" s="2" t="inlineStr">
        <is>
          <t>MHA/IND/01250</t>
        </is>
      </c>
      <c r="N1245" s="30" t="n">
        <v>46067</v>
      </c>
    </row>
    <row r="1246">
      <c r="A1246" s="28" t="n">
        <v>1245</v>
      </c>
      <c r="B1246" s="1" t="inlineStr">
        <is>
          <t>BRANDY FITZGERALD</t>
        </is>
      </c>
      <c r="C1246" s="30" t="n">
        <v>45891</v>
      </c>
      <c r="D1246" s="1" t="inlineStr">
        <is>
          <t>WEST AMBERMOUTH</t>
        </is>
      </c>
      <c r="E1246" s="12" t="inlineStr">
        <is>
          <t>IND/MEL/01245</t>
        </is>
      </c>
      <c r="F1246" s="1" t="inlineStr">
        <is>
          <t>F</t>
        </is>
      </c>
      <c r="G1246" s="1" t="inlineStr">
        <is>
          <t>Gary Wagner</t>
        </is>
      </c>
      <c r="H1246" s="1" t="inlineStr">
        <is>
          <t>Ashley Turner</t>
        </is>
      </c>
      <c r="I1246" s="30" t="n">
        <v>46065</v>
      </c>
      <c r="J1246" s="1" t="inlineStr">
        <is>
          <t>6048 Owens Branch</t>
        </is>
      </c>
      <c r="K1246" s="1" t="inlineStr">
        <is>
          <t>Apt. 569</t>
        </is>
      </c>
      <c r="L1246" s="1" t="inlineStr">
        <is>
          <t>PIN:44019 NEW CHRISTY</t>
        </is>
      </c>
      <c r="M1246" s="2" t="inlineStr">
        <is>
          <t>MHA/IND/01251</t>
        </is>
      </c>
      <c r="N1246" s="30" t="n">
        <v>46078</v>
      </c>
    </row>
    <row r="1247">
      <c r="A1247" s="28" t="n">
        <v>1246</v>
      </c>
      <c r="B1247" s="1" t="inlineStr">
        <is>
          <t>KENNETH RODRIGUEZ</t>
        </is>
      </c>
      <c r="C1247" s="30" t="n">
        <v>45828</v>
      </c>
      <c r="D1247" s="1" t="inlineStr">
        <is>
          <t>LAURAHAVEN</t>
        </is>
      </c>
      <c r="E1247" s="12" t="inlineStr">
        <is>
          <t>IND/MEL/01246</t>
        </is>
      </c>
      <c r="F1247" s="1" t="inlineStr">
        <is>
          <t>M</t>
        </is>
      </c>
      <c r="G1247" s="1" t="inlineStr">
        <is>
          <t>Christopher Ortiz</t>
        </is>
      </c>
      <c r="H1247" s="1" t="inlineStr">
        <is>
          <t>Jessica Howell</t>
        </is>
      </c>
      <c r="I1247" s="30" t="n">
        <v>46065</v>
      </c>
      <c r="J1247" s="1" t="inlineStr">
        <is>
          <t>879 Anthony Dale Apt. 022</t>
        </is>
      </c>
      <c r="K1247" s="1" t="inlineStr">
        <is>
          <t>Apt. 982</t>
        </is>
      </c>
      <c r="L1247" s="1" t="inlineStr">
        <is>
          <t>PIN:25522 PHILIPVIEW</t>
        </is>
      </c>
      <c r="M1247" s="2" t="inlineStr">
        <is>
          <t>MHA/IND/01252</t>
        </is>
      </c>
      <c r="N1247" s="30" t="n">
        <v>46074</v>
      </c>
    </row>
    <row r="1248">
      <c r="A1248" s="28" t="n">
        <v>1247</v>
      </c>
      <c r="B1248" s="1" t="inlineStr">
        <is>
          <t>PATRICIA GARCIA</t>
        </is>
      </c>
      <c r="C1248" s="30" t="n">
        <v>45828</v>
      </c>
      <c r="D1248" s="1" t="inlineStr">
        <is>
          <t>LAKE ANTHONYCHESTER</t>
        </is>
      </c>
      <c r="E1248" s="12" t="inlineStr">
        <is>
          <t>IND/MEL/01247</t>
        </is>
      </c>
      <c r="F1248" s="1" t="inlineStr">
        <is>
          <t>M</t>
        </is>
      </c>
      <c r="G1248" s="1" t="inlineStr">
        <is>
          <t>Charles Calderon</t>
        </is>
      </c>
      <c r="H1248" s="1" t="inlineStr">
        <is>
          <t>Amy Weaver</t>
        </is>
      </c>
      <c r="I1248" s="30" t="n">
        <v>46065</v>
      </c>
      <c r="J1248" s="1" t="inlineStr">
        <is>
          <t>83955 Erika Parkway</t>
        </is>
      </c>
      <c r="K1248" s="1" t="inlineStr">
        <is>
          <t>Apt. 281</t>
        </is>
      </c>
      <c r="L1248" s="1" t="inlineStr">
        <is>
          <t>PIN:70631 BURKETOWN</t>
        </is>
      </c>
      <c r="M1248" s="2" t="inlineStr">
        <is>
          <t>MHA/IND/01253</t>
        </is>
      </c>
      <c r="N1248" s="30" t="n">
        <v>46082</v>
      </c>
    </row>
    <row r="1249">
      <c r="A1249" s="28" t="n">
        <v>1248</v>
      </c>
      <c r="B1249" s="1" t="inlineStr">
        <is>
          <t>CODY CASEY</t>
        </is>
      </c>
      <c r="C1249" s="30" t="n">
        <v>45957</v>
      </c>
      <c r="D1249" s="1" t="inlineStr">
        <is>
          <t>NEW JULIA</t>
        </is>
      </c>
      <c r="E1249" s="12" t="inlineStr">
        <is>
          <t>IND/MEL/01248</t>
        </is>
      </c>
      <c r="F1249" s="1" t="inlineStr">
        <is>
          <t>F</t>
        </is>
      </c>
      <c r="G1249" s="1" t="inlineStr">
        <is>
          <t>Gabriel Fry</t>
        </is>
      </c>
      <c r="H1249" s="1" t="inlineStr">
        <is>
          <t>Jenna Mccarthy</t>
        </is>
      </c>
      <c r="I1249" s="30" t="n">
        <v>46065</v>
      </c>
      <c r="J1249" s="1" t="inlineStr">
        <is>
          <t>798 Smith Underpass Suite 052</t>
        </is>
      </c>
      <c r="K1249" s="1" t="inlineStr">
        <is>
          <t>Apt. 947</t>
        </is>
      </c>
      <c r="L1249" s="1" t="inlineStr">
        <is>
          <t>PIN:86911 NEW TRACIFORT</t>
        </is>
      </c>
      <c r="M1249" s="2" t="inlineStr">
        <is>
          <t>MHA/IND/01254</t>
        </is>
      </c>
      <c r="N1249" s="30" t="n">
        <v>46075</v>
      </c>
    </row>
    <row r="1250">
      <c r="A1250" s="28" t="n">
        <v>1249</v>
      </c>
      <c r="B1250" s="1" t="inlineStr">
        <is>
          <t>MADISON PETERS</t>
        </is>
      </c>
      <c r="C1250" s="30" t="n">
        <v>45819</v>
      </c>
      <c r="D1250" s="1" t="inlineStr">
        <is>
          <t>LAKE JACKLAND</t>
        </is>
      </c>
      <c r="E1250" s="12" t="inlineStr">
        <is>
          <t>IND/MEL/01249</t>
        </is>
      </c>
      <c r="F1250" s="1" t="inlineStr">
        <is>
          <t>F</t>
        </is>
      </c>
      <c r="G1250" s="1" t="inlineStr">
        <is>
          <t>Ricky Parker</t>
        </is>
      </c>
      <c r="H1250" s="1" t="inlineStr">
        <is>
          <t>Crystal Robertson</t>
        </is>
      </c>
      <c r="I1250" s="30" t="n">
        <v>46065</v>
      </c>
      <c r="J1250" s="1" t="inlineStr">
        <is>
          <t>83786 Elizabeth Rest Apt. 898</t>
        </is>
      </c>
      <c r="K1250" s="1" t="inlineStr">
        <is>
          <t>Suite 808</t>
        </is>
      </c>
      <c r="L1250" s="1" t="inlineStr">
        <is>
          <t>PIN:99694 NELSONPORT</t>
        </is>
      </c>
      <c r="M1250" s="2" t="inlineStr">
        <is>
          <t>MHA/IND/01255</t>
        </is>
      </c>
      <c r="N1250" s="30" t="n">
        <v>46073</v>
      </c>
    </row>
    <row r="1251">
      <c r="A1251" s="28" t="n">
        <v>1250</v>
      </c>
      <c r="B1251" s="1" t="inlineStr">
        <is>
          <t>DESTINY LAWRENCE</t>
        </is>
      </c>
      <c r="C1251" s="30" t="n">
        <v>45729</v>
      </c>
      <c r="D1251" s="1" t="inlineStr">
        <is>
          <t>LAKE CINDY</t>
        </is>
      </c>
      <c r="E1251" s="12" t="inlineStr">
        <is>
          <t>IND/MEL/01250</t>
        </is>
      </c>
      <c r="F1251" s="1" t="inlineStr">
        <is>
          <t>M</t>
        </is>
      </c>
      <c r="G1251" s="1" t="inlineStr">
        <is>
          <t>Alan Martin</t>
        </is>
      </c>
      <c r="H1251" s="1" t="inlineStr">
        <is>
          <t>Katrina Baker</t>
        </is>
      </c>
      <c r="I1251" s="30" t="n">
        <v>46065</v>
      </c>
      <c r="J1251" s="1" t="inlineStr">
        <is>
          <t>39927 Friedman Rest</t>
        </is>
      </c>
      <c r="K1251" s="1" t="inlineStr">
        <is>
          <t>Apt. 594</t>
        </is>
      </c>
      <c r="L1251" s="1" t="inlineStr">
        <is>
          <t>PIN:13917 SOUTH DANIEL</t>
        </is>
      </c>
      <c r="M1251" s="2" t="inlineStr">
        <is>
          <t>MHA/IND/01256</t>
        </is>
      </c>
      <c r="N1251" s="30" t="n">
        <v>46082</v>
      </c>
    </row>
    <row r="1252">
      <c r="A1252" s="28" t="n">
        <v>1251</v>
      </c>
      <c r="B1252" s="1" t="inlineStr">
        <is>
          <t>BRIANNA AUSTIN</t>
        </is>
      </c>
      <c r="C1252" s="30" t="n">
        <v>45765</v>
      </c>
      <c r="D1252" s="1" t="inlineStr">
        <is>
          <t>PORT WILLIESTAD</t>
        </is>
      </c>
      <c r="E1252" s="12" t="inlineStr">
        <is>
          <t>IND/MEL/01251</t>
        </is>
      </c>
      <c r="F1252" s="1" t="inlineStr">
        <is>
          <t>F</t>
        </is>
      </c>
      <c r="G1252" s="1" t="inlineStr">
        <is>
          <t>Mr. Lee Munoz DDS</t>
        </is>
      </c>
      <c r="H1252" s="1" t="inlineStr">
        <is>
          <t>Maria Mendez</t>
        </is>
      </c>
      <c r="I1252" s="30" t="n">
        <v>46065</v>
      </c>
      <c r="J1252" s="1" t="inlineStr">
        <is>
          <t>5291 Gallegos Tunnel</t>
        </is>
      </c>
      <c r="K1252" s="1" t="inlineStr">
        <is>
          <t>Apt. 592</t>
        </is>
      </c>
      <c r="L1252" s="1" t="inlineStr">
        <is>
          <t>PIN:08789 WEST WALTERHAVEN</t>
        </is>
      </c>
      <c r="M1252" s="2" t="inlineStr">
        <is>
          <t>MHA/IND/01257</t>
        </is>
      </c>
      <c r="N1252" s="30" t="n">
        <v>46090</v>
      </c>
    </row>
    <row r="1253">
      <c r="A1253" s="28" t="n">
        <v>1252</v>
      </c>
      <c r="B1253" s="1" t="inlineStr">
        <is>
          <t>DANIEL ALVAREZ</t>
        </is>
      </c>
      <c r="C1253" s="30" t="n">
        <v>46017</v>
      </c>
      <c r="D1253" s="1" t="inlineStr">
        <is>
          <t>CHRISTINETON</t>
        </is>
      </c>
      <c r="E1253" s="12" t="inlineStr">
        <is>
          <t>IND/MEL/01252</t>
        </is>
      </c>
      <c r="F1253" s="1" t="inlineStr">
        <is>
          <t>M</t>
        </is>
      </c>
      <c r="G1253" s="1" t="inlineStr">
        <is>
          <t>Brent Carrillo</t>
        </is>
      </c>
      <c r="H1253" s="1" t="inlineStr">
        <is>
          <t>Jennifer Dunn</t>
        </is>
      </c>
      <c r="I1253" s="30" t="n">
        <v>46065</v>
      </c>
      <c r="J1253" s="1" t="inlineStr">
        <is>
          <t>37133 Andersen Manors Suite 248</t>
        </is>
      </c>
      <c r="K1253" s="1" t="inlineStr">
        <is>
          <t>Apt. 125</t>
        </is>
      </c>
      <c r="L1253" s="1" t="inlineStr">
        <is>
          <t>PIN:15174 PERRYLAND</t>
        </is>
      </c>
      <c r="M1253" s="2" t="inlineStr">
        <is>
          <t>MHA/IND/01258</t>
        </is>
      </c>
      <c r="N1253" s="30" t="n">
        <v>46089</v>
      </c>
    </row>
    <row r="1254">
      <c r="A1254" s="28" t="n">
        <v>1253</v>
      </c>
      <c r="B1254" s="1" t="inlineStr">
        <is>
          <t>WILLIAM LOPEZ</t>
        </is>
      </c>
      <c r="C1254" s="30" t="n">
        <v>45989</v>
      </c>
      <c r="D1254" s="1" t="inlineStr">
        <is>
          <t>FISCHERMOUTH</t>
        </is>
      </c>
      <c r="E1254" s="12" t="inlineStr">
        <is>
          <t>IND/MEL/01253</t>
        </is>
      </c>
      <c r="F1254" s="1" t="inlineStr">
        <is>
          <t>F</t>
        </is>
      </c>
      <c r="G1254" s="1" t="inlineStr">
        <is>
          <t>Shawn Stevens</t>
        </is>
      </c>
      <c r="H1254" s="1" t="inlineStr">
        <is>
          <t>Heather Allen</t>
        </is>
      </c>
      <c r="I1254" s="30" t="n">
        <v>46065</v>
      </c>
      <c r="J1254" s="1" t="inlineStr">
        <is>
          <t>9750 Peter Alley</t>
        </is>
      </c>
      <c r="K1254" s="1" t="inlineStr">
        <is>
          <t>Apt. 146</t>
        </is>
      </c>
      <c r="L1254" s="1" t="inlineStr">
        <is>
          <t>PIN:67704 PORT DANIEL</t>
        </is>
      </c>
      <c r="M1254" s="2" t="inlineStr">
        <is>
          <t>MHA/IND/01259</t>
        </is>
      </c>
      <c r="N1254" s="30" t="n">
        <v>46094</v>
      </c>
    </row>
    <row r="1255">
      <c r="A1255" s="28" t="n">
        <v>1254</v>
      </c>
      <c r="B1255" s="1" t="inlineStr">
        <is>
          <t>SAMANTHA WILLIAMS</t>
        </is>
      </c>
      <c r="C1255" s="30" t="n">
        <v>45969</v>
      </c>
      <c r="D1255" s="1" t="inlineStr">
        <is>
          <t>WEST EDWARD</t>
        </is>
      </c>
      <c r="E1255" s="12" t="inlineStr">
        <is>
          <t>IND/MEL/01254</t>
        </is>
      </c>
      <c r="F1255" s="1" t="inlineStr">
        <is>
          <t>M</t>
        </is>
      </c>
      <c r="G1255" s="1" t="inlineStr">
        <is>
          <t>Javier Walker</t>
        </is>
      </c>
      <c r="H1255" s="1" t="inlineStr">
        <is>
          <t>Ruth Kerr</t>
        </is>
      </c>
      <c r="I1255" s="30" t="n">
        <v>46065</v>
      </c>
      <c r="J1255" s="1" t="inlineStr">
        <is>
          <t>6391 Kramer Fork Suite 309</t>
        </is>
      </c>
      <c r="K1255" s="1" t="inlineStr">
        <is>
          <t>Suite 720</t>
        </is>
      </c>
      <c r="L1255" s="1" t="inlineStr">
        <is>
          <t>PIN:89537 WEST PATRICK</t>
        </is>
      </c>
      <c r="M1255" s="2" t="inlineStr">
        <is>
          <t>MHA/IND/01260</t>
        </is>
      </c>
      <c r="N1255" s="30" t="n">
        <v>46082</v>
      </c>
    </row>
    <row r="1256">
      <c r="A1256" s="28" t="n">
        <v>1255</v>
      </c>
      <c r="B1256" s="1" t="inlineStr">
        <is>
          <t>LINDA JONES</t>
        </is>
      </c>
      <c r="C1256" s="30" t="n">
        <v>45723</v>
      </c>
      <c r="D1256" s="1" t="inlineStr">
        <is>
          <t>SOUTH ELIZABETHBURY</t>
        </is>
      </c>
      <c r="E1256" s="12" t="inlineStr">
        <is>
          <t>IND/MEL/01255</t>
        </is>
      </c>
      <c r="F1256" s="1" t="inlineStr">
        <is>
          <t>F</t>
        </is>
      </c>
      <c r="G1256" s="1" t="inlineStr">
        <is>
          <t>Jaime Gomez</t>
        </is>
      </c>
      <c r="H1256" s="1" t="inlineStr">
        <is>
          <t>Taylor Hernandez</t>
        </is>
      </c>
      <c r="I1256" s="30" t="n">
        <v>46065</v>
      </c>
      <c r="J1256" s="1" t="inlineStr">
        <is>
          <t>257 Melanie Keys</t>
        </is>
      </c>
      <c r="K1256" s="1" t="inlineStr">
        <is>
          <t>Suite 037</t>
        </is>
      </c>
      <c r="L1256" s="1" t="inlineStr">
        <is>
          <t>PIN:84751 TAYLORVIEW</t>
        </is>
      </c>
      <c r="M1256" s="2" t="inlineStr">
        <is>
          <t>MHA/IND/01261</t>
        </is>
      </c>
      <c r="N1256" s="30" t="n">
        <v>46075</v>
      </c>
    </row>
    <row r="1257">
      <c r="A1257" s="28" t="n">
        <v>1256</v>
      </c>
      <c r="B1257" s="1" t="inlineStr">
        <is>
          <t>ROGER WALKER</t>
        </is>
      </c>
      <c r="C1257" s="30" t="n">
        <v>45720</v>
      </c>
      <c r="D1257" s="1" t="inlineStr">
        <is>
          <t>LAKE AMBER</t>
        </is>
      </c>
      <c r="E1257" s="12" t="inlineStr">
        <is>
          <t>IND/MEL/01256</t>
        </is>
      </c>
      <c r="F1257" s="1" t="inlineStr">
        <is>
          <t>F</t>
        </is>
      </c>
      <c r="G1257" s="1" t="inlineStr">
        <is>
          <t>Joshua Lane</t>
        </is>
      </c>
      <c r="H1257" s="1" t="inlineStr">
        <is>
          <t>Crystal Barnes</t>
        </is>
      </c>
      <c r="I1257" s="30" t="n">
        <v>46065</v>
      </c>
      <c r="J1257" s="1" t="inlineStr">
        <is>
          <t>2234 Daniel Prairie</t>
        </is>
      </c>
      <c r="K1257" s="1" t="inlineStr">
        <is>
          <t>Apt. 596</t>
        </is>
      </c>
      <c r="L1257" s="1" t="inlineStr">
        <is>
          <t>PIN:68970 KINGFORT</t>
        </is>
      </c>
      <c r="M1257" s="2" t="inlineStr">
        <is>
          <t>MHA/IND/01262</t>
        </is>
      </c>
      <c r="N1257" s="30" t="n">
        <v>46069</v>
      </c>
    </row>
    <row r="1258">
      <c r="A1258" s="28" t="n">
        <v>1257</v>
      </c>
      <c r="B1258" s="1" t="inlineStr">
        <is>
          <t>KELLY GORDON</t>
        </is>
      </c>
      <c r="C1258" s="30" t="n">
        <v>45846</v>
      </c>
      <c r="D1258" s="1" t="inlineStr">
        <is>
          <t>HUNTLAND</t>
        </is>
      </c>
      <c r="E1258" s="12" t="inlineStr">
        <is>
          <t>IND/MEL/01257</t>
        </is>
      </c>
      <c r="F1258" s="1" t="inlineStr">
        <is>
          <t>F</t>
        </is>
      </c>
      <c r="G1258" s="1" t="inlineStr">
        <is>
          <t>Daniel Maldonado</t>
        </is>
      </c>
      <c r="H1258" s="1" t="inlineStr">
        <is>
          <t>Michelle King</t>
        </is>
      </c>
      <c r="I1258" s="30" t="n">
        <v>46065</v>
      </c>
      <c r="J1258" s="1" t="inlineStr">
        <is>
          <t>702 Warren Crest</t>
        </is>
      </c>
      <c r="K1258" s="1" t="inlineStr">
        <is>
          <t>Apt. 713</t>
        </is>
      </c>
      <c r="L1258" s="1" t="inlineStr">
        <is>
          <t>PIN:45340 NORTH CAROLMOUTH</t>
        </is>
      </c>
      <c r="M1258" s="2" t="inlineStr">
        <is>
          <t>MHA/IND/01263</t>
        </is>
      </c>
      <c r="N1258" s="30" t="n">
        <v>46079</v>
      </c>
    </row>
    <row r="1259">
      <c r="A1259" s="28" t="n">
        <v>1258</v>
      </c>
      <c r="B1259" s="1" t="inlineStr">
        <is>
          <t>MARK BENNETT</t>
        </is>
      </c>
      <c r="C1259" s="30" t="n">
        <v>45857</v>
      </c>
      <c r="D1259" s="1" t="inlineStr">
        <is>
          <t>AYERSMOUTH</t>
        </is>
      </c>
      <c r="E1259" s="12" t="inlineStr">
        <is>
          <t>IND/MEL/01258</t>
        </is>
      </c>
      <c r="F1259" s="1" t="inlineStr">
        <is>
          <t>M</t>
        </is>
      </c>
      <c r="G1259" s="1" t="inlineStr">
        <is>
          <t>Thomas Shannon</t>
        </is>
      </c>
      <c r="H1259" s="1" t="inlineStr">
        <is>
          <t>Natalie Carson</t>
        </is>
      </c>
      <c r="I1259" s="30" t="n">
        <v>46065</v>
      </c>
      <c r="J1259" s="1" t="inlineStr">
        <is>
          <t>816 Ryan Row Apt. 629</t>
        </is>
      </c>
      <c r="K1259" s="1" t="inlineStr">
        <is>
          <t>Apt. 299</t>
        </is>
      </c>
      <c r="L1259" s="1" t="inlineStr">
        <is>
          <t>PIN:99913 NEW BRIANFURT</t>
        </is>
      </c>
      <c r="M1259" s="2" t="inlineStr">
        <is>
          <t>MHA/IND/01264</t>
        </is>
      </c>
      <c r="N1259" s="30" t="n">
        <v>46085</v>
      </c>
    </row>
    <row r="1260">
      <c r="A1260" s="28" t="n">
        <v>1259</v>
      </c>
      <c r="B1260" s="1" t="inlineStr">
        <is>
          <t>MARIA THOMAS</t>
        </is>
      </c>
      <c r="C1260" s="30" t="n">
        <v>45834</v>
      </c>
      <c r="D1260" s="1" t="inlineStr">
        <is>
          <t>KYLEBERG</t>
        </is>
      </c>
      <c r="E1260" s="12" t="inlineStr">
        <is>
          <t>IND/MEL/01259</t>
        </is>
      </c>
      <c r="F1260" s="1" t="inlineStr">
        <is>
          <t>M</t>
        </is>
      </c>
      <c r="G1260" s="1" t="inlineStr">
        <is>
          <t>Ronald Aguilar</t>
        </is>
      </c>
      <c r="H1260" s="1" t="inlineStr">
        <is>
          <t>Jessica Howe</t>
        </is>
      </c>
      <c r="I1260" s="30" t="n">
        <v>46065</v>
      </c>
      <c r="J1260" s="1" t="inlineStr">
        <is>
          <t>0553 Hill Estates</t>
        </is>
      </c>
      <c r="K1260" s="1" t="inlineStr">
        <is>
          <t>Apt. 478</t>
        </is>
      </c>
      <c r="L1260" s="1" t="inlineStr">
        <is>
          <t>PIN:55372 PORT DOUGLAS</t>
        </is>
      </c>
      <c r="M1260" s="2" t="inlineStr">
        <is>
          <t>MHA/IND/01265</t>
        </is>
      </c>
      <c r="N1260" s="30" t="n">
        <v>46088</v>
      </c>
    </row>
    <row r="1261">
      <c r="A1261" s="28" t="n">
        <v>1260</v>
      </c>
      <c r="B1261" s="1" t="inlineStr">
        <is>
          <t>WILLIAM BOYER</t>
        </is>
      </c>
      <c r="C1261" s="30" t="n">
        <v>45730</v>
      </c>
      <c r="D1261" s="1" t="inlineStr">
        <is>
          <t>NORTH RICHARDVILLE</t>
        </is>
      </c>
      <c r="E1261" s="12" t="inlineStr">
        <is>
          <t>IND/MEL/01260</t>
        </is>
      </c>
      <c r="F1261" s="1" t="inlineStr">
        <is>
          <t>F</t>
        </is>
      </c>
      <c r="G1261" s="1" t="inlineStr">
        <is>
          <t>Michael Brown</t>
        </is>
      </c>
      <c r="H1261" s="1" t="inlineStr">
        <is>
          <t>Carolyn Thomas</t>
        </is>
      </c>
      <c r="I1261" s="30" t="n">
        <v>46065</v>
      </c>
      <c r="J1261" s="1" t="inlineStr">
        <is>
          <t>96670 Hahn Forge Apt. 355</t>
        </is>
      </c>
      <c r="K1261" s="1" t="inlineStr">
        <is>
          <t>Apt. 393</t>
        </is>
      </c>
      <c r="L1261" s="1" t="inlineStr">
        <is>
          <t>PIN:58268 HILLFORT</t>
        </is>
      </c>
      <c r="M1261" s="2" t="inlineStr">
        <is>
          <t>MHA/IND/01266</t>
        </is>
      </c>
      <c r="N1261" s="30" t="n">
        <v>46075</v>
      </c>
    </row>
    <row r="1262">
      <c r="A1262" s="28" t="n">
        <v>1261</v>
      </c>
      <c r="B1262" s="1" t="inlineStr">
        <is>
          <t>ANITA MEZA</t>
        </is>
      </c>
      <c r="C1262" s="30" t="n">
        <v>45910</v>
      </c>
      <c r="D1262" s="1" t="inlineStr">
        <is>
          <t>LAKE REBECCA</t>
        </is>
      </c>
      <c r="E1262" s="12" t="inlineStr">
        <is>
          <t>IND/MEL/01261</t>
        </is>
      </c>
      <c r="F1262" s="1" t="inlineStr">
        <is>
          <t>M</t>
        </is>
      </c>
      <c r="G1262" s="1" t="inlineStr">
        <is>
          <t>Isaiah Hughes</t>
        </is>
      </c>
      <c r="H1262" s="1" t="inlineStr">
        <is>
          <t>Brandy Garza</t>
        </is>
      </c>
      <c r="I1262" s="30" t="n">
        <v>46065</v>
      </c>
      <c r="J1262" s="1" t="inlineStr">
        <is>
          <t>855 Susan Neck Suite 867</t>
        </is>
      </c>
      <c r="K1262" s="1" t="inlineStr">
        <is>
          <t>Suite 087</t>
        </is>
      </c>
      <c r="L1262" s="1" t="inlineStr">
        <is>
          <t>PIN:11754 MICHELLEVIEW</t>
        </is>
      </c>
      <c r="M1262" s="2" t="inlineStr">
        <is>
          <t>MHA/IND/01267</t>
        </is>
      </c>
      <c r="N1262" s="30" t="n">
        <v>46068</v>
      </c>
    </row>
    <row r="1263">
      <c r="A1263" s="28" t="n">
        <v>1262</v>
      </c>
      <c r="B1263" s="1" t="inlineStr">
        <is>
          <t>MARIA ADAMS</t>
        </is>
      </c>
      <c r="C1263" s="30" t="n">
        <v>45821</v>
      </c>
      <c r="D1263" s="1" t="inlineStr">
        <is>
          <t>NEW JAMES</t>
        </is>
      </c>
      <c r="E1263" s="12" t="inlineStr">
        <is>
          <t>IND/MEL/01262</t>
        </is>
      </c>
      <c r="F1263" s="1" t="inlineStr">
        <is>
          <t>M</t>
        </is>
      </c>
      <c r="G1263" s="1" t="inlineStr">
        <is>
          <t>Jeffery Clark</t>
        </is>
      </c>
      <c r="H1263" s="1" t="inlineStr">
        <is>
          <t>Elizabeth Moore</t>
        </is>
      </c>
      <c r="I1263" s="30" t="n">
        <v>46065</v>
      </c>
      <c r="J1263" s="1" t="inlineStr">
        <is>
          <t>8207 Courtney Crossing</t>
        </is>
      </c>
      <c r="K1263" s="1" t="inlineStr">
        <is>
          <t>Suite 011</t>
        </is>
      </c>
      <c r="L1263" s="1" t="inlineStr">
        <is>
          <t>PIN:71116 SOUTH LINDA</t>
        </is>
      </c>
      <c r="M1263" s="2" t="inlineStr">
        <is>
          <t>MHA/IND/01268</t>
        </is>
      </c>
      <c r="N1263" s="30" t="n">
        <v>46072</v>
      </c>
    </row>
    <row r="1264">
      <c r="A1264" s="28" t="n">
        <v>1263</v>
      </c>
      <c r="B1264" s="1" t="inlineStr">
        <is>
          <t>MONIQUE PERKINS</t>
        </is>
      </c>
      <c r="C1264" s="30" t="n">
        <v>45716</v>
      </c>
      <c r="D1264" s="1" t="inlineStr">
        <is>
          <t>LAKE CHARLESVIEW</t>
        </is>
      </c>
      <c r="E1264" s="12" t="inlineStr">
        <is>
          <t>IND/MEL/01263</t>
        </is>
      </c>
      <c r="F1264" s="1" t="inlineStr">
        <is>
          <t>F</t>
        </is>
      </c>
      <c r="G1264" s="1" t="inlineStr">
        <is>
          <t>Jamie Romero</t>
        </is>
      </c>
      <c r="H1264" s="1" t="inlineStr">
        <is>
          <t>Elizabeth Wallace</t>
        </is>
      </c>
      <c r="I1264" s="30" t="n">
        <v>46065</v>
      </c>
      <c r="J1264" s="1" t="inlineStr">
        <is>
          <t>356 Cody Rapids Suite 431</t>
        </is>
      </c>
      <c r="K1264" s="1" t="inlineStr">
        <is>
          <t>Suite 125</t>
        </is>
      </c>
      <c r="L1264" s="1" t="inlineStr">
        <is>
          <t>PIN:49611 MARKCHESTER</t>
        </is>
      </c>
      <c r="M1264" s="2" t="inlineStr">
        <is>
          <t>MHA/IND/01269</t>
        </is>
      </c>
      <c r="N1264" s="30" t="n">
        <v>46081</v>
      </c>
    </row>
    <row r="1265">
      <c r="A1265" s="28" t="n">
        <v>1264</v>
      </c>
      <c r="B1265" s="1" t="inlineStr">
        <is>
          <t>ALEXANDER COX</t>
        </is>
      </c>
      <c r="C1265" s="30" t="n">
        <v>45998</v>
      </c>
      <c r="D1265" s="1" t="inlineStr">
        <is>
          <t>PORT ROBERT</t>
        </is>
      </c>
      <c r="E1265" s="12" t="inlineStr">
        <is>
          <t>IND/MEL/01264</t>
        </is>
      </c>
      <c r="F1265" s="1" t="inlineStr">
        <is>
          <t>F</t>
        </is>
      </c>
      <c r="G1265" s="1" t="inlineStr">
        <is>
          <t>Christopher Gomez</t>
        </is>
      </c>
      <c r="H1265" s="1" t="inlineStr">
        <is>
          <t>Mackenzie Thomas</t>
        </is>
      </c>
      <c r="I1265" s="30" t="n">
        <v>46065</v>
      </c>
      <c r="J1265" s="1" t="inlineStr">
        <is>
          <t>4608 Castillo Shore</t>
        </is>
      </c>
      <c r="K1265" s="1" t="inlineStr">
        <is>
          <t>Suite 444</t>
        </is>
      </c>
      <c r="L1265" s="1" t="inlineStr">
        <is>
          <t>PIN:62676 NEW JENNIFER</t>
        </is>
      </c>
      <c r="M1265" s="2" t="inlineStr">
        <is>
          <t>MHA/IND/01270</t>
        </is>
      </c>
      <c r="N1265" s="30" t="n">
        <v>46083</v>
      </c>
    </row>
    <row r="1266">
      <c r="A1266" s="28" t="n">
        <v>1265</v>
      </c>
      <c r="B1266" s="1" t="inlineStr">
        <is>
          <t>SCOTT ASHLEY</t>
        </is>
      </c>
      <c r="C1266" s="30" t="n">
        <v>45884</v>
      </c>
      <c r="D1266" s="1" t="inlineStr">
        <is>
          <t>PORT KENNETHFORT</t>
        </is>
      </c>
      <c r="E1266" s="12" t="inlineStr">
        <is>
          <t>IND/MEL/01265</t>
        </is>
      </c>
      <c r="F1266" s="1" t="inlineStr">
        <is>
          <t>F</t>
        </is>
      </c>
      <c r="G1266" s="1" t="inlineStr">
        <is>
          <t>Nathan Nichols</t>
        </is>
      </c>
      <c r="H1266" s="1" t="inlineStr">
        <is>
          <t>Jessica Reynolds</t>
        </is>
      </c>
      <c r="I1266" s="30" t="n">
        <v>46065</v>
      </c>
      <c r="J1266" s="1" t="inlineStr">
        <is>
          <t>9026 Mcdonald Station</t>
        </is>
      </c>
      <c r="K1266" s="1" t="inlineStr">
        <is>
          <t>Apt. 382</t>
        </is>
      </c>
      <c r="L1266" s="1" t="inlineStr">
        <is>
          <t>PIN:26487 NEW MORGAN</t>
        </is>
      </c>
      <c r="M1266" s="2" t="inlineStr">
        <is>
          <t>MHA/IND/01271</t>
        </is>
      </c>
      <c r="N1266" s="30" t="n">
        <v>46077</v>
      </c>
    </row>
    <row r="1267">
      <c r="A1267" s="28" t="n">
        <v>1266</v>
      </c>
      <c r="B1267" s="1" t="inlineStr">
        <is>
          <t>ERIN SIMPSON</t>
        </is>
      </c>
      <c r="C1267" s="30" t="n">
        <v>45977</v>
      </c>
      <c r="D1267" s="1" t="inlineStr">
        <is>
          <t>EAST AMANDA</t>
        </is>
      </c>
      <c r="E1267" s="12" t="inlineStr">
        <is>
          <t>IND/MEL/01266</t>
        </is>
      </c>
      <c r="F1267" s="1" t="inlineStr">
        <is>
          <t>F</t>
        </is>
      </c>
      <c r="G1267" s="1" t="inlineStr">
        <is>
          <t>Timothy Small</t>
        </is>
      </c>
      <c r="H1267" s="1" t="inlineStr">
        <is>
          <t>Tiffany Williams</t>
        </is>
      </c>
      <c r="I1267" s="30" t="n">
        <v>46065</v>
      </c>
      <c r="J1267" s="1" t="inlineStr">
        <is>
          <t>84514 Singh Burg</t>
        </is>
      </c>
      <c r="K1267" s="1" t="inlineStr">
        <is>
          <t>Apt. 099</t>
        </is>
      </c>
      <c r="L1267" s="1" t="inlineStr">
        <is>
          <t>PIN:73161 WEST LORISIDE</t>
        </is>
      </c>
      <c r="M1267" s="2" t="inlineStr">
        <is>
          <t>MHA/IND/01272</t>
        </is>
      </c>
      <c r="N1267" s="30" t="n">
        <v>46080</v>
      </c>
    </row>
    <row r="1268">
      <c r="A1268" s="28" t="n">
        <v>1267</v>
      </c>
      <c r="B1268" s="1" t="inlineStr">
        <is>
          <t>TIMOTHY LONG</t>
        </is>
      </c>
      <c r="C1268" s="30" t="n">
        <v>45947</v>
      </c>
      <c r="D1268" s="1" t="inlineStr">
        <is>
          <t>CHRISTINESHIRE</t>
        </is>
      </c>
      <c r="E1268" s="12" t="inlineStr">
        <is>
          <t>IND/MEL/01267</t>
        </is>
      </c>
      <c r="F1268" s="1" t="inlineStr">
        <is>
          <t>M</t>
        </is>
      </c>
      <c r="G1268" s="1" t="inlineStr">
        <is>
          <t>Alexander Nguyen</t>
        </is>
      </c>
      <c r="H1268" s="1" t="inlineStr">
        <is>
          <t>Sabrina Mason</t>
        </is>
      </c>
      <c r="I1268" s="30" t="n">
        <v>46065</v>
      </c>
      <c r="J1268" s="1" t="inlineStr">
        <is>
          <t>65250 Samantha Causeway Suite 855</t>
        </is>
      </c>
      <c r="K1268" s="1" t="inlineStr">
        <is>
          <t>Suite 643</t>
        </is>
      </c>
      <c r="L1268" s="1" t="inlineStr">
        <is>
          <t>PIN:55065 JAREDSTAD</t>
        </is>
      </c>
      <c r="M1268" s="2" t="inlineStr">
        <is>
          <t>MHA/IND/01273</t>
        </is>
      </c>
      <c r="N1268" s="30" t="n">
        <v>46076</v>
      </c>
    </row>
    <row r="1269">
      <c r="A1269" s="28" t="n">
        <v>1268</v>
      </c>
      <c r="B1269" s="1" t="inlineStr">
        <is>
          <t>WALTER PATEL</t>
        </is>
      </c>
      <c r="C1269" s="30" t="n">
        <v>45836</v>
      </c>
      <c r="D1269" s="1" t="inlineStr">
        <is>
          <t>BARBARABOROUGH</t>
        </is>
      </c>
      <c r="E1269" s="12" t="inlineStr">
        <is>
          <t>IND/MEL/01268</t>
        </is>
      </c>
      <c r="F1269" s="1" t="inlineStr">
        <is>
          <t>M</t>
        </is>
      </c>
      <c r="G1269" s="1" t="inlineStr">
        <is>
          <t>Brett Washington</t>
        </is>
      </c>
      <c r="H1269" s="1" t="inlineStr">
        <is>
          <t>Rebecca Salazar</t>
        </is>
      </c>
      <c r="I1269" s="30" t="n">
        <v>46065</v>
      </c>
      <c r="J1269" s="1" t="inlineStr">
        <is>
          <t>34404 Stephanie Gateway Suite 850</t>
        </is>
      </c>
      <c r="K1269" s="1" t="inlineStr">
        <is>
          <t>Suite 170</t>
        </is>
      </c>
      <c r="L1269" s="1" t="inlineStr">
        <is>
          <t>PIN:25571 SOUTH BRENDA</t>
        </is>
      </c>
      <c r="M1269" s="2" t="inlineStr">
        <is>
          <t>MHA/IND/01274</t>
        </is>
      </c>
      <c r="N1269" s="30" t="n">
        <v>46078</v>
      </c>
    </row>
    <row r="1270">
      <c r="A1270" s="28" t="n">
        <v>1269</v>
      </c>
      <c r="B1270" s="1" t="inlineStr">
        <is>
          <t>JADE FULLER</t>
        </is>
      </c>
      <c r="C1270" s="30" t="n">
        <v>45779</v>
      </c>
      <c r="D1270" s="1" t="inlineStr">
        <is>
          <t>TANYAFURT</t>
        </is>
      </c>
      <c r="E1270" s="12" t="inlineStr">
        <is>
          <t>IND/MEL/01269</t>
        </is>
      </c>
      <c r="F1270" s="1" t="inlineStr">
        <is>
          <t>M</t>
        </is>
      </c>
      <c r="G1270" s="1" t="inlineStr">
        <is>
          <t>Samuel Hensley</t>
        </is>
      </c>
      <c r="H1270" s="1" t="inlineStr">
        <is>
          <t>Amy Peterson</t>
        </is>
      </c>
      <c r="I1270" s="30" t="n">
        <v>46065</v>
      </c>
      <c r="J1270" s="1" t="inlineStr">
        <is>
          <t>0822 Ashley Spring Apt. 684</t>
        </is>
      </c>
      <c r="K1270" s="1" t="inlineStr">
        <is>
          <t>Apt. 359</t>
        </is>
      </c>
      <c r="L1270" s="1" t="inlineStr">
        <is>
          <t>PIN:55309 WALKERBOROUGH</t>
        </is>
      </c>
      <c r="M1270" s="2" t="inlineStr">
        <is>
          <t>MHA/IND/01275</t>
        </is>
      </c>
      <c r="N1270" s="30" t="n">
        <v>46074</v>
      </c>
    </row>
    <row r="1271">
      <c r="A1271" s="28" t="n">
        <v>1270</v>
      </c>
      <c r="B1271" s="1" t="inlineStr">
        <is>
          <t>REBECCA GONZALEZ</t>
        </is>
      </c>
      <c r="C1271" s="30" t="n">
        <v>46005</v>
      </c>
      <c r="D1271" s="1" t="inlineStr">
        <is>
          <t>SOUTH MATTHEW</t>
        </is>
      </c>
      <c r="E1271" s="12" t="inlineStr">
        <is>
          <t>IND/MEL/01270</t>
        </is>
      </c>
      <c r="F1271" s="1" t="inlineStr">
        <is>
          <t>F</t>
        </is>
      </c>
      <c r="G1271" s="1" t="inlineStr">
        <is>
          <t>David Davis</t>
        </is>
      </c>
      <c r="H1271" s="1" t="inlineStr">
        <is>
          <t>Kaitlyn Black</t>
        </is>
      </c>
      <c r="I1271" s="30" t="n">
        <v>46065</v>
      </c>
      <c r="J1271" s="1" t="inlineStr">
        <is>
          <t>210 Johnson Centers Apt. 779</t>
        </is>
      </c>
      <c r="K1271" s="1" t="inlineStr">
        <is>
          <t>Apt. 353</t>
        </is>
      </c>
      <c r="L1271" s="1" t="inlineStr">
        <is>
          <t>PIN:60050 PORT PHILLIP</t>
        </is>
      </c>
      <c r="M1271" s="2" t="inlineStr">
        <is>
          <t>MHA/IND/01276</t>
        </is>
      </c>
      <c r="N1271" s="30" t="n">
        <v>46082</v>
      </c>
    </row>
    <row r="1272">
      <c r="A1272" s="28" t="n">
        <v>1271</v>
      </c>
      <c r="B1272" s="1" t="inlineStr">
        <is>
          <t>LAUREN PAUL</t>
        </is>
      </c>
      <c r="C1272" s="30" t="n">
        <v>45884</v>
      </c>
      <c r="D1272" s="1" t="inlineStr">
        <is>
          <t>LINDSAYMOUTH</t>
        </is>
      </c>
      <c r="E1272" s="12" t="inlineStr">
        <is>
          <t>IND/MEL/01271</t>
        </is>
      </c>
      <c r="F1272" s="1" t="inlineStr">
        <is>
          <t>F</t>
        </is>
      </c>
      <c r="G1272" s="1" t="inlineStr">
        <is>
          <t>Calvin Marquez</t>
        </is>
      </c>
      <c r="H1272" s="1" t="inlineStr">
        <is>
          <t>Lisa Paul</t>
        </is>
      </c>
      <c r="I1272" s="30" t="n">
        <v>46065</v>
      </c>
      <c r="J1272" s="1" t="inlineStr">
        <is>
          <t>424 Brian Route</t>
        </is>
      </c>
      <c r="K1272" s="1" t="inlineStr">
        <is>
          <t>Suite 295</t>
        </is>
      </c>
      <c r="L1272" s="1" t="inlineStr">
        <is>
          <t>PIN:32728 SOUTH AMY</t>
        </is>
      </c>
      <c r="M1272" s="2" t="inlineStr">
        <is>
          <t>MHA/IND/01277</t>
        </is>
      </c>
      <c r="N1272" s="30" t="n">
        <v>46078</v>
      </c>
    </row>
    <row r="1273">
      <c r="A1273" s="28" t="n">
        <v>1272</v>
      </c>
      <c r="B1273" s="1" t="inlineStr">
        <is>
          <t>CRYSTAL EVANS</t>
        </is>
      </c>
      <c r="C1273" s="30" t="n">
        <v>45813</v>
      </c>
      <c r="D1273" s="1" t="inlineStr">
        <is>
          <t>SOUTH ETHANSIDE</t>
        </is>
      </c>
      <c r="E1273" s="12" t="inlineStr">
        <is>
          <t>IND/MEL/01272</t>
        </is>
      </c>
      <c r="F1273" s="1" t="inlineStr">
        <is>
          <t>M</t>
        </is>
      </c>
      <c r="G1273" s="1" t="inlineStr">
        <is>
          <t>Benjamin Clark</t>
        </is>
      </c>
      <c r="H1273" s="1" t="inlineStr">
        <is>
          <t>Lindsey Jenkins</t>
        </is>
      </c>
      <c r="I1273" s="30" t="n">
        <v>46065</v>
      </c>
      <c r="J1273" s="1" t="inlineStr">
        <is>
          <t>63733 Jodi Extension Apt. 466</t>
        </is>
      </c>
      <c r="K1273" s="1" t="inlineStr">
        <is>
          <t>Suite 268</t>
        </is>
      </c>
      <c r="L1273" s="1" t="inlineStr">
        <is>
          <t>PIN:15117 LAKE JESSICABURY</t>
        </is>
      </c>
      <c r="M1273" s="2" t="inlineStr">
        <is>
          <t>MHA/IND/01278</t>
        </is>
      </c>
      <c r="N1273" s="30" t="n">
        <v>46070</v>
      </c>
    </row>
    <row r="1274">
      <c r="A1274" s="28" t="n">
        <v>1273</v>
      </c>
      <c r="B1274" s="1" t="inlineStr">
        <is>
          <t>GREGORY TAPIA</t>
        </is>
      </c>
      <c r="C1274" s="30" t="n">
        <v>45942</v>
      </c>
      <c r="D1274" s="1" t="inlineStr">
        <is>
          <t>LAKE DENNIS</t>
        </is>
      </c>
      <c r="E1274" s="12" t="inlineStr">
        <is>
          <t>IND/MEL/01273</t>
        </is>
      </c>
      <c r="F1274" s="1" t="inlineStr">
        <is>
          <t>M</t>
        </is>
      </c>
      <c r="G1274" s="1" t="inlineStr">
        <is>
          <t>Henry Clark</t>
        </is>
      </c>
      <c r="H1274" s="1" t="inlineStr">
        <is>
          <t>Emily Copeland</t>
        </is>
      </c>
      <c r="I1274" s="30" t="n">
        <v>46065</v>
      </c>
      <c r="J1274" s="1" t="inlineStr">
        <is>
          <t>932 Lambert Village Suite 173</t>
        </is>
      </c>
      <c r="K1274" s="1" t="inlineStr">
        <is>
          <t>Suite 635</t>
        </is>
      </c>
      <c r="L1274" s="1" t="inlineStr">
        <is>
          <t>PIN:86675 NEW BLAKEBURY</t>
        </is>
      </c>
      <c r="M1274" s="2" t="inlineStr">
        <is>
          <t>MHA/IND/01279</t>
        </is>
      </c>
      <c r="N1274" s="30" t="n">
        <v>46066</v>
      </c>
    </row>
    <row r="1275">
      <c r="A1275" s="28" t="n">
        <v>1274</v>
      </c>
      <c r="B1275" s="1" t="inlineStr">
        <is>
          <t>ERIC RITTER</t>
        </is>
      </c>
      <c r="C1275" s="30" t="n">
        <v>45975</v>
      </c>
      <c r="D1275" s="1" t="inlineStr">
        <is>
          <t>WEST ALAN</t>
        </is>
      </c>
      <c r="E1275" s="12" t="inlineStr">
        <is>
          <t>IND/MEL/01274</t>
        </is>
      </c>
      <c r="F1275" s="1" t="inlineStr">
        <is>
          <t>M</t>
        </is>
      </c>
      <c r="G1275" s="1" t="inlineStr">
        <is>
          <t>Rick King</t>
        </is>
      </c>
      <c r="H1275" s="1" t="inlineStr">
        <is>
          <t>Jessica Henry</t>
        </is>
      </c>
      <c r="I1275" s="30" t="n">
        <v>46065</v>
      </c>
      <c r="J1275" s="1" t="inlineStr">
        <is>
          <t>0132 Katrina Mountain</t>
        </is>
      </c>
      <c r="K1275" s="1" t="inlineStr">
        <is>
          <t>Suite 530</t>
        </is>
      </c>
      <c r="L1275" s="1" t="inlineStr">
        <is>
          <t>PIN:77555 EAST BRIAN</t>
        </is>
      </c>
      <c r="M1275" s="2" t="inlineStr">
        <is>
          <t>MHA/IND/01280</t>
        </is>
      </c>
      <c r="N1275" s="30" t="n">
        <v>46078</v>
      </c>
    </row>
    <row r="1276">
      <c r="A1276" s="28" t="n">
        <v>1275</v>
      </c>
      <c r="B1276" s="1" t="inlineStr">
        <is>
          <t>TERRY GREEN</t>
        </is>
      </c>
      <c r="C1276" s="30" t="n">
        <v>45902</v>
      </c>
      <c r="D1276" s="1" t="inlineStr">
        <is>
          <t>SOUTH MICHAELBURY</t>
        </is>
      </c>
      <c r="E1276" s="12" t="inlineStr">
        <is>
          <t>IND/MEL/01275</t>
        </is>
      </c>
      <c r="F1276" s="1" t="inlineStr">
        <is>
          <t>M</t>
        </is>
      </c>
      <c r="G1276" s="1" t="inlineStr">
        <is>
          <t>Kevin Alexander</t>
        </is>
      </c>
      <c r="H1276" s="1" t="inlineStr">
        <is>
          <t>Alison Stephenson</t>
        </is>
      </c>
      <c r="I1276" s="30" t="n">
        <v>46065</v>
      </c>
      <c r="J1276" s="1" t="inlineStr">
        <is>
          <t>8708 Monica Locks</t>
        </is>
      </c>
      <c r="K1276" s="1" t="inlineStr">
        <is>
          <t>Apt. 006</t>
        </is>
      </c>
      <c r="L1276" s="1" t="inlineStr">
        <is>
          <t>PIN:13798 NORTH VICTORIABERG</t>
        </is>
      </c>
      <c r="M1276" s="2" t="inlineStr">
        <is>
          <t>MHA/IND/01281</t>
        </is>
      </c>
      <c r="N1276" s="30" t="n">
        <v>46087</v>
      </c>
    </row>
    <row r="1277">
      <c r="A1277" s="28" t="n">
        <v>1276</v>
      </c>
      <c r="B1277" s="1" t="inlineStr">
        <is>
          <t>CRYSTAL PETERSON</t>
        </is>
      </c>
      <c r="C1277" s="30" t="n">
        <v>45827</v>
      </c>
      <c r="D1277" s="1" t="inlineStr">
        <is>
          <t>BISHOPVIEW</t>
        </is>
      </c>
      <c r="E1277" s="12" t="inlineStr">
        <is>
          <t>IND/MEL/01276</t>
        </is>
      </c>
      <c r="F1277" s="1" t="inlineStr">
        <is>
          <t>M</t>
        </is>
      </c>
      <c r="G1277" s="1" t="inlineStr">
        <is>
          <t>David Baker</t>
        </is>
      </c>
      <c r="H1277" s="1" t="inlineStr">
        <is>
          <t>Amanda Jordan</t>
        </is>
      </c>
      <c r="I1277" s="30" t="n">
        <v>46065</v>
      </c>
      <c r="J1277" s="1" t="inlineStr">
        <is>
          <t>11959 Nelson Glen Suite 453</t>
        </is>
      </c>
      <c r="K1277" s="1" t="inlineStr">
        <is>
          <t>Apt. 573</t>
        </is>
      </c>
      <c r="L1277" s="1" t="inlineStr">
        <is>
          <t>PIN:64502 NORTH ALISONSIDE</t>
        </is>
      </c>
      <c r="M1277" s="2" t="inlineStr">
        <is>
          <t>MHA/IND/01282</t>
        </is>
      </c>
      <c r="N1277" s="30" t="n">
        <v>46086</v>
      </c>
    </row>
    <row r="1278">
      <c r="A1278" s="28" t="n">
        <v>1277</v>
      </c>
      <c r="B1278" s="1" t="inlineStr">
        <is>
          <t>SHARON EDWARDS</t>
        </is>
      </c>
      <c r="C1278" s="30" t="n">
        <v>45729</v>
      </c>
      <c r="D1278" s="1" t="inlineStr">
        <is>
          <t>NORTH JESSICA</t>
        </is>
      </c>
      <c r="E1278" s="12" t="inlineStr">
        <is>
          <t>IND/MEL/01277</t>
        </is>
      </c>
      <c r="F1278" s="1" t="inlineStr">
        <is>
          <t>F</t>
        </is>
      </c>
      <c r="G1278" s="1" t="inlineStr">
        <is>
          <t>Zachary Dyer</t>
        </is>
      </c>
      <c r="H1278" s="1" t="inlineStr">
        <is>
          <t>Amber Wright</t>
        </is>
      </c>
      <c r="I1278" s="30" t="n">
        <v>46065</v>
      </c>
      <c r="J1278" s="1" t="inlineStr">
        <is>
          <t>7848 Danielle Lodge Suite 142</t>
        </is>
      </c>
      <c r="K1278" s="1" t="inlineStr">
        <is>
          <t>Apt. 785</t>
        </is>
      </c>
      <c r="L1278" s="1" t="inlineStr">
        <is>
          <t>PIN:65590 MICHAELPORT</t>
        </is>
      </c>
      <c r="M1278" s="2" t="inlineStr">
        <is>
          <t>MHA/IND/01283</t>
        </is>
      </c>
      <c r="N1278" s="30" t="n">
        <v>46081</v>
      </c>
    </row>
    <row r="1279">
      <c r="A1279" s="28" t="n">
        <v>1278</v>
      </c>
      <c r="B1279" s="1" t="inlineStr">
        <is>
          <t>JOHN DAVIES</t>
        </is>
      </c>
      <c r="C1279" s="30" t="n">
        <v>46023</v>
      </c>
      <c r="D1279" s="1" t="inlineStr">
        <is>
          <t>MICHELLEBOROUGH</t>
        </is>
      </c>
      <c r="E1279" s="12" t="inlineStr">
        <is>
          <t>IND/MEL/01278</t>
        </is>
      </c>
      <c r="F1279" s="1" t="inlineStr">
        <is>
          <t>M</t>
        </is>
      </c>
      <c r="G1279" s="1" t="inlineStr">
        <is>
          <t>Robert Rowland</t>
        </is>
      </c>
      <c r="H1279" s="1" t="inlineStr">
        <is>
          <t>Ashley Contreras</t>
        </is>
      </c>
      <c r="I1279" s="30" t="n">
        <v>46065</v>
      </c>
      <c r="J1279" s="1" t="inlineStr">
        <is>
          <t>053 Phillips Field</t>
        </is>
      </c>
      <c r="K1279" s="1" t="inlineStr">
        <is>
          <t>Apt. 429</t>
        </is>
      </c>
      <c r="L1279" s="1" t="inlineStr">
        <is>
          <t>PIN:58522 NORTH KELLYSHIRE</t>
        </is>
      </c>
      <c r="M1279" s="2" t="inlineStr">
        <is>
          <t>MHA/IND/01284</t>
        </is>
      </c>
      <c r="N1279" s="30" t="n">
        <v>46094</v>
      </c>
    </row>
    <row r="1280">
      <c r="A1280" s="28" t="n">
        <v>1279</v>
      </c>
      <c r="B1280" s="1" t="inlineStr">
        <is>
          <t>BRENT HAMILTON</t>
        </is>
      </c>
      <c r="C1280" s="30" t="n">
        <v>45940</v>
      </c>
      <c r="D1280" s="1" t="inlineStr">
        <is>
          <t>EAST SHANNONMOUTH</t>
        </is>
      </c>
      <c r="E1280" s="12" t="inlineStr">
        <is>
          <t>IND/MEL/01279</t>
        </is>
      </c>
      <c r="F1280" s="1" t="inlineStr">
        <is>
          <t>F</t>
        </is>
      </c>
      <c r="G1280" s="1" t="inlineStr">
        <is>
          <t>Michael Davis</t>
        </is>
      </c>
      <c r="H1280" s="1" t="inlineStr">
        <is>
          <t>Elizabeth Spencer</t>
        </is>
      </c>
      <c r="I1280" s="30" t="n">
        <v>46065</v>
      </c>
      <c r="J1280" s="1" t="inlineStr">
        <is>
          <t>35020 Vincent Tunnel Apt. 653</t>
        </is>
      </c>
      <c r="K1280" s="1" t="inlineStr">
        <is>
          <t>Apt. 657</t>
        </is>
      </c>
      <c r="L1280" s="1" t="inlineStr">
        <is>
          <t>PIN:86499 WEST CARRIETON</t>
        </is>
      </c>
      <c r="M1280" s="2" t="inlineStr">
        <is>
          <t>MHA/IND/01285</t>
        </is>
      </c>
      <c r="N1280" s="30" t="n">
        <v>46069</v>
      </c>
    </row>
    <row r="1281">
      <c r="A1281" s="28" t="n">
        <v>1280</v>
      </c>
      <c r="B1281" s="1" t="inlineStr">
        <is>
          <t>JOHN DIAZ</t>
        </is>
      </c>
      <c r="C1281" s="30" t="n">
        <v>45828</v>
      </c>
      <c r="D1281" s="1" t="inlineStr">
        <is>
          <t>WEST ANTHONYSIDE</t>
        </is>
      </c>
      <c r="E1281" s="12" t="inlineStr">
        <is>
          <t>IND/MEL/01280</t>
        </is>
      </c>
      <c r="F1281" s="1" t="inlineStr">
        <is>
          <t>M</t>
        </is>
      </c>
      <c r="G1281" s="1" t="inlineStr">
        <is>
          <t>Scott Frederick</t>
        </is>
      </c>
      <c r="H1281" s="1" t="inlineStr">
        <is>
          <t>Shelby Walker</t>
        </is>
      </c>
      <c r="I1281" s="30" t="n">
        <v>46065</v>
      </c>
      <c r="J1281" s="1" t="inlineStr">
        <is>
          <t>8920 Kyle Road Suite 696</t>
        </is>
      </c>
      <c r="K1281" s="1" t="inlineStr">
        <is>
          <t>Suite 334</t>
        </is>
      </c>
      <c r="L1281" s="1" t="inlineStr">
        <is>
          <t>PIN:53058 PORT JOSEHAVEN</t>
        </is>
      </c>
      <c r="M1281" s="2" t="inlineStr">
        <is>
          <t>MHA/IND/01286</t>
        </is>
      </c>
      <c r="N1281" s="30" t="n">
        <v>46092</v>
      </c>
    </row>
    <row r="1282">
      <c r="A1282" s="28" t="n">
        <v>1281</v>
      </c>
      <c r="B1282" s="1" t="inlineStr">
        <is>
          <t>RAYMOND GORDON</t>
        </is>
      </c>
      <c r="C1282" s="30" t="n">
        <v>45773</v>
      </c>
      <c r="D1282" s="1" t="inlineStr">
        <is>
          <t>WEST VALERIECHESTER</t>
        </is>
      </c>
      <c r="E1282" s="12" t="inlineStr">
        <is>
          <t>IND/MEL/01281</t>
        </is>
      </c>
      <c r="F1282" s="1" t="inlineStr">
        <is>
          <t>F</t>
        </is>
      </c>
      <c r="G1282" s="1" t="inlineStr">
        <is>
          <t>Keith Johnson</t>
        </is>
      </c>
      <c r="H1282" s="1" t="inlineStr">
        <is>
          <t>Christina Smith</t>
        </is>
      </c>
      <c r="I1282" s="30" t="n">
        <v>46065</v>
      </c>
      <c r="J1282" s="1" t="inlineStr">
        <is>
          <t>2357 Mccall Junction</t>
        </is>
      </c>
      <c r="K1282" s="1" t="inlineStr">
        <is>
          <t>Apt. 643</t>
        </is>
      </c>
      <c r="L1282" s="1" t="inlineStr">
        <is>
          <t>PIN:62966 VIRGINIAFORT</t>
        </is>
      </c>
      <c r="M1282" s="2" t="inlineStr">
        <is>
          <t>MHA/IND/01287</t>
        </is>
      </c>
      <c r="N1282" s="30" t="n">
        <v>46079</v>
      </c>
    </row>
    <row r="1283">
      <c r="A1283" s="28" t="n">
        <v>1282</v>
      </c>
      <c r="B1283" s="1" t="inlineStr">
        <is>
          <t>CHRISTIAN LITTLE</t>
        </is>
      </c>
      <c r="C1283" s="30" t="n">
        <v>45945</v>
      </c>
      <c r="D1283" s="1" t="inlineStr">
        <is>
          <t>LAURALAND</t>
        </is>
      </c>
      <c r="E1283" s="12" t="inlineStr">
        <is>
          <t>IND/MEL/01282</t>
        </is>
      </c>
      <c r="F1283" s="1" t="inlineStr">
        <is>
          <t>M</t>
        </is>
      </c>
      <c r="G1283" s="1" t="inlineStr">
        <is>
          <t>Dr. Stephen Roman</t>
        </is>
      </c>
      <c r="H1283" s="1" t="inlineStr">
        <is>
          <t>Kristina Young</t>
        </is>
      </c>
      <c r="I1283" s="30" t="n">
        <v>46065</v>
      </c>
      <c r="J1283" s="1" t="inlineStr">
        <is>
          <t>7255 Kimberly Via</t>
        </is>
      </c>
      <c r="K1283" s="1" t="inlineStr">
        <is>
          <t>Suite 043</t>
        </is>
      </c>
      <c r="L1283" s="1" t="inlineStr">
        <is>
          <t>PIN:37052 PORT CODYPORT</t>
        </is>
      </c>
      <c r="M1283" s="2" t="inlineStr">
        <is>
          <t>MHA/IND/01288</t>
        </is>
      </c>
      <c r="N1283" s="30" t="n">
        <v>46076</v>
      </c>
    </row>
    <row r="1284">
      <c r="A1284" s="28" t="n">
        <v>1283</v>
      </c>
      <c r="B1284" s="1" t="inlineStr">
        <is>
          <t>DAWN ODONNELL</t>
        </is>
      </c>
      <c r="C1284" s="30" t="n">
        <v>46056</v>
      </c>
      <c r="D1284" s="1" t="inlineStr">
        <is>
          <t>LAKE MARKFURT</t>
        </is>
      </c>
      <c r="E1284" s="12" t="inlineStr">
        <is>
          <t>IND/MEL/01283</t>
        </is>
      </c>
      <c r="F1284" s="1" t="inlineStr">
        <is>
          <t>M</t>
        </is>
      </c>
      <c r="G1284" s="1" t="inlineStr">
        <is>
          <t>Dr. Brandon Ramirez MD</t>
        </is>
      </c>
      <c r="H1284" s="1" t="inlineStr">
        <is>
          <t>Taylor Martinez</t>
        </is>
      </c>
      <c r="I1284" s="30" t="n">
        <v>46065</v>
      </c>
      <c r="J1284" s="1" t="inlineStr">
        <is>
          <t>85457 Jeffrey Port</t>
        </is>
      </c>
      <c r="K1284" s="1" t="inlineStr">
        <is>
          <t>Suite 379</t>
        </is>
      </c>
      <c r="L1284" s="1" t="inlineStr">
        <is>
          <t>PIN:46346 PORT SHERRY</t>
        </is>
      </c>
      <c r="M1284" s="2" t="inlineStr">
        <is>
          <t>MHA/IND/01289</t>
        </is>
      </c>
      <c r="N1284" s="30" t="n">
        <v>46088</v>
      </c>
    </row>
    <row r="1285">
      <c r="A1285" s="28" t="n">
        <v>1284</v>
      </c>
      <c r="B1285" s="1" t="inlineStr">
        <is>
          <t>MATTHEW MATHIS</t>
        </is>
      </c>
      <c r="C1285" s="30" t="n">
        <v>45766</v>
      </c>
      <c r="D1285" s="1" t="inlineStr">
        <is>
          <t>MONTGOMERYBURGH</t>
        </is>
      </c>
      <c r="E1285" s="12" t="inlineStr">
        <is>
          <t>IND/MEL/01284</t>
        </is>
      </c>
      <c r="F1285" s="1" t="inlineStr">
        <is>
          <t>M</t>
        </is>
      </c>
      <c r="G1285" s="1" t="inlineStr">
        <is>
          <t>Carlos Olson</t>
        </is>
      </c>
      <c r="H1285" s="1" t="inlineStr">
        <is>
          <t>Donna Ball</t>
        </is>
      </c>
      <c r="I1285" s="30" t="n">
        <v>46065</v>
      </c>
      <c r="J1285" s="1" t="inlineStr">
        <is>
          <t>489 Michael Isle Suite 639</t>
        </is>
      </c>
      <c r="K1285" s="1" t="inlineStr">
        <is>
          <t>Suite 770</t>
        </is>
      </c>
      <c r="L1285" s="1" t="inlineStr">
        <is>
          <t>PIN:29939 DURANSIDE</t>
        </is>
      </c>
      <c r="M1285" s="2" t="inlineStr">
        <is>
          <t>MHA/IND/01290</t>
        </is>
      </c>
      <c r="N1285" s="30" t="n">
        <v>46073</v>
      </c>
    </row>
    <row r="1286">
      <c r="A1286" s="28" t="n">
        <v>1285</v>
      </c>
      <c r="B1286" s="1" t="inlineStr">
        <is>
          <t>AMANDA WOLFE</t>
        </is>
      </c>
      <c r="C1286" s="30" t="n">
        <v>45744</v>
      </c>
      <c r="D1286" s="1" t="inlineStr">
        <is>
          <t>SOUTH JOSEPH</t>
        </is>
      </c>
      <c r="E1286" s="12" t="inlineStr">
        <is>
          <t>IND/MEL/01285</t>
        </is>
      </c>
      <c r="F1286" s="1" t="inlineStr">
        <is>
          <t>M</t>
        </is>
      </c>
      <c r="G1286" s="1" t="inlineStr">
        <is>
          <t>Andrew Davis</t>
        </is>
      </c>
      <c r="H1286" s="1" t="inlineStr">
        <is>
          <t>Kristine Cortez DDS</t>
        </is>
      </c>
      <c r="I1286" s="30" t="n">
        <v>46065</v>
      </c>
      <c r="J1286" s="1" t="inlineStr">
        <is>
          <t>770 Donna Dam Suite 135</t>
        </is>
      </c>
      <c r="K1286" s="1" t="inlineStr">
        <is>
          <t>Apt. 259</t>
        </is>
      </c>
      <c r="L1286" s="1" t="inlineStr">
        <is>
          <t>PIN:55560 PATRICKBOROUGH</t>
        </is>
      </c>
      <c r="M1286" s="2" t="inlineStr">
        <is>
          <t>MHA/IND/01291</t>
        </is>
      </c>
      <c r="N1286" s="30" t="n">
        <v>46090</v>
      </c>
    </row>
    <row r="1287">
      <c r="A1287" s="28" t="n">
        <v>1286</v>
      </c>
      <c r="B1287" s="1" t="inlineStr">
        <is>
          <t>STEPHEN SANCHEZ</t>
        </is>
      </c>
      <c r="C1287" s="30" t="n">
        <v>45898</v>
      </c>
      <c r="D1287" s="1" t="inlineStr">
        <is>
          <t>NORTH RYAN</t>
        </is>
      </c>
      <c r="E1287" s="12" t="inlineStr">
        <is>
          <t>IND/MEL/01286</t>
        </is>
      </c>
      <c r="F1287" s="1" t="inlineStr">
        <is>
          <t>F</t>
        </is>
      </c>
      <c r="G1287" s="1" t="inlineStr">
        <is>
          <t>Scott Woodard</t>
        </is>
      </c>
      <c r="H1287" s="1" t="inlineStr">
        <is>
          <t>Gloria Hunter</t>
        </is>
      </c>
      <c r="I1287" s="30" t="n">
        <v>46065</v>
      </c>
      <c r="J1287" s="1" t="inlineStr">
        <is>
          <t>5176 Michael Stravenue Suite 473</t>
        </is>
      </c>
      <c r="K1287" s="1" t="inlineStr">
        <is>
          <t>Apt. 039</t>
        </is>
      </c>
      <c r="L1287" s="1" t="inlineStr">
        <is>
          <t>PIN:76425 EAST ELIZABETH</t>
        </is>
      </c>
      <c r="M1287" s="2" t="inlineStr">
        <is>
          <t>MHA/IND/01292</t>
        </is>
      </c>
      <c r="N1287" s="30" t="n">
        <v>46088</v>
      </c>
    </row>
    <row r="1288">
      <c r="A1288" s="28" t="n">
        <v>1287</v>
      </c>
      <c r="B1288" s="1" t="inlineStr">
        <is>
          <t>DANIELLE WU</t>
        </is>
      </c>
      <c r="C1288" s="30" t="n">
        <v>45845</v>
      </c>
      <c r="D1288" s="1" t="inlineStr">
        <is>
          <t>LORIBOROUGH</t>
        </is>
      </c>
      <c r="E1288" s="12" t="inlineStr">
        <is>
          <t>IND/MEL/01287</t>
        </is>
      </c>
      <c r="F1288" s="1" t="inlineStr">
        <is>
          <t>F</t>
        </is>
      </c>
      <c r="G1288" s="1" t="inlineStr">
        <is>
          <t>Stephen Wright</t>
        </is>
      </c>
      <c r="H1288" s="1" t="inlineStr">
        <is>
          <t>Michelle Ortiz</t>
        </is>
      </c>
      <c r="I1288" s="30" t="n">
        <v>46065</v>
      </c>
      <c r="J1288" s="1" t="inlineStr">
        <is>
          <t>872 Jimmy Common Apt. 917</t>
        </is>
      </c>
      <c r="K1288" s="1" t="inlineStr">
        <is>
          <t>Suite 145</t>
        </is>
      </c>
      <c r="L1288" s="1" t="inlineStr">
        <is>
          <t>PIN:77052 NORTH BARBARA</t>
        </is>
      </c>
      <c r="M1288" s="2" t="inlineStr">
        <is>
          <t>MHA/IND/01293</t>
        </is>
      </c>
      <c r="N1288" s="30" t="n">
        <v>46076</v>
      </c>
    </row>
    <row r="1289">
      <c r="A1289" s="28" t="n">
        <v>1288</v>
      </c>
      <c r="B1289" s="1" t="inlineStr">
        <is>
          <t>EDWARD MARTIN</t>
        </is>
      </c>
      <c r="C1289" s="30" t="n">
        <v>45968</v>
      </c>
      <c r="D1289" s="1" t="inlineStr">
        <is>
          <t>HICKSBURY</t>
        </is>
      </c>
      <c r="E1289" s="12" t="inlineStr">
        <is>
          <t>IND/MEL/01288</t>
        </is>
      </c>
      <c r="F1289" s="1" t="inlineStr">
        <is>
          <t>F</t>
        </is>
      </c>
      <c r="G1289" s="1" t="inlineStr">
        <is>
          <t>Darrell Molina</t>
        </is>
      </c>
      <c r="H1289" s="1" t="inlineStr">
        <is>
          <t>Paula Sanchez</t>
        </is>
      </c>
      <c r="I1289" s="30" t="n">
        <v>46065</v>
      </c>
      <c r="J1289" s="1" t="inlineStr">
        <is>
          <t>0956 Walls Manors Suite 512</t>
        </is>
      </c>
      <c r="K1289" s="1" t="inlineStr">
        <is>
          <t>Suite 548</t>
        </is>
      </c>
      <c r="L1289" s="1" t="inlineStr">
        <is>
          <t>PIN:04607 AUSTINLAND</t>
        </is>
      </c>
      <c r="M1289" s="2" t="inlineStr">
        <is>
          <t>MHA/IND/01294</t>
        </is>
      </c>
      <c r="N1289" s="30" t="n">
        <v>46089</v>
      </c>
    </row>
    <row r="1290">
      <c r="A1290" s="28" t="n">
        <v>1289</v>
      </c>
      <c r="B1290" s="1" t="inlineStr">
        <is>
          <t>JOHNATHAN RIVERA</t>
        </is>
      </c>
      <c r="C1290" s="30" t="n">
        <v>45774</v>
      </c>
      <c r="D1290" s="1" t="inlineStr">
        <is>
          <t>PORT THOMAS</t>
        </is>
      </c>
      <c r="E1290" s="12" t="inlineStr">
        <is>
          <t>IND/MEL/01289</t>
        </is>
      </c>
      <c r="F1290" s="1" t="inlineStr">
        <is>
          <t>M</t>
        </is>
      </c>
      <c r="G1290" s="1" t="inlineStr">
        <is>
          <t>Robert Kline</t>
        </is>
      </c>
      <c r="H1290" s="1" t="inlineStr">
        <is>
          <t>Olivia Horton</t>
        </is>
      </c>
      <c r="I1290" s="30" t="n">
        <v>46065</v>
      </c>
      <c r="J1290" s="1" t="inlineStr">
        <is>
          <t>83228 Herman Club</t>
        </is>
      </c>
      <c r="K1290" s="1" t="inlineStr">
        <is>
          <t>Apt. 031</t>
        </is>
      </c>
      <c r="L1290" s="1" t="inlineStr">
        <is>
          <t>PIN:44827 MORANSHIRE</t>
        </is>
      </c>
      <c r="M1290" s="2" t="inlineStr">
        <is>
          <t>MHA/IND/01295</t>
        </is>
      </c>
      <c r="N1290" s="30" t="n">
        <v>46084</v>
      </c>
    </row>
    <row r="1291">
      <c r="A1291" s="28" t="n">
        <v>1290</v>
      </c>
      <c r="B1291" s="1" t="inlineStr">
        <is>
          <t>JOEL JORDAN</t>
        </is>
      </c>
      <c r="C1291" s="30" t="n">
        <v>45763</v>
      </c>
      <c r="D1291" s="1" t="inlineStr">
        <is>
          <t>JENNIFERSHIRE</t>
        </is>
      </c>
      <c r="E1291" s="12" t="inlineStr">
        <is>
          <t>IND/MEL/01290</t>
        </is>
      </c>
      <c r="F1291" s="1" t="inlineStr">
        <is>
          <t>F</t>
        </is>
      </c>
      <c r="G1291" s="1" t="inlineStr">
        <is>
          <t>Marcus Myers</t>
        </is>
      </c>
      <c r="H1291" s="1" t="inlineStr">
        <is>
          <t>Kelly Ellis</t>
        </is>
      </c>
      <c r="I1291" s="30" t="n">
        <v>46065</v>
      </c>
      <c r="J1291" s="1" t="inlineStr">
        <is>
          <t>36426 Brown Crest</t>
        </is>
      </c>
      <c r="K1291" s="1" t="inlineStr">
        <is>
          <t>Apt. 638</t>
        </is>
      </c>
      <c r="L1291" s="1" t="inlineStr">
        <is>
          <t>PIN:61554 PORT CARMENBERG</t>
        </is>
      </c>
      <c r="M1291" s="2" t="inlineStr">
        <is>
          <t>MHA/IND/01296</t>
        </is>
      </c>
      <c r="N1291" s="30" t="n">
        <v>46092</v>
      </c>
    </row>
    <row r="1292">
      <c r="A1292" s="28" t="n">
        <v>1291</v>
      </c>
      <c r="B1292" s="1" t="inlineStr">
        <is>
          <t>JEFFREY GONZALEZ</t>
        </is>
      </c>
      <c r="C1292" s="30" t="n">
        <v>46036</v>
      </c>
      <c r="D1292" s="1" t="inlineStr">
        <is>
          <t>MARTINEZSHIRE</t>
        </is>
      </c>
      <c r="E1292" s="12" t="inlineStr">
        <is>
          <t>IND/MEL/01291</t>
        </is>
      </c>
      <c r="F1292" s="1" t="inlineStr">
        <is>
          <t>F</t>
        </is>
      </c>
      <c r="G1292" s="1" t="inlineStr">
        <is>
          <t>Thomas Mcclure</t>
        </is>
      </c>
      <c r="H1292" s="1" t="inlineStr">
        <is>
          <t>Ashley Smith</t>
        </is>
      </c>
      <c r="I1292" s="30" t="n">
        <v>46065</v>
      </c>
      <c r="J1292" s="1" t="inlineStr">
        <is>
          <t>1410 Jacqueline Motorway</t>
        </is>
      </c>
      <c r="K1292" s="1" t="inlineStr">
        <is>
          <t>Suite 919</t>
        </is>
      </c>
      <c r="L1292" s="1" t="inlineStr">
        <is>
          <t>PIN:80808 EAST ANGELA</t>
        </is>
      </c>
      <c r="M1292" s="2" t="inlineStr">
        <is>
          <t>MHA/IND/01297</t>
        </is>
      </c>
      <c r="N1292" s="30" t="n">
        <v>46080</v>
      </c>
    </row>
    <row r="1293">
      <c r="A1293" s="28" t="n">
        <v>1292</v>
      </c>
      <c r="B1293" s="1" t="inlineStr">
        <is>
          <t>JOANNE RIVERA</t>
        </is>
      </c>
      <c r="C1293" s="30" t="n">
        <v>45793</v>
      </c>
      <c r="D1293" s="1" t="inlineStr">
        <is>
          <t>HOLLOWAYHAVEN</t>
        </is>
      </c>
      <c r="E1293" s="12" t="inlineStr">
        <is>
          <t>IND/MEL/01292</t>
        </is>
      </c>
      <c r="F1293" s="1" t="inlineStr">
        <is>
          <t>M</t>
        </is>
      </c>
      <c r="G1293" s="1" t="inlineStr">
        <is>
          <t>Curtis Knight</t>
        </is>
      </c>
      <c r="H1293" s="1" t="inlineStr">
        <is>
          <t>Rhonda Holmes</t>
        </is>
      </c>
      <c r="I1293" s="30" t="n">
        <v>46065</v>
      </c>
      <c r="J1293" s="1" t="inlineStr">
        <is>
          <t>33975 Townsend Well Apt. 731</t>
        </is>
      </c>
      <c r="K1293" s="1" t="inlineStr">
        <is>
          <t>Apt. 521</t>
        </is>
      </c>
      <c r="L1293" s="1" t="inlineStr">
        <is>
          <t>PIN:39680 LAKE BRANDIBURY</t>
        </is>
      </c>
      <c r="M1293" s="2" t="inlineStr">
        <is>
          <t>MHA/IND/01298</t>
        </is>
      </c>
      <c r="N1293" s="30" t="n">
        <v>46095</v>
      </c>
    </row>
    <row r="1294">
      <c r="A1294" s="28" t="n">
        <v>1293</v>
      </c>
      <c r="B1294" s="1" t="inlineStr">
        <is>
          <t>AMANDA HALL</t>
        </is>
      </c>
      <c r="C1294" s="30" t="n">
        <v>45772</v>
      </c>
      <c r="D1294" s="1" t="inlineStr">
        <is>
          <t>HILLPORT</t>
        </is>
      </c>
      <c r="E1294" s="12" t="inlineStr">
        <is>
          <t>IND/MEL/01293</t>
        </is>
      </c>
      <c r="F1294" s="1" t="inlineStr">
        <is>
          <t>F</t>
        </is>
      </c>
      <c r="G1294" s="1" t="inlineStr">
        <is>
          <t>Richard Rios</t>
        </is>
      </c>
      <c r="H1294" s="1" t="inlineStr">
        <is>
          <t>Janet Brandt DDS</t>
        </is>
      </c>
      <c r="I1294" s="30" t="n">
        <v>46065</v>
      </c>
      <c r="J1294" s="1" t="inlineStr">
        <is>
          <t>55934 Kristen Forges Suite 562</t>
        </is>
      </c>
      <c r="K1294" s="1" t="inlineStr">
        <is>
          <t>Apt. 172</t>
        </is>
      </c>
      <c r="L1294" s="1" t="inlineStr">
        <is>
          <t>PIN:51443 WEST PAMELABOROUGH</t>
        </is>
      </c>
      <c r="M1294" s="2" t="inlineStr">
        <is>
          <t>MHA/IND/01299</t>
        </is>
      </c>
      <c r="N1294" s="30" t="n">
        <v>46078</v>
      </c>
    </row>
    <row r="1295">
      <c r="A1295" s="28" t="n">
        <v>1294</v>
      </c>
      <c r="B1295" s="1" t="inlineStr">
        <is>
          <t>AMBER DAVIS</t>
        </is>
      </c>
      <c r="C1295" s="30" t="n">
        <v>45794</v>
      </c>
      <c r="D1295" s="1" t="inlineStr">
        <is>
          <t>RODRIGUEZBURY</t>
        </is>
      </c>
      <c r="E1295" s="12" t="inlineStr">
        <is>
          <t>IND/MEL/01294</t>
        </is>
      </c>
      <c r="F1295" s="1" t="inlineStr">
        <is>
          <t>M</t>
        </is>
      </c>
      <c r="G1295" s="1" t="inlineStr">
        <is>
          <t>Roy Petersen</t>
        </is>
      </c>
      <c r="H1295" s="1" t="inlineStr">
        <is>
          <t>Mary Frederick</t>
        </is>
      </c>
      <c r="I1295" s="30" t="n">
        <v>46065</v>
      </c>
      <c r="J1295" s="1" t="inlineStr">
        <is>
          <t>9776 Lopez Center</t>
        </is>
      </c>
      <c r="K1295" s="1" t="inlineStr">
        <is>
          <t>Apt. 965</t>
        </is>
      </c>
      <c r="L1295" s="1" t="inlineStr">
        <is>
          <t>PIN:92017 SCOTTBERG</t>
        </is>
      </c>
      <c r="M1295" s="2" t="inlineStr">
        <is>
          <t>MHA/IND/01300</t>
        </is>
      </c>
      <c r="N1295" s="30" t="n">
        <v>46076</v>
      </c>
    </row>
    <row r="1296">
      <c r="A1296" s="28" t="n">
        <v>1295</v>
      </c>
      <c r="B1296" s="1" t="inlineStr">
        <is>
          <t>WILLIAM RYAN</t>
        </is>
      </c>
      <c r="C1296" s="30" t="n">
        <v>45786</v>
      </c>
      <c r="D1296" s="1" t="inlineStr">
        <is>
          <t>NORTH AUSTIN</t>
        </is>
      </c>
      <c r="E1296" s="12" t="inlineStr">
        <is>
          <t>IND/MEL/01295</t>
        </is>
      </c>
      <c r="F1296" s="1" t="inlineStr">
        <is>
          <t>M</t>
        </is>
      </c>
      <c r="G1296" s="1" t="inlineStr">
        <is>
          <t>Brian Jones</t>
        </is>
      </c>
      <c r="H1296" s="1" t="inlineStr">
        <is>
          <t>Christina Phillips</t>
        </is>
      </c>
      <c r="I1296" s="30" t="n">
        <v>46065</v>
      </c>
      <c r="J1296" s="1" t="inlineStr">
        <is>
          <t>0233 Long Lodge</t>
        </is>
      </c>
      <c r="K1296" s="1" t="inlineStr">
        <is>
          <t>Suite 888</t>
        </is>
      </c>
      <c r="L1296" s="1" t="inlineStr">
        <is>
          <t>PIN:39929 MARKVIEW</t>
        </is>
      </c>
      <c r="M1296" s="2" t="inlineStr">
        <is>
          <t>MHA/IND/01301</t>
        </is>
      </c>
      <c r="N1296" s="30" t="n">
        <v>46086</v>
      </c>
    </row>
    <row r="1297">
      <c r="A1297" s="28" t="n">
        <v>1296</v>
      </c>
      <c r="B1297" s="1" t="inlineStr">
        <is>
          <t>NATALIE LEWIS</t>
        </is>
      </c>
      <c r="C1297" s="30" t="n">
        <v>46010</v>
      </c>
      <c r="D1297" s="1" t="inlineStr">
        <is>
          <t>WEST STEVENTON</t>
        </is>
      </c>
      <c r="E1297" s="12" t="inlineStr">
        <is>
          <t>IND/MEL/01296</t>
        </is>
      </c>
      <c r="F1297" s="1" t="inlineStr">
        <is>
          <t>M</t>
        </is>
      </c>
      <c r="G1297" s="1" t="inlineStr">
        <is>
          <t>Brandon Johnson</t>
        </is>
      </c>
      <c r="H1297" s="1" t="inlineStr">
        <is>
          <t>Courtney Campbell</t>
        </is>
      </c>
      <c r="I1297" s="30" t="n">
        <v>46065</v>
      </c>
      <c r="J1297" s="1" t="inlineStr">
        <is>
          <t>001 Gregory Crescent</t>
        </is>
      </c>
      <c r="K1297" s="1" t="inlineStr">
        <is>
          <t>Apt. 423</t>
        </is>
      </c>
      <c r="L1297" s="1" t="inlineStr">
        <is>
          <t>PIN:19433 PORT MARIAMOUTH</t>
        </is>
      </c>
      <c r="M1297" s="2" t="inlineStr">
        <is>
          <t>MHA/IND/01302</t>
        </is>
      </c>
      <c r="N1297" s="30" t="n">
        <v>46080</v>
      </c>
    </row>
    <row r="1298">
      <c r="A1298" s="28" t="n">
        <v>1297</v>
      </c>
      <c r="B1298" s="1" t="inlineStr">
        <is>
          <t>MICHELE BARNES</t>
        </is>
      </c>
      <c r="C1298" s="30" t="n">
        <v>45733</v>
      </c>
      <c r="D1298" s="1" t="inlineStr">
        <is>
          <t>JOHNVILLE</t>
        </is>
      </c>
      <c r="E1298" s="12" t="inlineStr">
        <is>
          <t>IND/MEL/01297</t>
        </is>
      </c>
      <c r="F1298" s="1" t="inlineStr">
        <is>
          <t>F</t>
        </is>
      </c>
      <c r="G1298" s="1" t="inlineStr">
        <is>
          <t>Mark Frederick</t>
        </is>
      </c>
      <c r="H1298" s="1" t="inlineStr">
        <is>
          <t>Dr. Katie Randall</t>
        </is>
      </c>
      <c r="I1298" s="30" t="n">
        <v>46065</v>
      </c>
      <c r="J1298" s="1" t="inlineStr">
        <is>
          <t>544 Horn Trail Apt. 180</t>
        </is>
      </c>
      <c r="K1298" s="1" t="inlineStr">
        <is>
          <t>Suite 679</t>
        </is>
      </c>
      <c r="L1298" s="1" t="inlineStr">
        <is>
          <t>PIN:20979 ALVARADOSIDE</t>
        </is>
      </c>
      <c r="M1298" s="2" t="inlineStr">
        <is>
          <t>MHA/IND/01303</t>
        </is>
      </c>
      <c r="N1298" s="30" t="n">
        <v>46083</v>
      </c>
    </row>
    <row r="1299">
      <c r="A1299" s="28" t="n">
        <v>1298</v>
      </c>
      <c r="B1299" s="1" t="inlineStr">
        <is>
          <t>JOSHUA SANDOVAL</t>
        </is>
      </c>
      <c r="C1299" s="30" t="n">
        <v>45942</v>
      </c>
      <c r="D1299" s="1" t="inlineStr">
        <is>
          <t>NELSONBURY</t>
        </is>
      </c>
      <c r="E1299" s="12" t="inlineStr">
        <is>
          <t>IND/MEL/01298</t>
        </is>
      </c>
      <c r="F1299" s="1" t="inlineStr">
        <is>
          <t>M</t>
        </is>
      </c>
      <c r="G1299" s="1" t="inlineStr">
        <is>
          <t>Marcus Woods</t>
        </is>
      </c>
      <c r="H1299" s="1" t="inlineStr">
        <is>
          <t>Julie Sanders MD</t>
        </is>
      </c>
      <c r="I1299" s="30" t="n">
        <v>46065</v>
      </c>
      <c r="J1299" s="1" t="inlineStr">
        <is>
          <t>5078 Robin Freeway Suite 635</t>
        </is>
      </c>
      <c r="K1299" s="1" t="inlineStr">
        <is>
          <t>Apt. 404</t>
        </is>
      </c>
      <c r="L1299" s="1" t="inlineStr">
        <is>
          <t>PIN:09900 ARCHERLAND</t>
        </is>
      </c>
      <c r="M1299" s="2" t="inlineStr">
        <is>
          <t>MHA/IND/01304</t>
        </is>
      </c>
      <c r="N1299" s="30" t="n">
        <v>46089</v>
      </c>
    </row>
    <row r="1300">
      <c r="A1300" s="28" t="n">
        <v>1299</v>
      </c>
      <c r="B1300" s="1" t="inlineStr">
        <is>
          <t>TERRI TUCKER</t>
        </is>
      </c>
      <c r="C1300" s="30" t="n">
        <v>45795</v>
      </c>
      <c r="D1300" s="1" t="inlineStr">
        <is>
          <t>WESTHAVEN</t>
        </is>
      </c>
      <c r="E1300" s="12" t="inlineStr">
        <is>
          <t>IND/MEL/01299</t>
        </is>
      </c>
      <c r="F1300" s="1" t="inlineStr">
        <is>
          <t>F</t>
        </is>
      </c>
      <c r="G1300" s="1" t="inlineStr">
        <is>
          <t>David Morrison</t>
        </is>
      </c>
      <c r="H1300" s="1" t="inlineStr">
        <is>
          <t>Christina Singh</t>
        </is>
      </c>
      <c r="I1300" s="30" t="n">
        <v>46065</v>
      </c>
      <c r="J1300" s="1" t="inlineStr">
        <is>
          <t>03728 Gonzalez Plain Apt. 657</t>
        </is>
      </c>
      <c r="K1300" s="1" t="inlineStr">
        <is>
          <t>Suite 531</t>
        </is>
      </c>
      <c r="L1300" s="1" t="inlineStr">
        <is>
          <t>PIN:48403 JOHNSONPORT</t>
        </is>
      </c>
      <c r="M1300" s="2" t="inlineStr">
        <is>
          <t>MHA/IND/01305</t>
        </is>
      </c>
      <c r="N1300" s="30" t="n">
        <v>46071</v>
      </c>
    </row>
    <row r="1301">
      <c r="A1301" s="28" t="n">
        <v>1300</v>
      </c>
      <c r="B1301" s="1" t="inlineStr">
        <is>
          <t>PATRICK KING</t>
        </is>
      </c>
      <c r="C1301" s="30" t="n">
        <v>45775</v>
      </c>
      <c r="D1301" s="1" t="inlineStr">
        <is>
          <t>NORTH KELLYBURY</t>
        </is>
      </c>
      <c r="E1301" s="12" t="inlineStr">
        <is>
          <t>IND/MEL/01300</t>
        </is>
      </c>
      <c r="F1301" s="1" t="inlineStr">
        <is>
          <t>F</t>
        </is>
      </c>
      <c r="G1301" s="1" t="inlineStr">
        <is>
          <t>Devin Gonzalez PhD</t>
        </is>
      </c>
      <c r="H1301" s="1" t="inlineStr">
        <is>
          <t>Brittany Thompson</t>
        </is>
      </c>
      <c r="I1301" s="30" t="n">
        <v>46065</v>
      </c>
      <c r="J1301" s="1" t="inlineStr">
        <is>
          <t>2714 Dylan Falls Suite 898</t>
        </is>
      </c>
      <c r="K1301" s="1" t="inlineStr">
        <is>
          <t>Suite 970</t>
        </is>
      </c>
      <c r="L1301" s="1" t="inlineStr">
        <is>
          <t>PIN:47464 HODGEPORT</t>
        </is>
      </c>
      <c r="M1301" s="2" t="inlineStr">
        <is>
          <t>MHA/IND/01306</t>
        </is>
      </c>
      <c r="N1301" s="30" t="n">
        <v>46080</v>
      </c>
    </row>
    <row r="1302">
      <c r="A1302" s="28" t="n">
        <v>1301</v>
      </c>
      <c r="B1302" s="1" t="inlineStr">
        <is>
          <t>COREY SANFORD</t>
        </is>
      </c>
      <c r="C1302" s="30" t="n">
        <v>45819</v>
      </c>
      <c r="D1302" s="1" t="inlineStr">
        <is>
          <t>NORTH SAMANTHA</t>
        </is>
      </c>
      <c r="E1302" s="12" t="inlineStr">
        <is>
          <t>IND/MEL/01301</t>
        </is>
      </c>
      <c r="F1302" s="1" t="inlineStr">
        <is>
          <t>M</t>
        </is>
      </c>
      <c r="G1302" s="1" t="inlineStr">
        <is>
          <t>Andrew Jarvis</t>
        </is>
      </c>
      <c r="H1302" s="1" t="inlineStr">
        <is>
          <t>Brittany Kane</t>
        </is>
      </c>
      <c r="I1302" s="30" t="n">
        <v>46065</v>
      </c>
      <c r="J1302" s="1" t="inlineStr">
        <is>
          <t>724 Cameron Shore Suite 418</t>
        </is>
      </c>
      <c r="K1302" s="1" t="inlineStr">
        <is>
          <t>Apt. 779</t>
        </is>
      </c>
      <c r="L1302" s="1" t="inlineStr">
        <is>
          <t>PIN:91113 ARELLANOFURT</t>
        </is>
      </c>
      <c r="M1302" s="2" t="inlineStr">
        <is>
          <t>MHA/IND/01307</t>
        </is>
      </c>
      <c r="N1302" s="30" t="n">
        <v>46069</v>
      </c>
    </row>
    <row r="1303">
      <c r="A1303" s="28" t="n">
        <v>1302</v>
      </c>
      <c r="B1303" s="1" t="inlineStr">
        <is>
          <t>JOHNNY CAMERON</t>
        </is>
      </c>
      <c r="C1303" s="30" t="n">
        <v>46049</v>
      </c>
      <c r="D1303" s="1" t="inlineStr">
        <is>
          <t>NEW ANDRESHAVEN</t>
        </is>
      </c>
      <c r="E1303" s="12" t="inlineStr">
        <is>
          <t>IND/MEL/01302</t>
        </is>
      </c>
      <c r="F1303" s="1" t="inlineStr">
        <is>
          <t>F</t>
        </is>
      </c>
      <c r="G1303" s="1" t="inlineStr">
        <is>
          <t>Ralph Garcia</t>
        </is>
      </c>
      <c r="H1303" s="1" t="inlineStr">
        <is>
          <t>Nancy Klein</t>
        </is>
      </c>
      <c r="I1303" s="30" t="n">
        <v>46065</v>
      </c>
      <c r="J1303" s="1" t="inlineStr">
        <is>
          <t>763 Gwendolyn Path Suite 295</t>
        </is>
      </c>
      <c r="K1303" s="1" t="inlineStr">
        <is>
          <t>Suite 103</t>
        </is>
      </c>
      <c r="L1303" s="1" t="inlineStr">
        <is>
          <t>PIN:05177 STEFANIETOWN</t>
        </is>
      </c>
      <c r="M1303" s="2" t="inlineStr">
        <is>
          <t>MHA/IND/01308</t>
        </is>
      </c>
      <c r="N1303" s="30" t="n">
        <v>46080</v>
      </c>
    </row>
    <row r="1304">
      <c r="A1304" s="28" t="n">
        <v>1303</v>
      </c>
      <c r="B1304" s="1" t="inlineStr">
        <is>
          <t>MARY HOWELL</t>
        </is>
      </c>
      <c r="C1304" s="30" t="n">
        <v>46009</v>
      </c>
      <c r="D1304" s="1" t="inlineStr">
        <is>
          <t>SOUTH PHILIP</t>
        </is>
      </c>
      <c r="E1304" s="12" t="inlineStr">
        <is>
          <t>IND/MEL/01303</t>
        </is>
      </c>
      <c r="F1304" s="1" t="inlineStr">
        <is>
          <t>F</t>
        </is>
      </c>
      <c r="G1304" s="1" t="inlineStr">
        <is>
          <t>Colin Freeman</t>
        </is>
      </c>
      <c r="H1304" s="1" t="inlineStr">
        <is>
          <t>Lisa White</t>
        </is>
      </c>
      <c r="I1304" s="30" t="n">
        <v>46065</v>
      </c>
      <c r="J1304" s="1" t="inlineStr">
        <is>
          <t>26090 Martinez Meadow Suite 894</t>
        </is>
      </c>
      <c r="K1304" s="1" t="inlineStr">
        <is>
          <t>Apt. 799</t>
        </is>
      </c>
      <c r="L1304" s="1" t="inlineStr">
        <is>
          <t>PIN:99677 RAMIREZSIDE</t>
        </is>
      </c>
      <c r="M1304" s="2" t="inlineStr">
        <is>
          <t>MHA/IND/01309</t>
        </is>
      </c>
      <c r="N1304" s="30" t="n">
        <v>46079</v>
      </c>
    </row>
    <row r="1305">
      <c r="A1305" s="28" t="n">
        <v>1304</v>
      </c>
      <c r="B1305" s="1" t="inlineStr">
        <is>
          <t>HENRY FORD</t>
        </is>
      </c>
      <c r="C1305" s="30" t="n">
        <v>45981</v>
      </c>
      <c r="D1305" s="1" t="inlineStr">
        <is>
          <t>SAMANTHAFURT</t>
        </is>
      </c>
      <c r="E1305" s="12" t="inlineStr">
        <is>
          <t>IND/MEL/01304</t>
        </is>
      </c>
      <c r="F1305" s="1" t="inlineStr">
        <is>
          <t>M</t>
        </is>
      </c>
      <c r="G1305" s="1" t="inlineStr">
        <is>
          <t>Ethan Williams</t>
        </is>
      </c>
      <c r="H1305" s="1" t="inlineStr">
        <is>
          <t>Kristina Gonzalez</t>
        </is>
      </c>
      <c r="I1305" s="30" t="n">
        <v>46065</v>
      </c>
      <c r="J1305" s="1" t="inlineStr">
        <is>
          <t>7863 Steven Island Apt. 324</t>
        </is>
      </c>
      <c r="K1305" s="1" t="inlineStr">
        <is>
          <t>Suite 769</t>
        </is>
      </c>
      <c r="L1305" s="1" t="inlineStr">
        <is>
          <t>PIN:95965 BERNARDVIEW</t>
        </is>
      </c>
      <c r="M1305" s="2" t="inlineStr">
        <is>
          <t>MHA/IND/01310</t>
        </is>
      </c>
      <c r="N1305" s="30" t="n">
        <v>46069</v>
      </c>
    </row>
    <row r="1306">
      <c r="A1306" s="28" t="n">
        <v>1305</v>
      </c>
      <c r="B1306" s="1" t="inlineStr">
        <is>
          <t>ASHLEY JOHNSON</t>
        </is>
      </c>
      <c r="C1306" s="30" t="n">
        <v>45832</v>
      </c>
      <c r="D1306" s="1" t="inlineStr">
        <is>
          <t>NEW ANDREA</t>
        </is>
      </c>
      <c r="E1306" s="12" t="inlineStr">
        <is>
          <t>IND/MEL/01305</t>
        </is>
      </c>
      <c r="F1306" s="1" t="inlineStr">
        <is>
          <t>F</t>
        </is>
      </c>
      <c r="G1306" s="1" t="inlineStr">
        <is>
          <t>Taylor Smith</t>
        </is>
      </c>
      <c r="H1306" s="1" t="inlineStr">
        <is>
          <t>Sharon Dyer</t>
        </is>
      </c>
      <c r="I1306" s="30" t="n">
        <v>46065</v>
      </c>
      <c r="J1306" s="1" t="inlineStr">
        <is>
          <t>09135 Leon Land</t>
        </is>
      </c>
      <c r="K1306" s="1" t="inlineStr">
        <is>
          <t>Suite 802</t>
        </is>
      </c>
      <c r="L1306" s="1" t="inlineStr">
        <is>
          <t>PIN:48469 WEST JIMMYMOUTH</t>
        </is>
      </c>
      <c r="M1306" s="2" t="inlineStr">
        <is>
          <t>MHA/IND/01311</t>
        </is>
      </c>
      <c r="N1306" s="30" t="n">
        <v>46076</v>
      </c>
    </row>
    <row r="1307">
      <c r="A1307" s="28" t="n">
        <v>1306</v>
      </c>
      <c r="B1307" s="1" t="inlineStr">
        <is>
          <t>NICOLE VASQUEZ</t>
        </is>
      </c>
      <c r="C1307" s="30" t="n">
        <v>45954</v>
      </c>
      <c r="D1307" s="1" t="inlineStr">
        <is>
          <t>PORT THOMAS</t>
        </is>
      </c>
      <c r="E1307" s="12" t="inlineStr">
        <is>
          <t>IND/MEL/01306</t>
        </is>
      </c>
      <c r="F1307" s="1" t="inlineStr">
        <is>
          <t>M</t>
        </is>
      </c>
      <c r="G1307" s="1" t="inlineStr">
        <is>
          <t>Jeffery Lamb DVM</t>
        </is>
      </c>
      <c r="H1307" s="1" t="inlineStr">
        <is>
          <t>Angela Davis</t>
        </is>
      </c>
      <c r="I1307" s="30" t="n">
        <v>46065</v>
      </c>
      <c r="J1307" s="1" t="inlineStr">
        <is>
          <t>1549 Armstrong Orchard</t>
        </is>
      </c>
      <c r="K1307" s="1" t="inlineStr">
        <is>
          <t>Suite 593</t>
        </is>
      </c>
      <c r="L1307" s="1" t="inlineStr">
        <is>
          <t>PIN:26089 SOUTH SEAN</t>
        </is>
      </c>
      <c r="M1307" s="2" t="inlineStr">
        <is>
          <t>MHA/IND/01312</t>
        </is>
      </c>
      <c r="N1307" s="30" t="n">
        <v>46076</v>
      </c>
    </row>
    <row r="1308">
      <c r="A1308" s="28" t="n">
        <v>1307</v>
      </c>
      <c r="B1308" s="1" t="inlineStr">
        <is>
          <t>PATRICK COX</t>
        </is>
      </c>
      <c r="C1308" s="30" t="n">
        <v>45847</v>
      </c>
      <c r="D1308" s="1" t="inlineStr">
        <is>
          <t>ROBINSONFORT</t>
        </is>
      </c>
      <c r="E1308" s="12" t="inlineStr">
        <is>
          <t>IND/MEL/01307</t>
        </is>
      </c>
      <c r="F1308" s="1" t="inlineStr">
        <is>
          <t>F</t>
        </is>
      </c>
      <c r="G1308" s="1" t="inlineStr">
        <is>
          <t>Jason Powers</t>
        </is>
      </c>
      <c r="H1308" s="1" t="inlineStr">
        <is>
          <t>Annette Stark</t>
        </is>
      </c>
      <c r="I1308" s="30" t="n">
        <v>46065</v>
      </c>
      <c r="J1308" s="1" t="inlineStr">
        <is>
          <t>902 Pacheco Loop</t>
        </is>
      </c>
      <c r="K1308" s="1" t="inlineStr">
        <is>
          <t>Apt. 047</t>
        </is>
      </c>
      <c r="L1308" s="1" t="inlineStr">
        <is>
          <t>PIN:84430 LYNCHSIDE</t>
        </is>
      </c>
      <c r="M1308" s="2" t="inlineStr">
        <is>
          <t>MHA/IND/01313</t>
        </is>
      </c>
      <c r="N1308" s="30" t="n">
        <v>46088</v>
      </c>
    </row>
    <row r="1309">
      <c r="A1309" s="28" t="n">
        <v>1308</v>
      </c>
      <c r="B1309" s="1" t="inlineStr">
        <is>
          <t>KATHRYN POWERS</t>
        </is>
      </c>
      <c r="C1309" s="30" t="n">
        <v>45793</v>
      </c>
      <c r="D1309" s="1" t="inlineStr">
        <is>
          <t>NEW AARONHAVEN</t>
        </is>
      </c>
      <c r="E1309" s="12" t="inlineStr">
        <is>
          <t>IND/MEL/01308</t>
        </is>
      </c>
      <c r="F1309" s="1" t="inlineStr">
        <is>
          <t>M</t>
        </is>
      </c>
      <c r="G1309" s="1" t="inlineStr">
        <is>
          <t>Evan Harris</t>
        </is>
      </c>
      <c r="H1309" s="1" t="inlineStr">
        <is>
          <t>Colleen Travis</t>
        </is>
      </c>
      <c r="I1309" s="30" t="n">
        <v>46065</v>
      </c>
      <c r="J1309" s="1" t="inlineStr">
        <is>
          <t>75062 Elizabeth Port Apt. 256</t>
        </is>
      </c>
      <c r="K1309" s="1" t="inlineStr">
        <is>
          <t>Apt. 643</t>
        </is>
      </c>
      <c r="L1309" s="1" t="inlineStr">
        <is>
          <t>PIN:93970 NORTH MIGUELVILLE</t>
        </is>
      </c>
      <c r="M1309" s="2" t="inlineStr">
        <is>
          <t>MHA/IND/01314</t>
        </is>
      </c>
      <c r="N1309" s="30" t="n">
        <v>46079</v>
      </c>
    </row>
    <row r="1310">
      <c r="A1310" s="28" t="n">
        <v>1309</v>
      </c>
      <c r="B1310" s="1" t="inlineStr">
        <is>
          <t>DAWN BUTLER</t>
        </is>
      </c>
      <c r="C1310" s="30" t="n">
        <v>45958</v>
      </c>
      <c r="D1310" s="1" t="inlineStr">
        <is>
          <t>MARIACHESTER</t>
        </is>
      </c>
      <c r="E1310" s="12" t="inlineStr">
        <is>
          <t>IND/MEL/01309</t>
        </is>
      </c>
      <c r="F1310" s="1" t="inlineStr">
        <is>
          <t>F</t>
        </is>
      </c>
      <c r="G1310" s="1" t="inlineStr">
        <is>
          <t>Dennis Burns</t>
        </is>
      </c>
      <c r="H1310" s="1" t="inlineStr">
        <is>
          <t>Courtney Rich</t>
        </is>
      </c>
      <c r="I1310" s="30" t="n">
        <v>46065</v>
      </c>
      <c r="J1310" s="1" t="inlineStr">
        <is>
          <t>90476 James Highway</t>
        </is>
      </c>
      <c r="K1310" s="1" t="inlineStr">
        <is>
          <t>Suite 029</t>
        </is>
      </c>
      <c r="L1310" s="1" t="inlineStr">
        <is>
          <t>PIN:60702 CAMPBELLTON</t>
        </is>
      </c>
      <c r="M1310" s="2" t="inlineStr">
        <is>
          <t>MHA/IND/01315</t>
        </is>
      </c>
      <c r="N1310" s="30" t="n">
        <v>46094</v>
      </c>
    </row>
    <row r="1311">
      <c r="A1311" s="28" t="n">
        <v>1310</v>
      </c>
      <c r="B1311" s="1" t="inlineStr">
        <is>
          <t>CHARLES BARKER</t>
        </is>
      </c>
      <c r="C1311" s="30" t="n">
        <v>45731</v>
      </c>
      <c r="D1311" s="1" t="inlineStr">
        <is>
          <t>EAST EMILY</t>
        </is>
      </c>
      <c r="E1311" s="12" t="inlineStr">
        <is>
          <t>IND/MEL/01310</t>
        </is>
      </c>
      <c r="F1311" s="1" t="inlineStr">
        <is>
          <t>F</t>
        </is>
      </c>
      <c r="G1311" s="1" t="inlineStr">
        <is>
          <t>Aaron Rojas</t>
        </is>
      </c>
      <c r="H1311" s="1" t="inlineStr">
        <is>
          <t>Carly Butler</t>
        </is>
      </c>
      <c r="I1311" s="30" t="n">
        <v>46065</v>
      </c>
      <c r="J1311" s="1" t="inlineStr">
        <is>
          <t>6529 Sarah Circles Apt. 366</t>
        </is>
      </c>
      <c r="K1311" s="1" t="inlineStr">
        <is>
          <t>Suite 408</t>
        </is>
      </c>
      <c r="L1311" s="1" t="inlineStr">
        <is>
          <t>PIN:27322 TAMMYPORT</t>
        </is>
      </c>
      <c r="M1311" s="2" t="inlineStr">
        <is>
          <t>MHA/IND/01316</t>
        </is>
      </c>
      <c r="N1311" s="30" t="n">
        <v>46086</v>
      </c>
    </row>
    <row r="1312">
      <c r="A1312" s="28" t="n">
        <v>1311</v>
      </c>
      <c r="B1312" s="1" t="inlineStr">
        <is>
          <t>MISS STEPHANIE TAYLOR</t>
        </is>
      </c>
      <c r="C1312" s="30" t="n">
        <v>46034</v>
      </c>
      <c r="D1312" s="1" t="inlineStr">
        <is>
          <t>AARONSIDE</t>
        </is>
      </c>
      <c r="E1312" s="12" t="inlineStr">
        <is>
          <t>IND/MEL/01311</t>
        </is>
      </c>
      <c r="F1312" s="1" t="inlineStr">
        <is>
          <t>M</t>
        </is>
      </c>
      <c r="G1312" s="1" t="inlineStr">
        <is>
          <t>Sean Chang</t>
        </is>
      </c>
      <c r="H1312" s="1" t="inlineStr">
        <is>
          <t>Pam Dodson</t>
        </is>
      </c>
      <c r="I1312" s="30" t="n">
        <v>46065</v>
      </c>
      <c r="J1312" s="1" t="inlineStr">
        <is>
          <t>4228 Odom Via</t>
        </is>
      </c>
      <c r="K1312" s="1" t="inlineStr">
        <is>
          <t>Suite 045</t>
        </is>
      </c>
      <c r="L1312" s="1" t="inlineStr">
        <is>
          <t>PIN:49397 DOYLEVILLE</t>
        </is>
      </c>
      <c r="M1312" s="2" t="inlineStr">
        <is>
          <t>MHA/IND/01317</t>
        </is>
      </c>
      <c r="N1312" s="30" t="n">
        <v>46076</v>
      </c>
    </row>
    <row r="1313">
      <c r="A1313" s="28" t="n">
        <v>1312</v>
      </c>
      <c r="B1313" s="1" t="inlineStr">
        <is>
          <t>GREGORY WARD</t>
        </is>
      </c>
      <c r="C1313" s="30" t="n">
        <v>46064</v>
      </c>
      <c r="D1313" s="1" t="inlineStr">
        <is>
          <t>SMITHMOUTH</t>
        </is>
      </c>
      <c r="E1313" s="12" t="inlineStr">
        <is>
          <t>IND/MEL/01312</t>
        </is>
      </c>
      <c r="F1313" s="1" t="inlineStr">
        <is>
          <t>M</t>
        </is>
      </c>
      <c r="G1313" s="1" t="inlineStr">
        <is>
          <t>Dan Miller</t>
        </is>
      </c>
      <c r="H1313" s="1" t="inlineStr">
        <is>
          <t>Melanie Owen</t>
        </is>
      </c>
      <c r="I1313" s="30" t="n">
        <v>46065</v>
      </c>
      <c r="J1313" s="1" t="inlineStr">
        <is>
          <t>98546 White Cape</t>
        </is>
      </c>
      <c r="K1313" s="1" t="inlineStr">
        <is>
          <t>Suite 562</t>
        </is>
      </c>
      <c r="L1313" s="1" t="inlineStr">
        <is>
          <t>PIN:66700 WEST MATTHEW</t>
        </is>
      </c>
      <c r="M1313" s="2" t="inlineStr">
        <is>
          <t>MHA/IND/01318</t>
        </is>
      </c>
      <c r="N1313" s="30" t="n">
        <v>46079</v>
      </c>
    </row>
    <row r="1314">
      <c r="A1314" s="28" t="n">
        <v>1313</v>
      </c>
      <c r="B1314" s="1" t="inlineStr">
        <is>
          <t>SARAH DYER</t>
        </is>
      </c>
      <c r="C1314" s="30" t="n">
        <v>45802</v>
      </c>
      <c r="D1314" s="1" t="inlineStr">
        <is>
          <t>SOUTH KATHERINE</t>
        </is>
      </c>
      <c r="E1314" s="12" t="inlineStr">
        <is>
          <t>IND/MEL/01313</t>
        </is>
      </c>
      <c r="F1314" s="1" t="inlineStr">
        <is>
          <t>M</t>
        </is>
      </c>
      <c r="G1314" s="1" t="inlineStr">
        <is>
          <t>Matthew Simmons</t>
        </is>
      </c>
      <c r="H1314" s="1" t="inlineStr">
        <is>
          <t>Jennifer Herring</t>
        </is>
      </c>
      <c r="I1314" s="30" t="n">
        <v>46065</v>
      </c>
      <c r="J1314" s="1" t="inlineStr">
        <is>
          <t>6861 Michelle Crossing Apt. 368</t>
        </is>
      </c>
      <c r="K1314" s="1" t="inlineStr">
        <is>
          <t>Suite 673</t>
        </is>
      </c>
      <c r="L1314" s="1" t="inlineStr">
        <is>
          <t>PIN:67253 PORT JOSHUA</t>
        </is>
      </c>
      <c r="M1314" s="2" t="inlineStr">
        <is>
          <t>MHA/IND/01319</t>
        </is>
      </c>
      <c r="N1314" s="30" t="n">
        <v>46082</v>
      </c>
    </row>
    <row r="1315">
      <c r="A1315" s="28" t="n">
        <v>1314</v>
      </c>
      <c r="B1315" s="1" t="inlineStr">
        <is>
          <t>CHARLES COOPER</t>
        </is>
      </c>
      <c r="C1315" s="30" t="n">
        <v>46027</v>
      </c>
      <c r="D1315" s="1" t="inlineStr">
        <is>
          <t>EAST AMANDA</t>
        </is>
      </c>
      <c r="E1315" s="12" t="inlineStr">
        <is>
          <t>IND/MEL/01314</t>
        </is>
      </c>
      <c r="F1315" s="1" t="inlineStr">
        <is>
          <t>M</t>
        </is>
      </c>
      <c r="G1315" s="1" t="inlineStr">
        <is>
          <t>Manuel Lambert</t>
        </is>
      </c>
      <c r="H1315" s="1" t="inlineStr">
        <is>
          <t>Alicia Welch</t>
        </is>
      </c>
      <c r="I1315" s="30" t="n">
        <v>46065</v>
      </c>
      <c r="J1315" s="1" t="inlineStr">
        <is>
          <t>112 Shelly Spurs Apt. 432</t>
        </is>
      </c>
      <c r="K1315" s="1" t="inlineStr">
        <is>
          <t>Apt. 507</t>
        </is>
      </c>
      <c r="L1315" s="1" t="inlineStr">
        <is>
          <t>PIN:58493 PORT JOHNVIEW</t>
        </is>
      </c>
      <c r="M1315" s="2" t="inlineStr">
        <is>
          <t>MHA/IND/01320</t>
        </is>
      </c>
      <c r="N1315" s="30" t="n">
        <v>46090</v>
      </c>
    </row>
    <row r="1316">
      <c r="A1316" s="28" t="n">
        <v>1315</v>
      </c>
      <c r="B1316" s="1" t="inlineStr">
        <is>
          <t>JACQUELINE WATKINS</t>
        </is>
      </c>
      <c r="C1316" s="30" t="n">
        <v>45990</v>
      </c>
      <c r="D1316" s="1" t="inlineStr">
        <is>
          <t>SANCHEZBURGH</t>
        </is>
      </c>
      <c r="E1316" s="12" t="inlineStr">
        <is>
          <t>IND/MEL/01315</t>
        </is>
      </c>
      <c r="F1316" s="1" t="inlineStr">
        <is>
          <t>F</t>
        </is>
      </c>
      <c r="G1316" s="1" t="inlineStr">
        <is>
          <t>Scott Osborne</t>
        </is>
      </c>
      <c r="H1316" s="1" t="inlineStr">
        <is>
          <t>Kristy Burgess</t>
        </is>
      </c>
      <c r="I1316" s="30" t="n">
        <v>46065</v>
      </c>
      <c r="J1316" s="1" t="inlineStr">
        <is>
          <t>347 Bell Vista Suite 686</t>
        </is>
      </c>
      <c r="K1316" s="1" t="inlineStr">
        <is>
          <t>Apt. 931</t>
        </is>
      </c>
      <c r="L1316" s="1" t="inlineStr">
        <is>
          <t>PIN:47042 SOTOVIEW</t>
        </is>
      </c>
      <c r="M1316" s="2" t="inlineStr">
        <is>
          <t>MHA/IND/01321</t>
        </is>
      </c>
      <c r="N1316" s="30" t="n">
        <v>46080</v>
      </c>
    </row>
    <row r="1317">
      <c r="A1317" s="28" t="n">
        <v>1316</v>
      </c>
      <c r="B1317" s="1" t="inlineStr">
        <is>
          <t>BARBARA GRANT</t>
        </is>
      </c>
      <c r="C1317" s="30" t="n">
        <v>45743</v>
      </c>
      <c r="D1317" s="1" t="inlineStr">
        <is>
          <t>ETHANBURY</t>
        </is>
      </c>
      <c r="E1317" s="12" t="inlineStr">
        <is>
          <t>IND/MEL/01316</t>
        </is>
      </c>
      <c r="F1317" s="1" t="inlineStr">
        <is>
          <t>F</t>
        </is>
      </c>
      <c r="G1317" s="1" t="inlineStr">
        <is>
          <t>Matthew Clark</t>
        </is>
      </c>
      <c r="H1317" s="1" t="inlineStr">
        <is>
          <t>Kathy Hurley</t>
        </is>
      </c>
      <c r="I1317" s="30" t="n">
        <v>46065</v>
      </c>
      <c r="J1317" s="1" t="inlineStr">
        <is>
          <t>962 Amy Mews Suite 328</t>
        </is>
      </c>
      <c r="K1317" s="1" t="inlineStr">
        <is>
          <t>Suite 953</t>
        </is>
      </c>
      <c r="L1317" s="1" t="inlineStr">
        <is>
          <t>PIN:96259 EAST WHITNEYPORT</t>
        </is>
      </c>
      <c r="M1317" s="2" t="inlineStr">
        <is>
          <t>MHA/IND/01322</t>
        </is>
      </c>
      <c r="N1317" s="30" t="n">
        <v>46085</v>
      </c>
    </row>
    <row r="1318">
      <c r="A1318" s="28" t="n">
        <v>1317</v>
      </c>
      <c r="B1318" s="1" t="inlineStr">
        <is>
          <t>MATTHEW JORDAN</t>
        </is>
      </c>
      <c r="C1318" s="30" t="n">
        <v>45881</v>
      </c>
      <c r="D1318" s="1" t="inlineStr">
        <is>
          <t>SMITHTON</t>
        </is>
      </c>
      <c r="E1318" s="12" t="inlineStr">
        <is>
          <t>IND/MEL/01317</t>
        </is>
      </c>
      <c r="F1318" s="1" t="inlineStr">
        <is>
          <t>F</t>
        </is>
      </c>
      <c r="G1318" s="1" t="inlineStr">
        <is>
          <t>Joseph Hunter</t>
        </is>
      </c>
      <c r="H1318" s="1" t="inlineStr">
        <is>
          <t>Tammie Lawrence</t>
        </is>
      </c>
      <c r="I1318" s="30" t="n">
        <v>46065</v>
      </c>
      <c r="J1318" s="1" t="inlineStr">
        <is>
          <t>2090 Wise Wells</t>
        </is>
      </c>
      <c r="K1318" s="1" t="inlineStr">
        <is>
          <t>Suite 706</t>
        </is>
      </c>
      <c r="L1318" s="1" t="inlineStr">
        <is>
          <t>PIN:86144 ALLISONSHIRE</t>
        </is>
      </c>
      <c r="M1318" s="2" t="inlineStr">
        <is>
          <t>MHA/IND/01323</t>
        </is>
      </c>
      <c r="N1318" s="30" t="n">
        <v>46068</v>
      </c>
    </row>
    <row r="1319">
      <c r="A1319" s="28" t="n">
        <v>1318</v>
      </c>
      <c r="B1319" s="1" t="inlineStr">
        <is>
          <t>TOMMY GAINES</t>
        </is>
      </c>
      <c r="C1319" s="30" t="n">
        <v>45896</v>
      </c>
      <c r="D1319" s="1" t="inlineStr">
        <is>
          <t>WEST KARENCHESTER</t>
        </is>
      </c>
      <c r="E1319" s="12" t="inlineStr">
        <is>
          <t>IND/MEL/01318</t>
        </is>
      </c>
      <c r="F1319" s="1" t="inlineStr">
        <is>
          <t>M</t>
        </is>
      </c>
      <c r="G1319" s="1" t="inlineStr">
        <is>
          <t>William Miller</t>
        </is>
      </c>
      <c r="H1319" s="1" t="inlineStr">
        <is>
          <t>Mary Murphy</t>
        </is>
      </c>
      <c r="I1319" s="30" t="n">
        <v>46065</v>
      </c>
      <c r="J1319" s="1" t="inlineStr">
        <is>
          <t>90957 Espinoza Fork</t>
        </is>
      </c>
      <c r="K1319" s="1" t="inlineStr">
        <is>
          <t>Apt. 901</t>
        </is>
      </c>
      <c r="L1319" s="1" t="inlineStr">
        <is>
          <t>PIN:44328 OCHOABERG</t>
        </is>
      </c>
      <c r="M1319" s="2" t="inlineStr">
        <is>
          <t>MHA/IND/01324</t>
        </is>
      </c>
      <c r="N1319" s="30" t="n">
        <v>46070</v>
      </c>
    </row>
    <row r="1320">
      <c r="A1320" s="28" t="n">
        <v>1319</v>
      </c>
      <c r="B1320" s="1" t="inlineStr">
        <is>
          <t>JOHN BRENNAN</t>
        </is>
      </c>
      <c r="C1320" s="30" t="n">
        <v>45954</v>
      </c>
      <c r="D1320" s="1" t="inlineStr">
        <is>
          <t>PORT KATHERINESHIRE</t>
        </is>
      </c>
      <c r="E1320" s="12" t="inlineStr">
        <is>
          <t>IND/MEL/01319</t>
        </is>
      </c>
      <c r="F1320" s="1" t="inlineStr">
        <is>
          <t>M</t>
        </is>
      </c>
      <c r="G1320" s="1" t="inlineStr">
        <is>
          <t>Frank Freeman</t>
        </is>
      </c>
      <c r="H1320" s="1" t="inlineStr">
        <is>
          <t>Ashley Sutton</t>
        </is>
      </c>
      <c r="I1320" s="30" t="n">
        <v>46065</v>
      </c>
      <c r="J1320" s="1" t="inlineStr">
        <is>
          <t>803 Justin Village</t>
        </is>
      </c>
      <c r="K1320" s="1" t="inlineStr">
        <is>
          <t>Apt. 496</t>
        </is>
      </c>
      <c r="L1320" s="1" t="inlineStr">
        <is>
          <t>PIN:68126 CAROLLAND</t>
        </is>
      </c>
      <c r="M1320" s="2" t="inlineStr">
        <is>
          <t>MHA/IND/01325</t>
        </is>
      </c>
      <c r="N1320" s="30" t="n">
        <v>46075</v>
      </c>
    </row>
    <row r="1321">
      <c r="A1321" s="28" t="n">
        <v>1320</v>
      </c>
      <c r="B1321" s="1" t="inlineStr">
        <is>
          <t>JASON WATSON</t>
        </is>
      </c>
      <c r="C1321" s="30" t="n">
        <v>46010</v>
      </c>
      <c r="D1321" s="1" t="inlineStr">
        <is>
          <t>PEREZBURY</t>
        </is>
      </c>
      <c r="E1321" s="12" t="inlineStr">
        <is>
          <t>IND/MEL/01320</t>
        </is>
      </c>
      <c r="F1321" s="1" t="inlineStr">
        <is>
          <t>M</t>
        </is>
      </c>
      <c r="G1321" s="1" t="inlineStr">
        <is>
          <t>Christopher Estes</t>
        </is>
      </c>
      <c r="H1321" s="1" t="inlineStr">
        <is>
          <t>Miss Kristin Roberts</t>
        </is>
      </c>
      <c r="I1321" s="30" t="n">
        <v>46065</v>
      </c>
      <c r="J1321" s="1" t="inlineStr">
        <is>
          <t>821 Stephanie Lodge</t>
        </is>
      </c>
      <c r="K1321" s="1" t="inlineStr">
        <is>
          <t>Apt. 932</t>
        </is>
      </c>
      <c r="L1321" s="1" t="inlineStr">
        <is>
          <t>PIN:55027 WEST WILLIAMPORT</t>
        </is>
      </c>
      <c r="M1321" s="2" t="inlineStr">
        <is>
          <t>MHA/IND/01326</t>
        </is>
      </c>
      <c r="N1321" s="30" t="n">
        <v>46089</v>
      </c>
    </row>
    <row r="1322">
      <c r="A1322" s="28" t="n">
        <v>1321</v>
      </c>
      <c r="B1322" s="1" t="inlineStr">
        <is>
          <t>CYNTHIA SUTTON</t>
        </is>
      </c>
      <c r="C1322" s="30" t="n">
        <v>45790</v>
      </c>
      <c r="D1322" s="1" t="inlineStr">
        <is>
          <t>MOORESIDE</t>
        </is>
      </c>
      <c r="E1322" s="12" t="inlineStr">
        <is>
          <t>IND/MEL/01321</t>
        </is>
      </c>
      <c r="F1322" s="1" t="inlineStr">
        <is>
          <t>M</t>
        </is>
      </c>
      <c r="G1322" s="1" t="inlineStr">
        <is>
          <t>Jose Hall</t>
        </is>
      </c>
      <c r="H1322" s="1" t="inlineStr">
        <is>
          <t>Melissa Davis</t>
        </is>
      </c>
      <c r="I1322" s="30" t="n">
        <v>46065</v>
      </c>
      <c r="J1322" s="1" t="inlineStr">
        <is>
          <t>67580 Stewart Circle Suite 493</t>
        </is>
      </c>
      <c r="K1322" s="1" t="inlineStr">
        <is>
          <t>Apt. 587</t>
        </is>
      </c>
      <c r="L1322" s="1" t="inlineStr">
        <is>
          <t>PIN:52830 SOUTH GARY</t>
        </is>
      </c>
      <c r="M1322" s="2" t="inlineStr">
        <is>
          <t>MHA/IND/01327</t>
        </is>
      </c>
      <c r="N1322" s="30" t="n">
        <v>46089</v>
      </c>
    </row>
    <row r="1323">
      <c r="A1323" s="28" t="n">
        <v>1322</v>
      </c>
      <c r="B1323" s="1" t="inlineStr">
        <is>
          <t>DANIELLE COLLINS</t>
        </is>
      </c>
      <c r="C1323" s="30" t="n">
        <v>45834</v>
      </c>
      <c r="D1323" s="1" t="inlineStr">
        <is>
          <t>NORTH DANIEL</t>
        </is>
      </c>
      <c r="E1323" s="12" t="inlineStr">
        <is>
          <t>IND/MEL/01322</t>
        </is>
      </c>
      <c r="F1323" s="1" t="inlineStr">
        <is>
          <t>F</t>
        </is>
      </c>
      <c r="G1323" s="1" t="inlineStr">
        <is>
          <t>Noah Day</t>
        </is>
      </c>
      <c r="H1323" s="1" t="inlineStr">
        <is>
          <t>Marissa Phillips</t>
        </is>
      </c>
      <c r="I1323" s="30" t="n">
        <v>46065</v>
      </c>
      <c r="J1323" s="1" t="inlineStr">
        <is>
          <t>688 Bailey Coves</t>
        </is>
      </c>
      <c r="K1323" s="1" t="inlineStr">
        <is>
          <t>Suite 747</t>
        </is>
      </c>
      <c r="L1323" s="1" t="inlineStr">
        <is>
          <t>PIN:58289 JACQUELINETON</t>
        </is>
      </c>
      <c r="M1323" s="2" t="inlineStr">
        <is>
          <t>MHA/IND/01328</t>
        </is>
      </c>
      <c r="N1323" s="30" t="n">
        <v>46080</v>
      </c>
    </row>
    <row r="1324">
      <c r="A1324" s="28" t="n">
        <v>1323</v>
      </c>
      <c r="B1324" s="1" t="inlineStr">
        <is>
          <t>ELIZABETH ROMERO</t>
        </is>
      </c>
      <c r="C1324" s="30" t="n">
        <v>45902</v>
      </c>
      <c r="D1324" s="1" t="inlineStr">
        <is>
          <t>SOUTH ERICCHESTER</t>
        </is>
      </c>
      <c r="E1324" s="12" t="inlineStr">
        <is>
          <t>IND/MEL/01323</t>
        </is>
      </c>
      <c r="F1324" s="1" t="inlineStr">
        <is>
          <t>M</t>
        </is>
      </c>
      <c r="G1324" s="1" t="inlineStr">
        <is>
          <t>Paul Villa</t>
        </is>
      </c>
      <c r="H1324" s="1" t="inlineStr">
        <is>
          <t>Allison Woods</t>
        </is>
      </c>
      <c r="I1324" s="30" t="n">
        <v>46065</v>
      </c>
      <c r="J1324" s="1" t="inlineStr">
        <is>
          <t>26864 Davis Tunnel</t>
        </is>
      </c>
      <c r="K1324" s="1" t="inlineStr">
        <is>
          <t>Suite 637</t>
        </is>
      </c>
      <c r="L1324" s="1" t="inlineStr">
        <is>
          <t>PIN:58763 HOLLYLAND</t>
        </is>
      </c>
      <c r="M1324" s="2" t="inlineStr">
        <is>
          <t>MHA/IND/01329</t>
        </is>
      </c>
      <c r="N1324" s="30" t="n">
        <v>46082</v>
      </c>
    </row>
    <row r="1325">
      <c r="A1325" s="28" t="n">
        <v>1324</v>
      </c>
      <c r="B1325" s="1" t="inlineStr">
        <is>
          <t>JOSEPH OWEN</t>
        </is>
      </c>
      <c r="C1325" s="30" t="n">
        <v>45739</v>
      </c>
      <c r="D1325" s="1" t="inlineStr">
        <is>
          <t>NORTH DAVID</t>
        </is>
      </c>
      <c r="E1325" s="12" t="inlineStr">
        <is>
          <t>IND/MEL/01324</t>
        </is>
      </c>
      <c r="F1325" s="1" t="inlineStr">
        <is>
          <t>F</t>
        </is>
      </c>
      <c r="G1325" s="1" t="inlineStr">
        <is>
          <t>Paul Moore</t>
        </is>
      </c>
      <c r="H1325" s="1" t="inlineStr">
        <is>
          <t>Lisa Ruiz</t>
        </is>
      </c>
      <c r="I1325" s="30" t="n">
        <v>46065</v>
      </c>
      <c r="J1325" s="1" t="inlineStr">
        <is>
          <t>1777 Maldonado Bridge</t>
        </is>
      </c>
      <c r="K1325" s="1" t="inlineStr">
        <is>
          <t>Suite 573</t>
        </is>
      </c>
      <c r="L1325" s="1" t="inlineStr">
        <is>
          <t>PIN:52364 PORT MELANIEFURT</t>
        </is>
      </c>
      <c r="M1325" s="2" t="inlineStr">
        <is>
          <t>MHA/IND/01330</t>
        </is>
      </c>
      <c r="N1325" s="30" t="n">
        <v>46071</v>
      </c>
    </row>
    <row r="1326">
      <c r="A1326" s="28" t="n">
        <v>1325</v>
      </c>
      <c r="B1326" s="1" t="inlineStr">
        <is>
          <t>THOMAS SPENCE</t>
        </is>
      </c>
      <c r="C1326" s="30" t="n">
        <v>45707</v>
      </c>
      <c r="D1326" s="1" t="inlineStr">
        <is>
          <t>KARENLAND</t>
        </is>
      </c>
      <c r="E1326" s="12" t="inlineStr">
        <is>
          <t>IND/MEL/01325</t>
        </is>
      </c>
      <c r="F1326" s="1" t="inlineStr">
        <is>
          <t>M</t>
        </is>
      </c>
      <c r="G1326" s="1" t="inlineStr">
        <is>
          <t>Andrew Bush</t>
        </is>
      </c>
      <c r="H1326" s="1" t="inlineStr">
        <is>
          <t>Sandra Miller</t>
        </is>
      </c>
      <c r="I1326" s="30" t="n">
        <v>46065</v>
      </c>
      <c r="J1326" s="1" t="inlineStr">
        <is>
          <t>444 Jesse Key</t>
        </is>
      </c>
      <c r="K1326" s="1" t="inlineStr">
        <is>
          <t>Apt. 279</t>
        </is>
      </c>
      <c r="L1326" s="1" t="inlineStr">
        <is>
          <t>PIN:15854 WEST STEVEN</t>
        </is>
      </c>
      <c r="M1326" s="2" t="inlineStr">
        <is>
          <t>MHA/IND/01331</t>
        </is>
      </c>
      <c r="N1326" s="30" t="n">
        <v>46084</v>
      </c>
    </row>
    <row r="1327">
      <c r="A1327" s="28" t="n">
        <v>1326</v>
      </c>
      <c r="B1327" s="1" t="inlineStr">
        <is>
          <t>DONALD SHEA</t>
        </is>
      </c>
      <c r="C1327" s="30" t="n">
        <v>45812</v>
      </c>
      <c r="D1327" s="1" t="inlineStr">
        <is>
          <t>NORTH HALEYBOROUGH</t>
        </is>
      </c>
      <c r="E1327" s="12" t="inlineStr">
        <is>
          <t>IND/MEL/01326</t>
        </is>
      </c>
      <c r="F1327" s="1" t="inlineStr">
        <is>
          <t>F</t>
        </is>
      </c>
      <c r="G1327" s="1" t="inlineStr">
        <is>
          <t>Colin Dean</t>
        </is>
      </c>
      <c r="H1327" s="1" t="inlineStr">
        <is>
          <t>Toni Brewer</t>
        </is>
      </c>
      <c r="I1327" s="30" t="n">
        <v>46065</v>
      </c>
      <c r="J1327" s="1" t="inlineStr">
        <is>
          <t>8464 Torres Shore Suite 820</t>
        </is>
      </c>
      <c r="K1327" s="1" t="inlineStr">
        <is>
          <t>Suite 739</t>
        </is>
      </c>
      <c r="L1327" s="1" t="inlineStr">
        <is>
          <t>PIN:62668 BAKERTON</t>
        </is>
      </c>
      <c r="M1327" s="2" t="inlineStr">
        <is>
          <t>MHA/IND/01332</t>
        </is>
      </c>
      <c r="N1327" s="30" t="n">
        <v>46088</v>
      </c>
    </row>
    <row r="1328">
      <c r="A1328" s="28" t="n">
        <v>1327</v>
      </c>
      <c r="B1328" s="1" t="inlineStr">
        <is>
          <t>JONATHAN RAMOS</t>
        </is>
      </c>
      <c r="C1328" s="30" t="n">
        <v>45828</v>
      </c>
      <c r="D1328" s="1" t="inlineStr">
        <is>
          <t>VARGASHAVEN</t>
        </is>
      </c>
      <c r="E1328" s="12" t="inlineStr">
        <is>
          <t>IND/MEL/01327</t>
        </is>
      </c>
      <c r="F1328" s="1" t="inlineStr">
        <is>
          <t>M</t>
        </is>
      </c>
      <c r="G1328" s="1" t="inlineStr">
        <is>
          <t>Stephen Mendoza</t>
        </is>
      </c>
      <c r="H1328" s="1" t="inlineStr">
        <is>
          <t>Sarah Nguyen</t>
        </is>
      </c>
      <c r="I1328" s="30" t="n">
        <v>46065</v>
      </c>
      <c r="J1328" s="1" t="inlineStr">
        <is>
          <t>50799 Larson Landing Apt. 452</t>
        </is>
      </c>
      <c r="K1328" s="1" t="inlineStr">
        <is>
          <t>Apt. 624</t>
        </is>
      </c>
      <c r="L1328" s="1" t="inlineStr">
        <is>
          <t>PIN:48180 WEST MARKTON</t>
        </is>
      </c>
      <c r="M1328" s="2" t="inlineStr">
        <is>
          <t>MHA/IND/01333</t>
        </is>
      </c>
      <c r="N1328" s="30" t="n">
        <v>46080</v>
      </c>
    </row>
    <row r="1329">
      <c r="A1329" s="28" t="n">
        <v>1328</v>
      </c>
      <c r="B1329" s="1" t="inlineStr">
        <is>
          <t>CHLOE HALE</t>
        </is>
      </c>
      <c r="C1329" s="30" t="n">
        <v>46011</v>
      </c>
      <c r="D1329" s="1" t="inlineStr">
        <is>
          <t>SOUTH ALEXIS</t>
        </is>
      </c>
      <c r="E1329" s="12" t="inlineStr">
        <is>
          <t>IND/MEL/01328</t>
        </is>
      </c>
      <c r="F1329" s="1" t="inlineStr">
        <is>
          <t>M</t>
        </is>
      </c>
      <c r="G1329" s="1" t="inlineStr">
        <is>
          <t>Robert Sanchez</t>
        </is>
      </c>
      <c r="H1329" s="1" t="inlineStr">
        <is>
          <t>Rebecca Tucker</t>
        </is>
      </c>
      <c r="I1329" s="30" t="n">
        <v>46065</v>
      </c>
      <c r="J1329" s="1" t="inlineStr">
        <is>
          <t>085 Sandra Brook Apt. 020</t>
        </is>
      </c>
      <c r="K1329" s="1" t="inlineStr">
        <is>
          <t>Apt. 951</t>
        </is>
      </c>
      <c r="L1329" s="1" t="inlineStr">
        <is>
          <t>PIN:63746 LAKE DAVID</t>
        </is>
      </c>
      <c r="M1329" s="2" t="inlineStr">
        <is>
          <t>MHA/IND/01334</t>
        </is>
      </c>
      <c r="N1329" s="30" t="n">
        <v>46067</v>
      </c>
    </row>
    <row r="1330">
      <c r="A1330" s="28" t="n">
        <v>1329</v>
      </c>
      <c r="B1330" s="1" t="inlineStr">
        <is>
          <t>GEORGE BUTLER</t>
        </is>
      </c>
      <c r="C1330" s="30" t="n">
        <v>45764</v>
      </c>
      <c r="D1330" s="1" t="inlineStr">
        <is>
          <t>JONESBERG</t>
        </is>
      </c>
      <c r="E1330" s="12" t="inlineStr">
        <is>
          <t>IND/MEL/01329</t>
        </is>
      </c>
      <c r="F1330" s="1" t="inlineStr">
        <is>
          <t>M</t>
        </is>
      </c>
      <c r="G1330" s="1" t="inlineStr">
        <is>
          <t>Derrick Washington</t>
        </is>
      </c>
      <c r="H1330" s="1" t="inlineStr">
        <is>
          <t>Melissa Reynolds</t>
        </is>
      </c>
      <c r="I1330" s="30" t="n">
        <v>46065</v>
      </c>
      <c r="J1330" s="1" t="inlineStr">
        <is>
          <t>5815 Anthony Landing</t>
        </is>
      </c>
      <c r="K1330" s="1" t="inlineStr">
        <is>
          <t>Apt. 995</t>
        </is>
      </c>
      <c r="L1330" s="1" t="inlineStr">
        <is>
          <t>PIN:32588 ELLIOTTBURGH</t>
        </is>
      </c>
      <c r="M1330" s="2" t="inlineStr">
        <is>
          <t>MHA/IND/01335</t>
        </is>
      </c>
      <c r="N1330" s="30" t="n">
        <v>46091</v>
      </c>
    </row>
    <row r="1331">
      <c r="A1331" s="28" t="n">
        <v>1330</v>
      </c>
      <c r="B1331" s="1" t="inlineStr">
        <is>
          <t>KIMBERLY REILLY</t>
        </is>
      </c>
      <c r="C1331" s="30" t="n">
        <v>46013</v>
      </c>
      <c r="D1331" s="1" t="inlineStr">
        <is>
          <t>LAKE JEREMY</t>
        </is>
      </c>
      <c r="E1331" s="12" t="inlineStr">
        <is>
          <t>IND/MEL/01330</t>
        </is>
      </c>
      <c r="F1331" s="1" t="inlineStr">
        <is>
          <t>F</t>
        </is>
      </c>
      <c r="G1331" s="1" t="inlineStr">
        <is>
          <t>David Moore</t>
        </is>
      </c>
      <c r="H1331" s="1" t="inlineStr">
        <is>
          <t>Melissa Howell</t>
        </is>
      </c>
      <c r="I1331" s="30" t="n">
        <v>46065</v>
      </c>
      <c r="J1331" s="1" t="inlineStr">
        <is>
          <t>2916 Roach Lane Apt. 007</t>
        </is>
      </c>
      <c r="K1331" s="1" t="inlineStr">
        <is>
          <t>Apt. 826</t>
        </is>
      </c>
      <c r="L1331" s="1" t="inlineStr">
        <is>
          <t>PIN:52881 CANNONSIDE</t>
        </is>
      </c>
      <c r="M1331" s="2" t="inlineStr">
        <is>
          <t>MHA/IND/01336</t>
        </is>
      </c>
      <c r="N1331" s="30" t="n">
        <v>46067</v>
      </c>
    </row>
    <row r="1332">
      <c r="A1332" s="28" t="n">
        <v>1331</v>
      </c>
      <c r="B1332" s="1" t="inlineStr">
        <is>
          <t>JUSTIN MIRANDA</t>
        </is>
      </c>
      <c r="C1332" s="30" t="n">
        <v>45721</v>
      </c>
      <c r="D1332" s="1" t="inlineStr">
        <is>
          <t>NEW JOHN</t>
        </is>
      </c>
      <c r="E1332" s="12" t="inlineStr">
        <is>
          <t>IND/MEL/01331</t>
        </is>
      </c>
      <c r="F1332" s="1" t="inlineStr">
        <is>
          <t>M</t>
        </is>
      </c>
      <c r="G1332" s="1" t="inlineStr">
        <is>
          <t>Tyler Walters</t>
        </is>
      </c>
      <c r="H1332" s="1" t="inlineStr">
        <is>
          <t>Tabitha Moses</t>
        </is>
      </c>
      <c r="I1332" s="30" t="n">
        <v>46065</v>
      </c>
      <c r="J1332" s="1" t="inlineStr">
        <is>
          <t>1640 Ronald Shoal Apt. 522</t>
        </is>
      </c>
      <c r="K1332" s="1" t="inlineStr">
        <is>
          <t>Suite 955</t>
        </is>
      </c>
      <c r="L1332" s="1" t="inlineStr">
        <is>
          <t>PIN:53792 JOHNSTAD</t>
        </is>
      </c>
      <c r="M1332" s="2" t="inlineStr">
        <is>
          <t>MHA/IND/01337</t>
        </is>
      </c>
      <c r="N1332" s="30" t="n">
        <v>46088</v>
      </c>
    </row>
    <row r="1333">
      <c r="A1333" s="28" t="n">
        <v>1332</v>
      </c>
      <c r="B1333" s="1" t="inlineStr">
        <is>
          <t>TAYLOR ZIMMERMAN</t>
        </is>
      </c>
      <c r="C1333" s="30" t="n">
        <v>45990</v>
      </c>
      <c r="D1333" s="1" t="inlineStr">
        <is>
          <t>BARRONBERG</t>
        </is>
      </c>
      <c r="E1333" s="12" t="inlineStr">
        <is>
          <t>IND/MEL/01332</t>
        </is>
      </c>
      <c r="F1333" s="1" t="inlineStr">
        <is>
          <t>M</t>
        </is>
      </c>
      <c r="G1333" s="1" t="inlineStr">
        <is>
          <t>Gregory Rodriguez</t>
        </is>
      </c>
      <c r="H1333" s="1" t="inlineStr">
        <is>
          <t>Angelica Hampton</t>
        </is>
      </c>
      <c r="I1333" s="30" t="n">
        <v>46065</v>
      </c>
      <c r="J1333" s="1" t="inlineStr">
        <is>
          <t>1383 Gibson Creek</t>
        </is>
      </c>
      <c r="K1333" s="1" t="inlineStr">
        <is>
          <t>Suite 304</t>
        </is>
      </c>
      <c r="L1333" s="1" t="inlineStr">
        <is>
          <t>PIN:86183 EAST KAYLALAND</t>
        </is>
      </c>
      <c r="M1333" s="2" t="inlineStr">
        <is>
          <t>MHA/IND/01338</t>
        </is>
      </c>
      <c r="N1333" s="30" t="n">
        <v>46071</v>
      </c>
    </row>
    <row r="1334">
      <c r="A1334" s="28" t="n">
        <v>1333</v>
      </c>
      <c r="B1334" s="1" t="inlineStr">
        <is>
          <t>SHANNON CLARK</t>
        </is>
      </c>
      <c r="C1334" s="30" t="n">
        <v>45755</v>
      </c>
      <c r="D1334" s="1" t="inlineStr">
        <is>
          <t>DANIELSBERG</t>
        </is>
      </c>
      <c r="E1334" s="12" t="inlineStr">
        <is>
          <t>IND/MEL/01333</t>
        </is>
      </c>
      <c r="F1334" s="1" t="inlineStr">
        <is>
          <t>M</t>
        </is>
      </c>
      <c r="G1334" s="1" t="inlineStr">
        <is>
          <t>Jason Rice</t>
        </is>
      </c>
      <c r="H1334" s="1" t="inlineStr">
        <is>
          <t>Rebecca Fuller</t>
        </is>
      </c>
      <c r="I1334" s="30" t="n">
        <v>46065</v>
      </c>
      <c r="J1334" s="1" t="inlineStr">
        <is>
          <t>87116 Daniel Ford Apt. 788</t>
        </is>
      </c>
      <c r="K1334" s="1" t="inlineStr">
        <is>
          <t>Apt. 988</t>
        </is>
      </c>
      <c r="L1334" s="1" t="inlineStr">
        <is>
          <t>PIN:20030 SEANCHESTER</t>
        </is>
      </c>
      <c r="M1334" s="2" t="inlineStr">
        <is>
          <t>MHA/IND/01339</t>
        </is>
      </c>
      <c r="N1334" s="30" t="n">
        <v>46078</v>
      </c>
    </row>
    <row r="1335">
      <c r="A1335" s="28" t="n">
        <v>1334</v>
      </c>
      <c r="B1335" s="1" t="inlineStr">
        <is>
          <t>TYLER BELTRAN</t>
        </is>
      </c>
      <c r="C1335" s="30" t="n">
        <v>45868</v>
      </c>
      <c r="D1335" s="1" t="inlineStr">
        <is>
          <t>NORTH TIFFANY</t>
        </is>
      </c>
      <c r="E1335" s="12" t="inlineStr">
        <is>
          <t>IND/MEL/01334</t>
        </is>
      </c>
      <c r="F1335" s="1" t="inlineStr">
        <is>
          <t>M</t>
        </is>
      </c>
      <c r="G1335" s="1" t="inlineStr">
        <is>
          <t>James Scott</t>
        </is>
      </c>
      <c r="H1335" s="1" t="inlineStr">
        <is>
          <t>Debra Roth</t>
        </is>
      </c>
      <c r="I1335" s="30" t="n">
        <v>46065</v>
      </c>
      <c r="J1335" s="1" t="inlineStr">
        <is>
          <t>583 Fox Parkways Apt. 425</t>
        </is>
      </c>
      <c r="K1335" s="1" t="inlineStr">
        <is>
          <t>Apt. 322</t>
        </is>
      </c>
      <c r="L1335" s="1" t="inlineStr">
        <is>
          <t>PIN:60420 WEST TRACY</t>
        </is>
      </c>
      <c r="M1335" s="2" t="inlineStr">
        <is>
          <t>MHA/IND/01340</t>
        </is>
      </c>
      <c r="N1335" s="30" t="n">
        <v>46086</v>
      </c>
    </row>
    <row r="1336">
      <c r="A1336" s="28" t="n">
        <v>1335</v>
      </c>
      <c r="B1336" s="1" t="inlineStr">
        <is>
          <t>DAVID DANIELS</t>
        </is>
      </c>
      <c r="C1336" s="30" t="n">
        <v>45948</v>
      </c>
      <c r="D1336" s="1" t="inlineStr">
        <is>
          <t>EAST HEATHERCHESTER</t>
        </is>
      </c>
      <c r="E1336" s="12" t="inlineStr">
        <is>
          <t>IND/MEL/01335</t>
        </is>
      </c>
      <c r="F1336" s="1" t="inlineStr">
        <is>
          <t>F</t>
        </is>
      </c>
      <c r="G1336" s="1" t="inlineStr">
        <is>
          <t>Gary Rios</t>
        </is>
      </c>
      <c r="H1336" s="1" t="inlineStr">
        <is>
          <t>Shirley Burch DDS</t>
        </is>
      </c>
      <c r="I1336" s="30" t="n">
        <v>46065</v>
      </c>
      <c r="J1336" s="1" t="inlineStr">
        <is>
          <t>899 Robert Square Apt. 683</t>
        </is>
      </c>
      <c r="K1336" s="1" t="inlineStr">
        <is>
          <t>Suite 046</t>
        </is>
      </c>
      <c r="L1336" s="1" t="inlineStr">
        <is>
          <t>PIN:02692 MARCIABOROUGH</t>
        </is>
      </c>
      <c r="M1336" s="2" t="inlineStr">
        <is>
          <t>MHA/IND/01341</t>
        </is>
      </c>
      <c r="N1336" s="30" t="n">
        <v>46085</v>
      </c>
    </row>
    <row r="1337">
      <c r="A1337" s="28" t="n">
        <v>1336</v>
      </c>
      <c r="B1337" s="1" t="inlineStr">
        <is>
          <t>STACEY JONES</t>
        </is>
      </c>
      <c r="C1337" s="30" t="n">
        <v>45996</v>
      </c>
      <c r="D1337" s="1" t="inlineStr">
        <is>
          <t>NORTH DAVIDFORT</t>
        </is>
      </c>
      <c r="E1337" s="12" t="inlineStr">
        <is>
          <t>IND/MEL/01336</t>
        </is>
      </c>
      <c r="F1337" s="1" t="inlineStr">
        <is>
          <t>F</t>
        </is>
      </c>
      <c r="G1337" s="1" t="inlineStr">
        <is>
          <t>Paul Ritter</t>
        </is>
      </c>
      <c r="H1337" s="1" t="inlineStr">
        <is>
          <t>Dominique Jones</t>
        </is>
      </c>
      <c r="I1337" s="30" t="n">
        <v>46065</v>
      </c>
      <c r="J1337" s="1" t="inlineStr">
        <is>
          <t>329 Andrew Spur</t>
        </is>
      </c>
      <c r="K1337" s="1" t="inlineStr">
        <is>
          <t>Suite 205</t>
        </is>
      </c>
      <c r="L1337" s="1" t="inlineStr">
        <is>
          <t>PIN:58504 BENJAMINLAND</t>
        </is>
      </c>
      <c r="M1337" s="2" t="inlineStr">
        <is>
          <t>MHA/IND/01342</t>
        </is>
      </c>
      <c r="N1337" s="30" t="n">
        <v>46087</v>
      </c>
    </row>
    <row r="1338">
      <c r="A1338" s="28" t="n">
        <v>1337</v>
      </c>
      <c r="B1338" s="1" t="inlineStr">
        <is>
          <t>NICHOLAS HICKS</t>
        </is>
      </c>
      <c r="C1338" s="30" t="n">
        <v>45878</v>
      </c>
      <c r="D1338" s="1" t="inlineStr">
        <is>
          <t>JOSEPHVIEW</t>
        </is>
      </c>
      <c r="E1338" s="12" t="inlineStr">
        <is>
          <t>IND/MEL/01337</t>
        </is>
      </c>
      <c r="F1338" s="1" t="inlineStr">
        <is>
          <t>M</t>
        </is>
      </c>
      <c r="G1338" s="1" t="inlineStr">
        <is>
          <t>Patrick Butler</t>
        </is>
      </c>
      <c r="H1338" s="1" t="inlineStr">
        <is>
          <t>Tammy Young</t>
        </is>
      </c>
      <c r="I1338" s="30" t="n">
        <v>46065</v>
      </c>
      <c r="J1338" s="1" t="inlineStr">
        <is>
          <t>622 Michael Highway Suite 257</t>
        </is>
      </c>
      <c r="K1338" s="1" t="inlineStr">
        <is>
          <t>Apt. 799</t>
        </is>
      </c>
      <c r="L1338" s="1" t="inlineStr">
        <is>
          <t>PIN:24055 NEALMOUTH</t>
        </is>
      </c>
      <c r="M1338" s="2" t="inlineStr">
        <is>
          <t>MHA/IND/01343</t>
        </is>
      </c>
      <c r="N1338" s="30" t="n">
        <v>46092</v>
      </c>
    </row>
    <row r="1339">
      <c r="A1339" s="28" t="n">
        <v>1338</v>
      </c>
      <c r="B1339" s="1" t="inlineStr">
        <is>
          <t>JASON JOHNSON</t>
        </is>
      </c>
      <c r="C1339" s="30" t="n">
        <v>45728</v>
      </c>
      <c r="D1339" s="1" t="inlineStr">
        <is>
          <t>CHRISTINATOWN</t>
        </is>
      </c>
      <c r="E1339" s="12" t="inlineStr">
        <is>
          <t>IND/MEL/01338</t>
        </is>
      </c>
      <c r="F1339" s="1" t="inlineStr">
        <is>
          <t>F</t>
        </is>
      </c>
      <c r="G1339" s="1" t="inlineStr">
        <is>
          <t>Nathan Branch</t>
        </is>
      </c>
      <c r="H1339" s="1" t="inlineStr">
        <is>
          <t>Amanda Mitchell</t>
        </is>
      </c>
      <c r="I1339" s="30" t="n">
        <v>46065</v>
      </c>
      <c r="J1339" s="1" t="inlineStr">
        <is>
          <t>47187 Anthony Shoal Apt. 901</t>
        </is>
      </c>
      <c r="K1339" s="1" t="inlineStr">
        <is>
          <t>Apt. 811</t>
        </is>
      </c>
      <c r="L1339" s="1" t="inlineStr">
        <is>
          <t>PIN:57810 WEST MICHELLE</t>
        </is>
      </c>
      <c r="M1339" s="2" t="inlineStr">
        <is>
          <t>MHA/IND/01344</t>
        </is>
      </c>
      <c r="N1339" s="30" t="n">
        <v>46086</v>
      </c>
    </row>
    <row r="1340">
      <c r="A1340" s="28" t="n">
        <v>1339</v>
      </c>
      <c r="B1340" s="1" t="inlineStr">
        <is>
          <t>BRIAN CAIN</t>
        </is>
      </c>
      <c r="C1340" s="30" t="n">
        <v>45813</v>
      </c>
      <c r="D1340" s="1" t="inlineStr">
        <is>
          <t>HENRYFURT</t>
        </is>
      </c>
      <c r="E1340" s="12" t="inlineStr">
        <is>
          <t>IND/MEL/01339</t>
        </is>
      </c>
      <c r="F1340" s="1" t="inlineStr">
        <is>
          <t>F</t>
        </is>
      </c>
      <c r="G1340" s="1" t="inlineStr">
        <is>
          <t>Jerry Shaw</t>
        </is>
      </c>
      <c r="H1340" s="1" t="inlineStr">
        <is>
          <t>Natalie Owens</t>
        </is>
      </c>
      <c r="I1340" s="30" t="n">
        <v>46065</v>
      </c>
      <c r="J1340" s="1" t="inlineStr">
        <is>
          <t>220 Joseph Dam</t>
        </is>
      </c>
      <c r="K1340" s="1" t="inlineStr">
        <is>
          <t>Suite 488</t>
        </is>
      </c>
      <c r="L1340" s="1" t="inlineStr">
        <is>
          <t>PIN:97328 GONZALEZVIEW</t>
        </is>
      </c>
      <c r="M1340" s="2" t="inlineStr">
        <is>
          <t>MHA/IND/01345</t>
        </is>
      </c>
      <c r="N1340" s="30" t="n">
        <v>46093</v>
      </c>
    </row>
    <row r="1341">
      <c r="A1341" s="28" t="n">
        <v>1340</v>
      </c>
      <c r="B1341" s="1" t="inlineStr">
        <is>
          <t>JOHNATHAN HUYNH</t>
        </is>
      </c>
      <c r="C1341" s="30" t="n">
        <v>45757</v>
      </c>
      <c r="D1341" s="1" t="inlineStr">
        <is>
          <t>JACKSONTOWN</t>
        </is>
      </c>
      <c r="E1341" s="12" t="inlineStr">
        <is>
          <t>IND/MEL/01340</t>
        </is>
      </c>
      <c r="F1341" s="1" t="inlineStr">
        <is>
          <t>F</t>
        </is>
      </c>
      <c r="G1341" s="1" t="inlineStr">
        <is>
          <t>Ryan Schwartz</t>
        </is>
      </c>
      <c r="H1341" s="1" t="inlineStr">
        <is>
          <t>Kristen Johnson</t>
        </is>
      </c>
      <c r="I1341" s="30" t="n">
        <v>46065</v>
      </c>
      <c r="J1341" s="1" t="inlineStr">
        <is>
          <t>41609 Mendoza Meadows Suite 550</t>
        </is>
      </c>
      <c r="K1341" s="1" t="inlineStr">
        <is>
          <t>Suite 011</t>
        </is>
      </c>
      <c r="L1341" s="1" t="inlineStr">
        <is>
          <t>PIN:38637 REEDBURY</t>
        </is>
      </c>
      <c r="M1341" s="2" t="inlineStr">
        <is>
          <t>MHA/IND/01346</t>
        </is>
      </c>
      <c r="N1341" s="30" t="n">
        <v>46069</v>
      </c>
    </row>
    <row r="1342">
      <c r="A1342" s="28" t="n">
        <v>1341</v>
      </c>
      <c r="B1342" s="1" t="inlineStr">
        <is>
          <t>DESIREE MORENO</t>
        </is>
      </c>
      <c r="C1342" s="30" t="n">
        <v>45755</v>
      </c>
      <c r="D1342" s="1" t="inlineStr">
        <is>
          <t>WEST CHELSEASTAD</t>
        </is>
      </c>
      <c r="E1342" s="12" t="inlineStr">
        <is>
          <t>IND/MEL/01341</t>
        </is>
      </c>
      <c r="F1342" s="1" t="inlineStr">
        <is>
          <t>F</t>
        </is>
      </c>
      <c r="G1342" s="1" t="inlineStr">
        <is>
          <t>Keith Roach</t>
        </is>
      </c>
      <c r="H1342" s="1" t="inlineStr">
        <is>
          <t>Kelly Levine</t>
        </is>
      </c>
      <c r="I1342" s="30" t="n">
        <v>46065</v>
      </c>
      <c r="J1342" s="1" t="inlineStr">
        <is>
          <t>6301 Lisa Stream</t>
        </is>
      </c>
      <c r="K1342" s="1" t="inlineStr">
        <is>
          <t>Apt. 282</t>
        </is>
      </c>
      <c r="L1342" s="1" t="inlineStr">
        <is>
          <t>PIN:85229 SOUTH SAMANTHAFURT</t>
        </is>
      </c>
      <c r="M1342" s="2" t="inlineStr">
        <is>
          <t>MHA/IND/01347</t>
        </is>
      </c>
      <c r="N1342" s="30" t="n">
        <v>46076</v>
      </c>
    </row>
    <row r="1343">
      <c r="A1343" s="28" t="n">
        <v>1342</v>
      </c>
      <c r="B1343" s="1" t="inlineStr">
        <is>
          <t>MELANIE DIAZ</t>
        </is>
      </c>
      <c r="C1343" s="30" t="n">
        <v>45954</v>
      </c>
      <c r="D1343" s="1" t="inlineStr">
        <is>
          <t>WEST BENJAMINSTAD</t>
        </is>
      </c>
      <c r="E1343" s="12" t="inlineStr">
        <is>
          <t>IND/MEL/01342</t>
        </is>
      </c>
      <c r="F1343" s="1" t="inlineStr">
        <is>
          <t>F</t>
        </is>
      </c>
      <c r="G1343" s="1" t="inlineStr">
        <is>
          <t>Kyle Wheeler</t>
        </is>
      </c>
      <c r="H1343" s="1" t="inlineStr">
        <is>
          <t>Erin Green</t>
        </is>
      </c>
      <c r="I1343" s="30" t="n">
        <v>46065</v>
      </c>
      <c r="J1343" s="1" t="inlineStr">
        <is>
          <t>002 Jennifer Lights</t>
        </is>
      </c>
      <c r="K1343" s="1" t="inlineStr">
        <is>
          <t>Suite 310</t>
        </is>
      </c>
      <c r="L1343" s="1" t="inlineStr">
        <is>
          <t>PIN:24154 ZACHARYTON</t>
        </is>
      </c>
      <c r="M1343" s="2" t="inlineStr">
        <is>
          <t>MHA/IND/01348</t>
        </is>
      </c>
      <c r="N1343" s="30" t="n">
        <v>46086</v>
      </c>
    </row>
    <row r="1344">
      <c r="A1344" s="28" t="n">
        <v>1343</v>
      </c>
      <c r="B1344" s="1" t="inlineStr">
        <is>
          <t>THOMAS WILEY</t>
        </is>
      </c>
      <c r="C1344" s="30" t="n">
        <v>46004</v>
      </c>
      <c r="D1344" s="1" t="inlineStr">
        <is>
          <t>BRIANSTAD</t>
        </is>
      </c>
      <c r="E1344" s="12" t="inlineStr">
        <is>
          <t>IND/MEL/01343</t>
        </is>
      </c>
      <c r="F1344" s="1" t="inlineStr">
        <is>
          <t>M</t>
        </is>
      </c>
      <c r="G1344" s="1" t="inlineStr">
        <is>
          <t>Shane Brown</t>
        </is>
      </c>
      <c r="H1344" s="1" t="inlineStr">
        <is>
          <t>Jennifer Rodriguez</t>
        </is>
      </c>
      <c r="I1344" s="30" t="n">
        <v>46065</v>
      </c>
      <c r="J1344" s="1" t="inlineStr">
        <is>
          <t>79706 Cervantes Plaza Suite 045</t>
        </is>
      </c>
      <c r="K1344" s="1" t="inlineStr">
        <is>
          <t>Suite 898</t>
        </is>
      </c>
      <c r="L1344" s="1" t="inlineStr">
        <is>
          <t>PIN:01077 WEST ROBERT</t>
        </is>
      </c>
      <c r="M1344" s="2" t="inlineStr">
        <is>
          <t>MHA/IND/01349</t>
        </is>
      </c>
      <c r="N1344" s="30" t="n">
        <v>46093</v>
      </c>
    </row>
    <row r="1345">
      <c r="A1345" s="28" t="n">
        <v>1344</v>
      </c>
      <c r="B1345" s="1" t="inlineStr">
        <is>
          <t>LISA LAMBERT</t>
        </is>
      </c>
      <c r="C1345" s="30" t="n">
        <v>45735</v>
      </c>
      <c r="D1345" s="1" t="inlineStr">
        <is>
          <t>CLARKMOUTH</t>
        </is>
      </c>
      <c r="E1345" s="12" t="inlineStr">
        <is>
          <t>IND/MEL/01344</t>
        </is>
      </c>
      <c r="F1345" s="1" t="inlineStr">
        <is>
          <t>F</t>
        </is>
      </c>
      <c r="G1345" s="1" t="inlineStr">
        <is>
          <t>Joshua Moore</t>
        </is>
      </c>
      <c r="H1345" s="1" t="inlineStr">
        <is>
          <t>Kara Garcia</t>
        </is>
      </c>
      <c r="I1345" s="30" t="n">
        <v>46065</v>
      </c>
      <c r="J1345" s="1" t="inlineStr">
        <is>
          <t>12272 Newman Manors</t>
        </is>
      </c>
      <c r="K1345" s="1" t="inlineStr">
        <is>
          <t>Apt. 508</t>
        </is>
      </c>
      <c r="L1345" s="1" t="inlineStr">
        <is>
          <t>PIN:04806 SHARONLAND</t>
        </is>
      </c>
      <c r="M1345" s="2" t="inlineStr">
        <is>
          <t>MHA/IND/01350</t>
        </is>
      </c>
      <c r="N1345" s="30" t="n">
        <v>46085</v>
      </c>
    </row>
    <row r="1346">
      <c r="A1346" s="28" t="n">
        <v>1345</v>
      </c>
      <c r="B1346" s="1" t="inlineStr">
        <is>
          <t>SAMANTHA ORTIZ</t>
        </is>
      </c>
      <c r="C1346" s="30" t="n">
        <v>45768</v>
      </c>
      <c r="D1346" s="1" t="inlineStr">
        <is>
          <t>RACHELTOWN</t>
        </is>
      </c>
      <c r="E1346" s="12" t="inlineStr">
        <is>
          <t>IND/MEL/01345</t>
        </is>
      </c>
      <c r="F1346" s="1" t="inlineStr">
        <is>
          <t>F</t>
        </is>
      </c>
      <c r="G1346" s="1" t="inlineStr">
        <is>
          <t>Nicholas Schaefer</t>
        </is>
      </c>
      <c r="H1346" s="1" t="inlineStr">
        <is>
          <t>Erica Morgan</t>
        </is>
      </c>
      <c r="I1346" s="30" t="n">
        <v>46065</v>
      </c>
      <c r="J1346" s="1" t="inlineStr">
        <is>
          <t>672 Robin Lock</t>
        </is>
      </c>
      <c r="K1346" s="1" t="inlineStr">
        <is>
          <t>Apt. 066</t>
        </is>
      </c>
      <c r="L1346" s="1" t="inlineStr">
        <is>
          <t>PIN:58170 LAKE KEITHSIDE</t>
        </is>
      </c>
      <c r="M1346" s="2" t="inlineStr">
        <is>
          <t>MHA/IND/01351</t>
        </is>
      </c>
      <c r="N1346" s="30" t="n">
        <v>46073</v>
      </c>
    </row>
    <row r="1347">
      <c r="A1347" s="28" t="n">
        <v>1346</v>
      </c>
      <c r="B1347" s="1" t="inlineStr">
        <is>
          <t>FELICIA LITTLE</t>
        </is>
      </c>
      <c r="C1347" s="30" t="n">
        <v>46007</v>
      </c>
      <c r="D1347" s="1" t="inlineStr">
        <is>
          <t>ALVAREZLAND</t>
        </is>
      </c>
      <c r="E1347" s="12" t="inlineStr">
        <is>
          <t>IND/MEL/01346</t>
        </is>
      </c>
      <c r="F1347" s="1" t="inlineStr">
        <is>
          <t>M</t>
        </is>
      </c>
      <c r="G1347" s="1" t="inlineStr">
        <is>
          <t>Martin Williams</t>
        </is>
      </c>
      <c r="H1347" s="1" t="inlineStr">
        <is>
          <t>Caitlin Yates MD</t>
        </is>
      </c>
      <c r="I1347" s="30" t="n">
        <v>46065</v>
      </c>
      <c r="J1347" s="1" t="inlineStr">
        <is>
          <t>6848 Nielsen Springs Suite 933</t>
        </is>
      </c>
      <c r="K1347" s="1" t="inlineStr">
        <is>
          <t>Apt. 780</t>
        </is>
      </c>
      <c r="L1347" s="1" t="inlineStr">
        <is>
          <t>PIN:98149 ERICPORT</t>
        </is>
      </c>
      <c r="M1347" s="2" t="inlineStr">
        <is>
          <t>MHA/IND/01352</t>
        </is>
      </c>
      <c r="N1347" s="30" t="n">
        <v>46089</v>
      </c>
    </row>
    <row r="1348">
      <c r="A1348" s="28" t="n">
        <v>1347</v>
      </c>
      <c r="B1348" s="1" t="inlineStr">
        <is>
          <t>ASHLEY KENNEDY</t>
        </is>
      </c>
      <c r="C1348" s="30" t="n">
        <v>45887</v>
      </c>
      <c r="D1348" s="1" t="inlineStr">
        <is>
          <t>ERINSHIRE</t>
        </is>
      </c>
      <c r="E1348" s="12" t="inlineStr">
        <is>
          <t>IND/MEL/01347</t>
        </is>
      </c>
      <c r="F1348" s="1" t="inlineStr">
        <is>
          <t>M</t>
        </is>
      </c>
      <c r="G1348" s="1" t="inlineStr">
        <is>
          <t>David Jones</t>
        </is>
      </c>
      <c r="H1348" s="1" t="inlineStr">
        <is>
          <t>Nancy Wright</t>
        </is>
      </c>
      <c r="I1348" s="30" t="n">
        <v>46065</v>
      </c>
      <c r="J1348" s="1" t="inlineStr">
        <is>
          <t>506 Megan Fork</t>
        </is>
      </c>
      <c r="K1348" s="1" t="inlineStr">
        <is>
          <t>Suite 863</t>
        </is>
      </c>
      <c r="L1348" s="1" t="inlineStr">
        <is>
          <t>PIN:10489 JESSICAFURT</t>
        </is>
      </c>
      <c r="M1348" s="2" t="inlineStr">
        <is>
          <t>MHA/IND/01353</t>
        </is>
      </c>
      <c r="N1348" s="30" t="n">
        <v>46072</v>
      </c>
    </row>
    <row r="1349">
      <c r="A1349" s="28" t="n">
        <v>1348</v>
      </c>
      <c r="B1349" s="1" t="inlineStr">
        <is>
          <t>LORI ATKINSON</t>
        </is>
      </c>
      <c r="C1349" s="30" t="n">
        <v>45859</v>
      </c>
      <c r="D1349" s="1" t="inlineStr">
        <is>
          <t>JEREMIAHLAND</t>
        </is>
      </c>
      <c r="E1349" s="12" t="inlineStr">
        <is>
          <t>IND/MEL/01348</t>
        </is>
      </c>
      <c r="F1349" s="1" t="inlineStr">
        <is>
          <t>M</t>
        </is>
      </c>
      <c r="G1349" s="1" t="inlineStr">
        <is>
          <t>Jack Waters</t>
        </is>
      </c>
      <c r="H1349" s="1" t="inlineStr">
        <is>
          <t>Laura Brown</t>
        </is>
      </c>
      <c r="I1349" s="30" t="n">
        <v>46065</v>
      </c>
      <c r="J1349" s="1" t="inlineStr">
        <is>
          <t>175 Thomas Extensions</t>
        </is>
      </c>
      <c r="K1349" s="1" t="inlineStr">
        <is>
          <t>Suite 213</t>
        </is>
      </c>
      <c r="L1349" s="1" t="inlineStr">
        <is>
          <t>PIN:54463 LAKE COURTNEYMOUTH</t>
        </is>
      </c>
      <c r="M1349" s="2" t="inlineStr">
        <is>
          <t>MHA/IND/01354</t>
        </is>
      </c>
      <c r="N1349" s="30" t="n">
        <v>46074</v>
      </c>
    </row>
    <row r="1350">
      <c r="A1350" s="28" t="n">
        <v>1349</v>
      </c>
      <c r="B1350" s="1" t="inlineStr">
        <is>
          <t>ANTONIO FERNANDEZ</t>
        </is>
      </c>
      <c r="C1350" s="30" t="n">
        <v>45738</v>
      </c>
      <c r="D1350" s="1" t="inlineStr">
        <is>
          <t>EAST HANNAH</t>
        </is>
      </c>
      <c r="E1350" s="12" t="inlineStr">
        <is>
          <t>IND/MEL/01349</t>
        </is>
      </c>
      <c r="F1350" s="1" t="inlineStr">
        <is>
          <t>F</t>
        </is>
      </c>
      <c r="G1350" s="1" t="inlineStr">
        <is>
          <t>Tyler Wright</t>
        </is>
      </c>
      <c r="H1350" s="1" t="inlineStr">
        <is>
          <t>Eileen Norris</t>
        </is>
      </c>
      <c r="I1350" s="30" t="n">
        <v>46065</v>
      </c>
      <c r="J1350" s="1" t="inlineStr">
        <is>
          <t>07684 April Pass</t>
        </is>
      </c>
      <c r="K1350" s="1" t="inlineStr">
        <is>
          <t>Apt. 717</t>
        </is>
      </c>
      <c r="L1350" s="1" t="inlineStr">
        <is>
          <t>PIN:43159 SOUTH ALEC</t>
        </is>
      </c>
      <c r="M1350" s="2" t="inlineStr">
        <is>
          <t>MHA/IND/01355</t>
        </is>
      </c>
      <c r="N1350" s="30" t="n">
        <v>46069</v>
      </c>
    </row>
    <row r="1351">
      <c r="A1351" s="28" t="n">
        <v>1350</v>
      </c>
      <c r="B1351" s="1" t="inlineStr">
        <is>
          <t>DARLENE LIU</t>
        </is>
      </c>
      <c r="C1351" s="30" t="n">
        <v>45882</v>
      </c>
      <c r="D1351" s="1" t="inlineStr">
        <is>
          <t>ELLISTON</t>
        </is>
      </c>
      <c r="E1351" s="12" t="inlineStr">
        <is>
          <t>IND/MEL/01350</t>
        </is>
      </c>
      <c r="F1351" s="1" t="inlineStr">
        <is>
          <t>F</t>
        </is>
      </c>
      <c r="G1351" s="1" t="inlineStr">
        <is>
          <t>William Wallace</t>
        </is>
      </c>
      <c r="H1351" s="1" t="inlineStr">
        <is>
          <t>Lindsey Perez</t>
        </is>
      </c>
      <c r="I1351" s="30" t="n">
        <v>46065</v>
      </c>
      <c r="J1351" s="1" t="inlineStr">
        <is>
          <t>39722 Gardner Cliffs Apt. 396</t>
        </is>
      </c>
      <c r="K1351" s="1" t="inlineStr">
        <is>
          <t>Suite 969</t>
        </is>
      </c>
      <c r="L1351" s="1" t="inlineStr">
        <is>
          <t>PIN:90483 JESSICABERG</t>
        </is>
      </c>
      <c r="M1351" s="2" t="inlineStr">
        <is>
          <t>MHA/IND/01356</t>
        </is>
      </c>
      <c r="N1351" s="30" t="n">
        <v>46075</v>
      </c>
    </row>
    <row r="1352">
      <c r="A1352" s="28" t="n">
        <v>1351</v>
      </c>
      <c r="B1352" s="1" t="inlineStr">
        <is>
          <t>CRYSTAL LI</t>
        </is>
      </c>
      <c r="C1352" s="30" t="n">
        <v>45974</v>
      </c>
      <c r="D1352" s="1" t="inlineStr">
        <is>
          <t>SOSASTAD</t>
        </is>
      </c>
      <c r="E1352" s="12" t="inlineStr">
        <is>
          <t>IND/MEL/01351</t>
        </is>
      </c>
      <c r="F1352" s="1" t="inlineStr">
        <is>
          <t>F</t>
        </is>
      </c>
      <c r="G1352" s="1" t="inlineStr">
        <is>
          <t>Robert Cole</t>
        </is>
      </c>
      <c r="H1352" s="1" t="inlineStr">
        <is>
          <t>Ashley Cole</t>
        </is>
      </c>
      <c r="I1352" s="30" t="n">
        <v>46065</v>
      </c>
      <c r="J1352" s="1" t="inlineStr">
        <is>
          <t>881 Smith Plaza</t>
        </is>
      </c>
      <c r="K1352" s="1" t="inlineStr">
        <is>
          <t>Suite 499</t>
        </is>
      </c>
      <c r="L1352" s="1" t="inlineStr">
        <is>
          <t>PIN:38907 LAKE LINDASTAD</t>
        </is>
      </c>
      <c r="M1352" s="2" t="inlineStr">
        <is>
          <t>MHA/IND/01357</t>
        </is>
      </c>
      <c r="N1352" s="30" t="n">
        <v>46075</v>
      </c>
    </row>
    <row r="1353">
      <c r="A1353" s="28" t="n">
        <v>1352</v>
      </c>
      <c r="B1353" s="1" t="inlineStr">
        <is>
          <t>STEPHEN FORD</t>
        </is>
      </c>
      <c r="C1353" s="30" t="n">
        <v>46027</v>
      </c>
      <c r="D1353" s="1" t="inlineStr">
        <is>
          <t>PORT SAMANTHA</t>
        </is>
      </c>
      <c r="E1353" s="12" t="inlineStr">
        <is>
          <t>IND/MEL/01352</t>
        </is>
      </c>
      <c r="F1353" s="1" t="inlineStr">
        <is>
          <t>F</t>
        </is>
      </c>
      <c r="G1353" s="1" t="inlineStr">
        <is>
          <t>Brandon King</t>
        </is>
      </c>
      <c r="H1353" s="1" t="inlineStr">
        <is>
          <t>Julie Noble</t>
        </is>
      </c>
      <c r="I1353" s="30" t="n">
        <v>46065</v>
      </c>
      <c r="J1353" s="1" t="inlineStr">
        <is>
          <t>986 Zachary Harbors Suite 948</t>
        </is>
      </c>
      <c r="K1353" s="1" t="inlineStr">
        <is>
          <t>Suite 818</t>
        </is>
      </c>
      <c r="L1353" s="1" t="inlineStr">
        <is>
          <t>PIN:55439 MORROWTON</t>
        </is>
      </c>
      <c r="M1353" s="2" t="inlineStr">
        <is>
          <t>MHA/IND/01358</t>
        </is>
      </c>
      <c r="N1353" s="30" t="n">
        <v>46089</v>
      </c>
    </row>
    <row r="1354">
      <c r="A1354" s="28" t="n">
        <v>1353</v>
      </c>
      <c r="B1354" s="1" t="inlineStr">
        <is>
          <t>KEVIN MCDONALD</t>
        </is>
      </c>
      <c r="C1354" s="30" t="n">
        <v>45915</v>
      </c>
      <c r="D1354" s="1" t="inlineStr">
        <is>
          <t>SOUTH JORGE</t>
        </is>
      </c>
      <c r="E1354" s="12" t="inlineStr">
        <is>
          <t>IND/MEL/01353</t>
        </is>
      </c>
      <c r="F1354" s="1" t="inlineStr">
        <is>
          <t>M</t>
        </is>
      </c>
      <c r="G1354" s="1" t="inlineStr">
        <is>
          <t>Ryan Davis</t>
        </is>
      </c>
      <c r="H1354" s="1" t="inlineStr">
        <is>
          <t>Jennifer Scott</t>
        </is>
      </c>
      <c r="I1354" s="30" t="n">
        <v>46065</v>
      </c>
      <c r="J1354" s="1" t="inlineStr">
        <is>
          <t>460 Tracy Roads</t>
        </is>
      </c>
      <c r="K1354" s="1" t="inlineStr">
        <is>
          <t>Apt. 940</t>
        </is>
      </c>
      <c r="L1354" s="1" t="inlineStr">
        <is>
          <t>PIN:27512 NORTH JEAN</t>
        </is>
      </c>
      <c r="M1354" s="2" t="inlineStr">
        <is>
          <t>MHA/IND/01359</t>
        </is>
      </c>
      <c r="N1354" s="30" t="n">
        <v>46081</v>
      </c>
    </row>
    <row r="1355">
      <c r="A1355" s="28" t="n">
        <v>1354</v>
      </c>
      <c r="B1355" s="1" t="inlineStr">
        <is>
          <t>AARON WALKER</t>
        </is>
      </c>
      <c r="C1355" s="30" t="n">
        <v>45852</v>
      </c>
      <c r="D1355" s="1" t="inlineStr">
        <is>
          <t>SCOTTBOROUGH</t>
        </is>
      </c>
      <c r="E1355" s="12" t="inlineStr">
        <is>
          <t>IND/MEL/01354</t>
        </is>
      </c>
      <c r="F1355" s="1" t="inlineStr">
        <is>
          <t>M</t>
        </is>
      </c>
      <c r="G1355" s="1" t="inlineStr">
        <is>
          <t>Christopher Dennis</t>
        </is>
      </c>
      <c r="H1355" s="1" t="inlineStr">
        <is>
          <t>Carol Mcdaniel</t>
        </is>
      </c>
      <c r="I1355" s="30" t="n">
        <v>46065</v>
      </c>
      <c r="J1355" s="1" t="inlineStr">
        <is>
          <t>2315 Andrews Trail</t>
        </is>
      </c>
      <c r="K1355" s="1" t="inlineStr">
        <is>
          <t>Apt. 402</t>
        </is>
      </c>
      <c r="L1355" s="1" t="inlineStr">
        <is>
          <t>PIN:35393 SOUTH KELLI</t>
        </is>
      </c>
      <c r="M1355" s="2" t="inlineStr">
        <is>
          <t>MHA/IND/01360</t>
        </is>
      </c>
      <c r="N1355" s="30" t="n">
        <v>46079</v>
      </c>
    </row>
    <row r="1356">
      <c r="A1356" s="28" t="n">
        <v>1355</v>
      </c>
      <c r="B1356" s="1" t="inlineStr">
        <is>
          <t>STEPHANIE COOPER</t>
        </is>
      </c>
      <c r="C1356" s="30" t="n">
        <v>46040</v>
      </c>
      <c r="D1356" s="1" t="inlineStr">
        <is>
          <t>LAKE THOMASMOUTH</t>
        </is>
      </c>
      <c r="E1356" s="12" t="inlineStr">
        <is>
          <t>IND/MEL/01355</t>
        </is>
      </c>
      <c r="F1356" s="1" t="inlineStr">
        <is>
          <t>M</t>
        </is>
      </c>
      <c r="G1356" s="1" t="inlineStr">
        <is>
          <t>Kyle Bowen</t>
        </is>
      </c>
      <c r="H1356" s="1" t="inlineStr">
        <is>
          <t>Belinda Young</t>
        </is>
      </c>
      <c r="I1356" s="30" t="n">
        <v>46065</v>
      </c>
      <c r="J1356" s="1" t="inlineStr">
        <is>
          <t>443 Jonathan Hollow Apt. 362</t>
        </is>
      </c>
      <c r="K1356" s="1" t="inlineStr">
        <is>
          <t>Apt. 913</t>
        </is>
      </c>
      <c r="L1356" s="1" t="inlineStr">
        <is>
          <t>PIN:24366 PORT ZACHARYBURY</t>
        </is>
      </c>
      <c r="M1356" s="2" t="inlineStr">
        <is>
          <t>MHA/IND/01361</t>
        </is>
      </c>
      <c r="N1356" s="30" t="n">
        <v>46095</v>
      </c>
    </row>
    <row r="1357">
      <c r="A1357" s="28" t="n">
        <v>1356</v>
      </c>
      <c r="B1357" s="1" t="inlineStr">
        <is>
          <t>PATRICIA WALKER</t>
        </is>
      </c>
      <c r="C1357" s="30" t="n">
        <v>45817</v>
      </c>
      <c r="D1357" s="1" t="inlineStr">
        <is>
          <t>MITCHELLFORT</t>
        </is>
      </c>
      <c r="E1357" s="12" t="inlineStr">
        <is>
          <t>IND/MEL/01356</t>
        </is>
      </c>
      <c r="F1357" s="1" t="inlineStr">
        <is>
          <t>F</t>
        </is>
      </c>
      <c r="G1357" s="1" t="inlineStr">
        <is>
          <t>George Dean</t>
        </is>
      </c>
      <c r="H1357" s="1" t="inlineStr">
        <is>
          <t>Beth Melendez</t>
        </is>
      </c>
      <c r="I1357" s="30" t="n">
        <v>46065</v>
      </c>
      <c r="J1357" s="1" t="inlineStr">
        <is>
          <t>5558 Katrina Ferry Apt. 975</t>
        </is>
      </c>
      <c r="K1357" s="1" t="inlineStr">
        <is>
          <t>Apt. 205</t>
        </is>
      </c>
      <c r="L1357" s="1" t="inlineStr">
        <is>
          <t>PIN:37915 LAKE STEPHEN</t>
        </is>
      </c>
      <c r="M1357" s="2" t="inlineStr">
        <is>
          <t>MHA/IND/01362</t>
        </is>
      </c>
      <c r="N1357" s="30" t="n">
        <v>46068</v>
      </c>
    </row>
    <row r="1358">
      <c r="A1358" s="28" t="n">
        <v>1357</v>
      </c>
      <c r="B1358" s="1" t="inlineStr">
        <is>
          <t>NICOLE MITCHELL</t>
        </is>
      </c>
      <c r="C1358" s="30" t="n">
        <v>45903</v>
      </c>
      <c r="D1358" s="1" t="inlineStr">
        <is>
          <t>PORT DAVID</t>
        </is>
      </c>
      <c r="E1358" s="12" t="inlineStr">
        <is>
          <t>IND/MEL/01357</t>
        </is>
      </c>
      <c r="F1358" s="1" t="inlineStr">
        <is>
          <t>M</t>
        </is>
      </c>
      <c r="G1358" s="1" t="inlineStr">
        <is>
          <t>William Webster</t>
        </is>
      </c>
      <c r="H1358" s="1" t="inlineStr">
        <is>
          <t>Jill Jackson</t>
        </is>
      </c>
      <c r="I1358" s="30" t="n">
        <v>46065</v>
      </c>
      <c r="J1358" s="1" t="inlineStr">
        <is>
          <t>315 Angela Crescent Suite 113</t>
        </is>
      </c>
      <c r="K1358" s="1" t="inlineStr">
        <is>
          <t>Apt. 912</t>
        </is>
      </c>
      <c r="L1358" s="1" t="inlineStr">
        <is>
          <t>PIN:45706 PAMMOUTH</t>
        </is>
      </c>
      <c r="M1358" s="2" t="inlineStr">
        <is>
          <t>MHA/IND/01363</t>
        </is>
      </c>
      <c r="N1358" s="30" t="n">
        <v>46076</v>
      </c>
    </row>
    <row r="1359">
      <c r="A1359" s="28" t="n">
        <v>1358</v>
      </c>
      <c r="B1359" s="1" t="inlineStr">
        <is>
          <t>EMMA BULLOCK</t>
        </is>
      </c>
      <c r="C1359" s="30" t="n">
        <v>45920</v>
      </c>
      <c r="D1359" s="1" t="inlineStr">
        <is>
          <t>HANNAHFURT</t>
        </is>
      </c>
      <c r="E1359" s="12" t="inlineStr">
        <is>
          <t>IND/MEL/01358</t>
        </is>
      </c>
      <c r="F1359" s="1" t="inlineStr">
        <is>
          <t>M</t>
        </is>
      </c>
      <c r="G1359" s="1" t="inlineStr">
        <is>
          <t>Matthew Rivera</t>
        </is>
      </c>
      <c r="H1359" s="1" t="inlineStr">
        <is>
          <t>Katrina Roach</t>
        </is>
      </c>
      <c r="I1359" s="30" t="n">
        <v>46065</v>
      </c>
      <c r="J1359" s="1" t="inlineStr">
        <is>
          <t>524 Fuller Crest</t>
        </is>
      </c>
      <c r="K1359" s="1" t="inlineStr">
        <is>
          <t>Apt. 668</t>
        </is>
      </c>
      <c r="L1359" s="1" t="inlineStr">
        <is>
          <t>PIN:67486 MILLERSHIRE</t>
        </is>
      </c>
      <c r="M1359" s="2" t="inlineStr">
        <is>
          <t>MHA/IND/01364</t>
        </is>
      </c>
      <c r="N1359" s="30" t="n">
        <v>46074</v>
      </c>
    </row>
    <row r="1360">
      <c r="A1360" s="28" t="n">
        <v>1359</v>
      </c>
      <c r="B1360" s="1" t="inlineStr">
        <is>
          <t>RYAN WHITAKER</t>
        </is>
      </c>
      <c r="C1360" s="30" t="n">
        <v>45919</v>
      </c>
      <c r="D1360" s="1" t="inlineStr">
        <is>
          <t>LAKE MEAGANVIEW</t>
        </is>
      </c>
      <c r="E1360" s="12" t="inlineStr">
        <is>
          <t>IND/MEL/01359</t>
        </is>
      </c>
      <c r="F1360" s="1" t="inlineStr">
        <is>
          <t>F</t>
        </is>
      </c>
      <c r="G1360" s="1" t="inlineStr">
        <is>
          <t>Edward Gomez</t>
        </is>
      </c>
      <c r="H1360" s="1" t="inlineStr">
        <is>
          <t>Lindsay Perkins</t>
        </is>
      </c>
      <c r="I1360" s="30" t="n">
        <v>46065</v>
      </c>
      <c r="J1360" s="1" t="inlineStr">
        <is>
          <t>5473 Woods Hollow</t>
        </is>
      </c>
      <c r="K1360" s="1" t="inlineStr">
        <is>
          <t>Suite 068</t>
        </is>
      </c>
      <c r="L1360" s="1" t="inlineStr">
        <is>
          <t>PIN:28085 WEST KRISTINTOWN</t>
        </is>
      </c>
      <c r="M1360" s="2" t="inlineStr">
        <is>
          <t>MHA/IND/01365</t>
        </is>
      </c>
      <c r="N1360" s="30" t="n">
        <v>46077</v>
      </c>
    </row>
    <row r="1361">
      <c r="A1361" s="28" t="n">
        <v>1360</v>
      </c>
      <c r="B1361" s="1" t="inlineStr">
        <is>
          <t>DAN SCOTT</t>
        </is>
      </c>
      <c r="C1361" s="30" t="n">
        <v>45741</v>
      </c>
      <c r="D1361" s="1" t="inlineStr">
        <is>
          <t>ELLENVILLE</t>
        </is>
      </c>
      <c r="E1361" s="12" t="inlineStr">
        <is>
          <t>IND/MEL/01360</t>
        </is>
      </c>
      <c r="F1361" s="1" t="inlineStr">
        <is>
          <t>M</t>
        </is>
      </c>
      <c r="G1361" s="1" t="inlineStr">
        <is>
          <t>Louis Green</t>
        </is>
      </c>
      <c r="H1361" s="1" t="inlineStr">
        <is>
          <t>Ashley Kelley</t>
        </is>
      </c>
      <c r="I1361" s="30" t="n">
        <v>46065</v>
      </c>
      <c r="J1361" s="1" t="inlineStr">
        <is>
          <t>5830 Guerrero Manor</t>
        </is>
      </c>
      <c r="K1361" s="1" t="inlineStr">
        <is>
          <t>Apt. 434</t>
        </is>
      </c>
      <c r="L1361" s="1" t="inlineStr">
        <is>
          <t>PIN:09495 NEW SCOTT</t>
        </is>
      </c>
      <c r="M1361" s="2" t="inlineStr">
        <is>
          <t>MHA/IND/01366</t>
        </is>
      </c>
      <c r="N1361" s="30" t="n">
        <v>46079</v>
      </c>
    </row>
    <row r="1362">
      <c r="A1362" s="28" t="n">
        <v>1361</v>
      </c>
      <c r="B1362" s="1" t="inlineStr">
        <is>
          <t>DAVID HALE</t>
        </is>
      </c>
      <c r="C1362" s="30" t="n">
        <v>45824</v>
      </c>
      <c r="D1362" s="1" t="inlineStr">
        <is>
          <t>NEW SHARIPORT</t>
        </is>
      </c>
      <c r="E1362" s="12" t="inlineStr">
        <is>
          <t>IND/MEL/01361</t>
        </is>
      </c>
      <c r="F1362" s="1" t="inlineStr">
        <is>
          <t>F</t>
        </is>
      </c>
      <c r="G1362" s="1" t="inlineStr">
        <is>
          <t>Raymond Cruz</t>
        </is>
      </c>
      <c r="H1362" s="1" t="inlineStr">
        <is>
          <t>Kimberly Perez</t>
        </is>
      </c>
      <c r="I1362" s="30" t="n">
        <v>46065</v>
      </c>
      <c r="J1362" s="1" t="inlineStr">
        <is>
          <t>119 Hunter Canyon Suite 954</t>
        </is>
      </c>
      <c r="K1362" s="1" t="inlineStr">
        <is>
          <t>Apt. 463</t>
        </is>
      </c>
      <c r="L1362" s="1" t="inlineStr">
        <is>
          <t>PIN:24592 JODIBURY</t>
        </is>
      </c>
      <c r="M1362" s="2" t="inlineStr">
        <is>
          <t>MHA/IND/01367</t>
        </is>
      </c>
      <c r="N1362" s="30" t="n">
        <v>46090</v>
      </c>
    </row>
    <row r="1363">
      <c r="A1363" s="28" t="n">
        <v>1362</v>
      </c>
      <c r="B1363" s="1" t="inlineStr">
        <is>
          <t>DIANE STONE</t>
        </is>
      </c>
      <c r="C1363" s="30" t="n">
        <v>46052</v>
      </c>
      <c r="D1363" s="1" t="inlineStr">
        <is>
          <t>SOUTH CHERYL</t>
        </is>
      </c>
      <c r="E1363" s="12" t="inlineStr">
        <is>
          <t>IND/MEL/01362</t>
        </is>
      </c>
      <c r="F1363" s="1" t="inlineStr">
        <is>
          <t>M</t>
        </is>
      </c>
      <c r="G1363" s="1" t="inlineStr">
        <is>
          <t>Omar Craig</t>
        </is>
      </c>
      <c r="H1363" s="1" t="inlineStr">
        <is>
          <t>Sara Hamilton</t>
        </is>
      </c>
      <c r="I1363" s="30" t="n">
        <v>46065</v>
      </c>
      <c r="J1363" s="1" t="inlineStr">
        <is>
          <t>93769 Patrick Ridge</t>
        </is>
      </c>
      <c r="K1363" s="1" t="inlineStr">
        <is>
          <t>Apt. 463</t>
        </is>
      </c>
      <c r="L1363" s="1" t="inlineStr">
        <is>
          <t>PIN:23031 LAKE DAWN</t>
        </is>
      </c>
      <c r="M1363" s="2" t="inlineStr">
        <is>
          <t>MHA/IND/01368</t>
        </is>
      </c>
      <c r="N1363" s="30" t="n">
        <v>46069</v>
      </c>
    </row>
    <row r="1364">
      <c r="A1364" s="28" t="n">
        <v>1363</v>
      </c>
      <c r="B1364" s="1" t="inlineStr">
        <is>
          <t>CALVIN LAWRENCE</t>
        </is>
      </c>
      <c r="C1364" s="30" t="n">
        <v>45936</v>
      </c>
      <c r="D1364" s="1" t="inlineStr">
        <is>
          <t>WHITEMOUTH</t>
        </is>
      </c>
      <c r="E1364" s="12" t="inlineStr">
        <is>
          <t>IND/MEL/01363</t>
        </is>
      </c>
      <c r="F1364" s="1" t="inlineStr">
        <is>
          <t>M</t>
        </is>
      </c>
      <c r="G1364" s="1" t="inlineStr">
        <is>
          <t>Walter Adkins</t>
        </is>
      </c>
      <c r="H1364" s="1" t="inlineStr">
        <is>
          <t>Dr. Ashley Miller</t>
        </is>
      </c>
      <c r="I1364" s="30" t="n">
        <v>46065</v>
      </c>
      <c r="J1364" s="1" t="inlineStr">
        <is>
          <t>705 Mullen Flat Apt. 783</t>
        </is>
      </c>
      <c r="K1364" s="1" t="inlineStr">
        <is>
          <t>Apt. 947</t>
        </is>
      </c>
      <c r="L1364" s="1" t="inlineStr">
        <is>
          <t>PIN:12948 SOUTH KAREN</t>
        </is>
      </c>
      <c r="M1364" s="2" t="inlineStr">
        <is>
          <t>MHA/IND/01369</t>
        </is>
      </c>
      <c r="N1364" s="30" t="n">
        <v>46087</v>
      </c>
    </row>
    <row r="1365">
      <c r="A1365" s="28" t="n">
        <v>1364</v>
      </c>
      <c r="B1365" s="1" t="inlineStr">
        <is>
          <t>BRENT MAYO</t>
        </is>
      </c>
      <c r="C1365" s="30" t="n">
        <v>45877</v>
      </c>
      <c r="D1365" s="1" t="inlineStr">
        <is>
          <t>ANNAHAVEN</t>
        </is>
      </c>
      <c r="E1365" s="12" t="inlineStr">
        <is>
          <t>IND/MEL/01364</t>
        </is>
      </c>
      <c r="F1365" s="1" t="inlineStr">
        <is>
          <t>F</t>
        </is>
      </c>
      <c r="G1365" s="1" t="inlineStr">
        <is>
          <t>Corey Wood</t>
        </is>
      </c>
      <c r="H1365" s="1" t="inlineStr">
        <is>
          <t>Sandra Shepherd</t>
        </is>
      </c>
      <c r="I1365" s="30" t="n">
        <v>46065</v>
      </c>
      <c r="J1365" s="1" t="inlineStr">
        <is>
          <t>920 Emma Locks Apt. 431</t>
        </is>
      </c>
      <c r="K1365" s="1" t="inlineStr">
        <is>
          <t>Apt. 775</t>
        </is>
      </c>
      <c r="L1365" s="1" t="inlineStr">
        <is>
          <t>PIN:18514 VANESSAFURT</t>
        </is>
      </c>
      <c r="M1365" s="2" t="inlineStr">
        <is>
          <t>MHA/IND/01370</t>
        </is>
      </c>
      <c r="N1365" s="30" t="n">
        <v>46087</v>
      </c>
    </row>
    <row r="1366">
      <c r="A1366" s="28" t="n">
        <v>1365</v>
      </c>
      <c r="B1366" s="1" t="inlineStr">
        <is>
          <t>CAROL TAYLOR</t>
        </is>
      </c>
      <c r="C1366" s="30" t="n">
        <v>45796</v>
      </c>
      <c r="D1366" s="1" t="inlineStr">
        <is>
          <t>ADRIANABERG</t>
        </is>
      </c>
      <c r="E1366" s="12" t="inlineStr">
        <is>
          <t>IND/MEL/01365</t>
        </is>
      </c>
      <c r="F1366" s="1" t="inlineStr">
        <is>
          <t>F</t>
        </is>
      </c>
      <c r="G1366" s="1" t="inlineStr">
        <is>
          <t>James Montgomery</t>
        </is>
      </c>
      <c r="H1366" s="1" t="inlineStr">
        <is>
          <t>Christina Taylor</t>
        </is>
      </c>
      <c r="I1366" s="30" t="n">
        <v>46065</v>
      </c>
      <c r="J1366" s="1" t="inlineStr">
        <is>
          <t>0203 Michael Stravenue</t>
        </is>
      </c>
      <c r="K1366" s="1" t="inlineStr">
        <is>
          <t>Apt. 297</t>
        </is>
      </c>
      <c r="L1366" s="1" t="inlineStr">
        <is>
          <t>PIN:27859 SAMUELPORT</t>
        </is>
      </c>
      <c r="M1366" s="2" t="inlineStr">
        <is>
          <t>MHA/IND/01371</t>
        </is>
      </c>
      <c r="N1366" s="30" t="n">
        <v>46080</v>
      </c>
    </row>
    <row r="1367">
      <c r="A1367" s="28" t="n">
        <v>1366</v>
      </c>
      <c r="B1367" s="1" t="inlineStr">
        <is>
          <t>DARREN SILVA</t>
        </is>
      </c>
      <c r="C1367" s="30" t="n">
        <v>45725</v>
      </c>
      <c r="D1367" s="1" t="inlineStr">
        <is>
          <t>NEW JAMESBERG</t>
        </is>
      </c>
      <c r="E1367" s="12" t="inlineStr">
        <is>
          <t>IND/MEL/01366</t>
        </is>
      </c>
      <c r="F1367" s="1" t="inlineStr">
        <is>
          <t>M</t>
        </is>
      </c>
      <c r="G1367" s="1" t="inlineStr">
        <is>
          <t>Shawn Parrish</t>
        </is>
      </c>
      <c r="H1367" s="1" t="inlineStr">
        <is>
          <t>Melissa Lee</t>
        </is>
      </c>
      <c r="I1367" s="30" t="n">
        <v>46065</v>
      </c>
      <c r="J1367" s="1" t="inlineStr">
        <is>
          <t>83680 Copeland Drive Apt. 075</t>
        </is>
      </c>
      <c r="K1367" s="1" t="inlineStr">
        <is>
          <t>Apt. 042</t>
        </is>
      </c>
      <c r="L1367" s="1" t="inlineStr">
        <is>
          <t>PIN:16438 CLINEFORT</t>
        </is>
      </c>
      <c r="M1367" s="2" t="inlineStr">
        <is>
          <t>MHA/IND/01372</t>
        </is>
      </c>
      <c r="N1367" s="30" t="n">
        <v>46079</v>
      </c>
    </row>
    <row r="1368">
      <c r="A1368" s="28" t="n">
        <v>1367</v>
      </c>
      <c r="B1368" s="1" t="inlineStr">
        <is>
          <t>MARY GARZA</t>
        </is>
      </c>
      <c r="C1368" s="30" t="n">
        <v>45723</v>
      </c>
      <c r="D1368" s="1" t="inlineStr">
        <is>
          <t>SOUTH ROBERTHAVEN</t>
        </is>
      </c>
      <c r="E1368" s="12" t="inlineStr">
        <is>
          <t>IND/MEL/01367</t>
        </is>
      </c>
      <c r="F1368" s="1" t="inlineStr">
        <is>
          <t>M</t>
        </is>
      </c>
      <c r="G1368" s="1" t="inlineStr">
        <is>
          <t>Matthew Walker</t>
        </is>
      </c>
      <c r="H1368" s="1" t="inlineStr">
        <is>
          <t>Caitlyn Powers</t>
        </is>
      </c>
      <c r="I1368" s="30" t="n">
        <v>46065</v>
      </c>
      <c r="J1368" s="1" t="inlineStr">
        <is>
          <t>04815 John Spring</t>
        </is>
      </c>
      <c r="K1368" s="1" t="inlineStr">
        <is>
          <t>Apt. 714</t>
        </is>
      </c>
      <c r="L1368" s="1" t="inlineStr">
        <is>
          <t>PIN:57064 ANTHONYSTAD</t>
        </is>
      </c>
      <c r="M1368" s="2" t="inlineStr">
        <is>
          <t>MHA/IND/01373</t>
        </is>
      </c>
      <c r="N1368" s="30" t="n">
        <v>46091</v>
      </c>
    </row>
    <row r="1369">
      <c r="A1369" s="28" t="n">
        <v>1368</v>
      </c>
      <c r="B1369" s="1" t="inlineStr">
        <is>
          <t>JOSEPH JAMES</t>
        </is>
      </c>
      <c r="C1369" s="30" t="n">
        <v>45714</v>
      </c>
      <c r="D1369" s="1" t="inlineStr">
        <is>
          <t>LAKE PAULATON</t>
        </is>
      </c>
      <c r="E1369" s="12" t="inlineStr">
        <is>
          <t>IND/MEL/01368</t>
        </is>
      </c>
      <c r="F1369" s="1" t="inlineStr">
        <is>
          <t>F</t>
        </is>
      </c>
      <c r="G1369" s="1" t="inlineStr">
        <is>
          <t>Jeremiah Morris</t>
        </is>
      </c>
      <c r="H1369" s="1" t="inlineStr">
        <is>
          <t>Michelle Williams</t>
        </is>
      </c>
      <c r="I1369" s="30" t="n">
        <v>46065</v>
      </c>
      <c r="J1369" s="1" t="inlineStr">
        <is>
          <t>154 Richard Village Suite 063</t>
        </is>
      </c>
      <c r="K1369" s="1" t="inlineStr">
        <is>
          <t>Suite 901</t>
        </is>
      </c>
      <c r="L1369" s="1" t="inlineStr">
        <is>
          <t>PIN:90569 PORT BRIANMOUTH</t>
        </is>
      </c>
      <c r="M1369" s="2" t="inlineStr">
        <is>
          <t>MHA/IND/01374</t>
        </is>
      </c>
      <c r="N1369" s="30" t="n">
        <v>46088</v>
      </c>
    </row>
    <row r="1370">
      <c r="A1370" s="28" t="n">
        <v>1369</v>
      </c>
      <c r="B1370" s="1" t="inlineStr">
        <is>
          <t>JAMIE GILL</t>
        </is>
      </c>
      <c r="C1370" s="30" t="n">
        <v>46018</v>
      </c>
      <c r="D1370" s="1" t="inlineStr">
        <is>
          <t>EAST ANTHONY</t>
        </is>
      </c>
      <c r="E1370" s="12" t="inlineStr">
        <is>
          <t>IND/MEL/01369</t>
        </is>
      </c>
      <c r="F1370" s="1" t="inlineStr">
        <is>
          <t>F</t>
        </is>
      </c>
      <c r="G1370" s="1" t="inlineStr">
        <is>
          <t>Steven Jones</t>
        </is>
      </c>
      <c r="H1370" s="1" t="inlineStr">
        <is>
          <t>Deborah Frank</t>
        </is>
      </c>
      <c r="I1370" s="30" t="n">
        <v>46065</v>
      </c>
      <c r="J1370" s="1" t="inlineStr">
        <is>
          <t>97596 Samuel Ford Apt. 547</t>
        </is>
      </c>
      <c r="K1370" s="1" t="inlineStr">
        <is>
          <t>Suite 884</t>
        </is>
      </c>
      <c r="L1370" s="1" t="inlineStr">
        <is>
          <t>PIN:65178 NEW GREGORYLAND</t>
        </is>
      </c>
      <c r="M1370" s="2" t="inlineStr">
        <is>
          <t>MHA/IND/01375</t>
        </is>
      </c>
      <c r="N1370" s="30" t="n">
        <v>46075</v>
      </c>
    </row>
    <row r="1371">
      <c r="A1371" s="28" t="n">
        <v>1370</v>
      </c>
      <c r="B1371" s="1" t="inlineStr">
        <is>
          <t>MARILYN REED</t>
        </is>
      </c>
      <c r="C1371" s="30" t="n">
        <v>45989</v>
      </c>
      <c r="D1371" s="1" t="inlineStr">
        <is>
          <t>CYNTHIAFORT</t>
        </is>
      </c>
      <c r="E1371" s="12" t="inlineStr">
        <is>
          <t>IND/MEL/01370</t>
        </is>
      </c>
      <c r="F1371" s="1" t="inlineStr">
        <is>
          <t>M</t>
        </is>
      </c>
      <c r="G1371" s="1" t="inlineStr">
        <is>
          <t>Richard Bass</t>
        </is>
      </c>
      <c r="H1371" s="1" t="inlineStr">
        <is>
          <t>Christina Lee</t>
        </is>
      </c>
      <c r="I1371" s="30" t="n">
        <v>46065</v>
      </c>
      <c r="J1371" s="1" t="inlineStr">
        <is>
          <t>42896 Michael Unions</t>
        </is>
      </c>
      <c r="K1371" s="1" t="inlineStr">
        <is>
          <t>Suite 347</t>
        </is>
      </c>
      <c r="L1371" s="1" t="inlineStr">
        <is>
          <t>PIN:03694 BECKHAVEN</t>
        </is>
      </c>
      <c r="M1371" s="2" t="inlineStr">
        <is>
          <t>MHA/IND/01376</t>
        </is>
      </c>
      <c r="N1371" s="30" t="n">
        <v>46071</v>
      </c>
    </row>
    <row r="1372">
      <c r="A1372" s="28" t="n">
        <v>1371</v>
      </c>
      <c r="B1372" s="1" t="inlineStr">
        <is>
          <t>KATHRYN PRATT</t>
        </is>
      </c>
      <c r="C1372" s="30" t="n">
        <v>45850</v>
      </c>
      <c r="D1372" s="1" t="inlineStr">
        <is>
          <t>SOUTH TONYBOROUGH</t>
        </is>
      </c>
      <c r="E1372" s="12" t="inlineStr">
        <is>
          <t>IND/MEL/01371</t>
        </is>
      </c>
      <c r="F1372" s="1" t="inlineStr">
        <is>
          <t>F</t>
        </is>
      </c>
      <c r="G1372" s="1" t="inlineStr">
        <is>
          <t>David Figueroa</t>
        </is>
      </c>
      <c r="H1372" s="1" t="inlineStr">
        <is>
          <t>Angie Schwartz</t>
        </is>
      </c>
      <c r="I1372" s="30" t="n">
        <v>46065</v>
      </c>
      <c r="J1372" s="1" t="inlineStr">
        <is>
          <t>68738 Erica Point Suite 864</t>
        </is>
      </c>
      <c r="K1372" s="1" t="inlineStr">
        <is>
          <t>Suite 763</t>
        </is>
      </c>
      <c r="L1372" s="1" t="inlineStr">
        <is>
          <t>PIN:86231 SOUTH LISAPORT</t>
        </is>
      </c>
      <c r="M1372" s="2" t="inlineStr">
        <is>
          <t>MHA/IND/01377</t>
        </is>
      </c>
      <c r="N1372" s="30" t="n">
        <v>46082</v>
      </c>
    </row>
    <row r="1373">
      <c r="A1373" s="28" t="n">
        <v>1372</v>
      </c>
      <c r="B1373" s="1" t="inlineStr">
        <is>
          <t>KEVIN SANCHEZ</t>
        </is>
      </c>
      <c r="C1373" s="30" t="n">
        <v>45895</v>
      </c>
      <c r="D1373" s="1" t="inlineStr">
        <is>
          <t>WEST TAMARAMOUTH</t>
        </is>
      </c>
      <c r="E1373" s="12" t="inlineStr">
        <is>
          <t>IND/MEL/01372</t>
        </is>
      </c>
      <c r="F1373" s="1" t="inlineStr">
        <is>
          <t>M</t>
        </is>
      </c>
      <c r="G1373" s="1" t="inlineStr">
        <is>
          <t>Michael Hubbard</t>
        </is>
      </c>
      <c r="H1373" s="1" t="inlineStr">
        <is>
          <t>Lisa Bradley</t>
        </is>
      </c>
      <c r="I1373" s="30" t="n">
        <v>46065</v>
      </c>
      <c r="J1373" s="1" t="inlineStr">
        <is>
          <t>745 Hartman Well Suite 351</t>
        </is>
      </c>
      <c r="K1373" s="1" t="inlineStr">
        <is>
          <t>Suite 089</t>
        </is>
      </c>
      <c r="L1373" s="1" t="inlineStr">
        <is>
          <t>PIN:58251 LAKE KATRINA</t>
        </is>
      </c>
      <c r="M1373" s="2" t="inlineStr">
        <is>
          <t>MHA/IND/01378</t>
        </is>
      </c>
      <c r="N1373" s="30" t="n">
        <v>46082</v>
      </c>
    </row>
    <row r="1374">
      <c r="A1374" s="28" t="n">
        <v>1373</v>
      </c>
      <c r="B1374" s="1" t="inlineStr">
        <is>
          <t>CARLOS BROCK</t>
        </is>
      </c>
      <c r="C1374" s="30" t="n">
        <v>45949</v>
      </c>
      <c r="D1374" s="1" t="inlineStr">
        <is>
          <t>SOUTH WHITNEY</t>
        </is>
      </c>
      <c r="E1374" s="12" t="inlineStr">
        <is>
          <t>IND/MEL/01373</t>
        </is>
      </c>
      <c r="F1374" s="1" t="inlineStr">
        <is>
          <t>M</t>
        </is>
      </c>
      <c r="G1374" s="1" t="inlineStr">
        <is>
          <t>Jonathan Pierce</t>
        </is>
      </c>
      <c r="H1374" s="1" t="inlineStr">
        <is>
          <t>Amy Larsen</t>
        </is>
      </c>
      <c r="I1374" s="30" t="n">
        <v>46065</v>
      </c>
      <c r="J1374" s="1" t="inlineStr">
        <is>
          <t>296 Johnson Greens</t>
        </is>
      </c>
      <c r="K1374" s="1" t="inlineStr">
        <is>
          <t>Suite 431</t>
        </is>
      </c>
      <c r="L1374" s="1" t="inlineStr">
        <is>
          <t>PIN:14202 PARKERLAND</t>
        </is>
      </c>
      <c r="M1374" s="2" t="inlineStr">
        <is>
          <t>MHA/IND/01379</t>
        </is>
      </c>
      <c r="N1374" s="30" t="n">
        <v>46087</v>
      </c>
    </row>
    <row r="1375">
      <c r="A1375" s="28" t="n">
        <v>1374</v>
      </c>
      <c r="B1375" s="1" t="inlineStr">
        <is>
          <t>LORI HAYES</t>
        </is>
      </c>
      <c r="C1375" s="30" t="n">
        <v>45982</v>
      </c>
      <c r="D1375" s="1" t="inlineStr">
        <is>
          <t>JAMESMOUTH</t>
        </is>
      </c>
      <c r="E1375" s="12" t="inlineStr">
        <is>
          <t>IND/MEL/01374</t>
        </is>
      </c>
      <c r="F1375" s="1" t="inlineStr">
        <is>
          <t>M</t>
        </is>
      </c>
      <c r="G1375" s="1" t="inlineStr">
        <is>
          <t>Roberto Arnold</t>
        </is>
      </c>
      <c r="H1375" s="1" t="inlineStr">
        <is>
          <t>Alison Ritter</t>
        </is>
      </c>
      <c r="I1375" s="30" t="n">
        <v>46065</v>
      </c>
      <c r="J1375" s="1" t="inlineStr">
        <is>
          <t>1690 Bruce Oval</t>
        </is>
      </c>
      <c r="K1375" s="1" t="inlineStr">
        <is>
          <t>Suite 748</t>
        </is>
      </c>
      <c r="L1375" s="1" t="inlineStr">
        <is>
          <t>PIN:61450 CAMPBELLSIDE</t>
        </is>
      </c>
      <c r="M1375" s="2" t="inlineStr">
        <is>
          <t>MHA/IND/01380</t>
        </is>
      </c>
      <c r="N1375" s="30" t="n">
        <v>46095</v>
      </c>
    </row>
    <row r="1376">
      <c r="A1376" s="28" t="n">
        <v>1375</v>
      </c>
      <c r="B1376" s="1" t="inlineStr">
        <is>
          <t>RACHEL GREEN</t>
        </is>
      </c>
      <c r="C1376" s="30" t="n">
        <v>45999</v>
      </c>
      <c r="D1376" s="1" t="inlineStr">
        <is>
          <t>KIMBERLYFORT</t>
        </is>
      </c>
      <c r="E1376" s="12" t="inlineStr">
        <is>
          <t>IND/MEL/01375</t>
        </is>
      </c>
      <c r="F1376" s="1" t="inlineStr">
        <is>
          <t>M</t>
        </is>
      </c>
      <c r="G1376" s="1" t="inlineStr">
        <is>
          <t>Christopher Barnes</t>
        </is>
      </c>
      <c r="H1376" s="1" t="inlineStr">
        <is>
          <t>Sherry English</t>
        </is>
      </c>
      <c r="I1376" s="30" t="n">
        <v>46065</v>
      </c>
      <c r="J1376" s="1" t="inlineStr">
        <is>
          <t>2057 Burton Fort</t>
        </is>
      </c>
      <c r="K1376" s="1" t="inlineStr">
        <is>
          <t>Suite 257</t>
        </is>
      </c>
      <c r="L1376" s="1" t="inlineStr">
        <is>
          <t>PIN:21199 PATRICKTON</t>
        </is>
      </c>
      <c r="M1376" s="2" t="inlineStr">
        <is>
          <t>MHA/IND/01381</t>
        </is>
      </c>
      <c r="N1376" s="30" t="n">
        <v>46094</v>
      </c>
    </row>
    <row r="1377">
      <c r="A1377" s="28" t="n">
        <v>1376</v>
      </c>
      <c r="B1377" s="1" t="inlineStr">
        <is>
          <t>JOSEPH CLARK</t>
        </is>
      </c>
      <c r="C1377" s="30" t="n">
        <v>45901</v>
      </c>
      <c r="D1377" s="1" t="inlineStr">
        <is>
          <t>NORTH RAYMOND</t>
        </is>
      </c>
      <c r="E1377" s="12" t="inlineStr">
        <is>
          <t>IND/MEL/01376</t>
        </is>
      </c>
      <c r="F1377" s="1" t="inlineStr">
        <is>
          <t>M</t>
        </is>
      </c>
      <c r="G1377" s="1" t="inlineStr">
        <is>
          <t>Travis Zamora</t>
        </is>
      </c>
      <c r="H1377" s="1" t="inlineStr">
        <is>
          <t>Brooke Brooks</t>
        </is>
      </c>
      <c r="I1377" s="30" t="n">
        <v>46065</v>
      </c>
      <c r="J1377" s="1" t="inlineStr">
        <is>
          <t>13520 Jessica Pine</t>
        </is>
      </c>
      <c r="K1377" s="1" t="inlineStr">
        <is>
          <t>Suite 912</t>
        </is>
      </c>
      <c r="L1377" s="1" t="inlineStr">
        <is>
          <t>PIN:70765 CARLAFORT</t>
        </is>
      </c>
      <c r="M1377" s="2" t="inlineStr">
        <is>
          <t>MHA/IND/01382</t>
        </is>
      </c>
      <c r="N1377" s="30" t="n">
        <v>46080</v>
      </c>
    </row>
    <row r="1378">
      <c r="A1378" s="28" t="n">
        <v>1377</v>
      </c>
      <c r="B1378" s="1" t="inlineStr">
        <is>
          <t>SUE HANNA</t>
        </is>
      </c>
      <c r="C1378" s="30" t="n">
        <v>45987</v>
      </c>
      <c r="D1378" s="1" t="inlineStr">
        <is>
          <t>PORT KIMBERLYBERG</t>
        </is>
      </c>
      <c r="E1378" s="12" t="inlineStr">
        <is>
          <t>IND/MEL/01377</t>
        </is>
      </c>
      <c r="F1378" s="1" t="inlineStr">
        <is>
          <t>F</t>
        </is>
      </c>
      <c r="G1378" s="1" t="inlineStr">
        <is>
          <t>William Butler</t>
        </is>
      </c>
      <c r="H1378" s="1" t="inlineStr">
        <is>
          <t>Brittany Bell</t>
        </is>
      </c>
      <c r="I1378" s="30" t="n">
        <v>46065</v>
      </c>
      <c r="J1378" s="1" t="inlineStr">
        <is>
          <t>69888 Rosario Highway</t>
        </is>
      </c>
      <c r="K1378" s="1" t="inlineStr">
        <is>
          <t>Apt. 168</t>
        </is>
      </c>
      <c r="L1378" s="1" t="inlineStr">
        <is>
          <t>PIN:42405 HARRISFURT</t>
        </is>
      </c>
      <c r="M1378" s="2" t="inlineStr">
        <is>
          <t>MHA/IND/01383</t>
        </is>
      </c>
      <c r="N1378" s="30" t="n">
        <v>46081</v>
      </c>
    </row>
    <row r="1379">
      <c r="A1379" s="28" t="n">
        <v>1378</v>
      </c>
      <c r="B1379" s="1" t="inlineStr">
        <is>
          <t>ROBERT LEWIS</t>
        </is>
      </c>
      <c r="C1379" s="30" t="n">
        <v>45898</v>
      </c>
      <c r="D1379" s="1" t="inlineStr">
        <is>
          <t>LAKE KRISTOPHER</t>
        </is>
      </c>
      <c r="E1379" s="12" t="inlineStr">
        <is>
          <t>IND/MEL/01378</t>
        </is>
      </c>
      <c r="F1379" s="1" t="inlineStr">
        <is>
          <t>F</t>
        </is>
      </c>
      <c r="G1379" s="1" t="inlineStr">
        <is>
          <t>Randall Baker</t>
        </is>
      </c>
      <c r="H1379" s="1" t="inlineStr">
        <is>
          <t>Emily Donaldson</t>
        </is>
      </c>
      <c r="I1379" s="30" t="n">
        <v>46065</v>
      </c>
      <c r="J1379" s="1" t="inlineStr">
        <is>
          <t>517 Simmons Harbors</t>
        </is>
      </c>
      <c r="K1379" s="1" t="inlineStr">
        <is>
          <t>Apt. 076</t>
        </is>
      </c>
      <c r="L1379" s="1" t="inlineStr">
        <is>
          <t>PIN:14857 EAST LORIFORT</t>
        </is>
      </c>
      <c r="M1379" s="2" t="inlineStr">
        <is>
          <t>MHA/IND/01384</t>
        </is>
      </c>
      <c r="N1379" s="30" t="n">
        <v>46091</v>
      </c>
    </row>
    <row r="1380">
      <c r="A1380" s="28" t="n">
        <v>1379</v>
      </c>
      <c r="B1380" s="1" t="inlineStr">
        <is>
          <t>JOHN VASQUEZ</t>
        </is>
      </c>
      <c r="C1380" s="30" t="n">
        <v>45798</v>
      </c>
      <c r="D1380" s="1" t="inlineStr">
        <is>
          <t>MAXWELLSTAD</t>
        </is>
      </c>
      <c r="E1380" s="12" t="inlineStr">
        <is>
          <t>IND/MEL/01379</t>
        </is>
      </c>
      <c r="F1380" s="1" t="inlineStr">
        <is>
          <t>M</t>
        </is>
      </c>
      <c r="G1380" s="1" t="inlineStr">
        <is>
          <t>Trevor Robinson</t>
        </is>
      </c>
      <c r="H1380" s="1" t="inlineStr">
        <is>
          <t>Melissa Wood</t>
        </is>
      </c>
      <c r="I1380" s="30" t="n">
        <v>46065</v>
      </c>
      <c r="J1380" s="1" t="inlineStr">
        <is>
          <t>4497 Kevin Canyon Suite 171</t>
        </is>
      </c>
      <c r="K1380" s="1" t="inlineStr">
        <is>
          <t>Suite 933</t>
        </is>
      </c>
      <c r="L1380" s="1" t="inlineStr">
        <is>
          <t>PIN:21028 MARTINEZVILLE</t>
        </is>
      </c>
      <c r="M1380" s="2" t="inlineStr">
        <is>
          <t>MHA/IND/01385</t>
        </is>
      </c>
      <c r="N1380" s="30" t="n">
        <v>46068</v>
      </c>
    </row>
    <row r="1381">
      <c r="A1381" s="28" t="n">
        <v>1380</v>
      </c>
      <c r="B1381" s="1" t="inlineStr">
        <is>
          <t>STEVEN WILLIS</t>
        </is>
      </c>
      <c r="C1381" s="30" t="n">
        <v>45827</v>
      </c>
      <c r="D1381" s="1" t="inlineStr">
        <is>
          <t>PORT CHRISTOPHER</t>
        </is>
      </c>
      <c r="E1381" s="12" t="inlineStr">
        <is>
          <t>IND/MEL/01380</t>
        </is>
      </c>
      <c r="F1381" s="1" t="inlineStr">
        <is>
          <t>F</t>
        </is>
      </c>
      <c r="G1381" s="1" t="inlineStr">
        <is>
          <t>Mr. Richard Crawford</t>
        </is>
      </c>
      <c r="H1381" s="1" t="inlineStr">
        <is>
          <t>Laura Warner</t>
        </is>
      </c>
      <c r="I1381" s="30" t="n">
        <v>46065</v>
      </c>
      <c r="J1381" s="1" t="inlineStr">
        <is>
          <t>00443 Linda Ford Suite 596</t>
        </is>
      </c>
      <c r="K1381" s="1" t="inlineStr">
        <is>
          <t>Suite 057</t>
        </is>
      </c>
      <c r="L1381" s="1" t="inlineStr">
        <is>
          <t>PIN:96607 ESPINOZASHIRE</t>
        </is>
      </c>
      <c r="M1381" s="2" t="inlineStr">
        <is>
          <t>MHA/IND/01386</t>
        </is>
      </c>
      <c r="N1381" s="30" t="n">
        <v>46073</v>
      </c>
    </row>
    <row r="1382">
      <c r="A1382" s="28" t="n">
        <v>1381</v>
      </c>
      <c r="B1382" s="1" t="inlineStr">
        <is>
          <t>DANIEL CASTRO</t>
        </is>
      </c>
      <c r="C1382" s="30" t="n">
        <v>45716</v>
      </c>
      <c r="D1382" s="1" t="inlineStr">
        <is>
          <t>NEW WANDAFORT</t>
        </is>
      </c>
      <c r="E1382" s="12" t="inlineStr">
        <is>
          <t>IND/MEL/01381</t>
        </is>
      </c>
      <c r="F1382" s="1" t="inlineStr">
        <is>
          <t>M</t>
        </is>
      </c>
      <c r="G1382" s="1" t="inlineStr">
        <is>
          <t>Jeremy Bender</t>
        </is>
      </c>
      <c r="H1382" s="1" t="inlineStr">
        <is>
          <t>Kim Lopez</t>
        </is>
      </c>
      <c r="I1382" s="30" t="n">
        <v>46065</v>
      </c>
      <c r="J1382" s="1" t="inlineStr">
        <is>
          <t>06440 Mcbride Lock</t>
        </is>
      </c>
      <c r="K1382" s="1" t="inlineStr">
        <is>
          <t>Apt. 048</t>
        </is>
      </c>
      <c r="L1382" s="1" t="inlineStr">
        <is>
          <t>PIN:49870 LEEMOUTH</t>
        </is>
      </c>
      <c r="M1382" s="2" t="inlineStr">
        <is>
          <t>MHA/IND/01387</t>
        </is>
      </c>
      <c r="N1382" s="30" t="n">
        <v>46082</v>
      </c>
    </row>
    <row r="1383">
      <c r="A1383" s="28" t="n">
        <v>1382</v>
      </c>
      <c r="B1383" s="1" t="inlineStr">
        <is>
          <t>BLAKE NUNEZ</t>
        </is>
      </c>
      <c r="C1383" s="30" t="n">
        <v>45851</v>
      </c>
      <c r="D1383" s="1" t="inlineStr">
        <is>
          <t>COLLINSHIRE</t>
        </is>
      </c>
      <c r="E1383" s="12" t="inlineStr">
        <is>
          <t>IND/MEL/01382</t>
        </is>
      </c>
      <c r="F1383" s="1" t="inlineStr">
        <is>
          <t>F</t>
        </is>
      </c>
      <c r="G1383" s="1" t="inlineStr">
        <is>
          <t>Roger Benton</t>
        </is>
      </c>
      <c r="H1383" s="1" t="inlineStr">
        <is>
          <t>Jennifer Hebert</t>
        </is>
      </c>
      <c r="I1383" s="30" t="n">
        <v>46065</v>
      </c>
      <c r="J1383" s="1" t="inlineStr">
        <is>
          <t>13180 Harris Shoal Suite 136</t>
        </is>
      </c>
      <c r="K1383" s="1" t="inlineStr">
        <is>
          <t>Apt. 685</t>
        </is>
      </c>
      <c r="L1383" s="1" t="inlineStr">
        <is>
          <t>PIN:78824 SETHFURT</t>
        </is>
      </c>
      <c r="M1383" s="2" t="inlineStr">
        <is>
          <t>MHA/IND/01388</t>
        </is>
      </c>
      <c r="N1383" s="30" t="n">
        <v>46082</v>
      </c>
    </row>
    <row r="1384">
      <c r="A1384" s="28" t="n">
        <v>1383</v>
      </c>
      <c r="B1384" s="1" t="inlineStr">
        <is>
          <t>APRIL JORDAN</t>
        </is>
      </c>
      <c r="C1384" s="30" t="n">
        <v>45906</v>
      </c>
      <c r="D1384" s="1" t="inlineStr">
        <is>
          <t>KIMBERLYMOUTH</t>
        </is>
      </c>
      <c r="E1384" s="12" t="inlineStr">
        <is>
          <t>IND/MEL/01383</t>
        </is>
      </c>
      <c r="F1384" s="1" t="inlineStr">
        <is>
          <t>F</t>
        </is>
      </c>
      <c r="G1384" s="1" t="inlineStr">
        <is>
          <t>Michael Smith</t>
        </is>
      </c>
      <c r="H1384" s="1" t="inlineStr">
        <is>
          <t>Alexandra Moore</t>
        </is>
      </c>
      <c r="I1384" s="30" t="n">
        <v>46065</v>
      </c>
      <c r="J1384" s="1" t="inlineStr">
        <is>
          <t>8788 Cynthia Cliffs</t>
        </is>
      </c>
      <c r="K1384" s="1" t="inlineStr">
        <is>
          <t>Apt. 588</t>
        </is>
      </c>
      <c r="L1384" s="1" t="inlineStr">
        <is>
          <t>PIN:21019 JUANBERG</t>
        </is>
      </c>
      <c r="M1384" s="2" t="inlineStr">
        <is>
          <t>MHA/IND/01389</t>
        </is>
      </c>
      <c r="N1384" s="30" t="n">
        <v>46095</v>
      </c>
    </row>
    <row r="1385">
      <c r="A1385" s="28" t="n">
        <v>1384</v>
      </c>
      <c r="B1385" s="1" t="inlineStr">
        <is>
          <t>ASHLEY THOMPSON</t>
        </is>
      </c>
      <c r="C1385" s="30" t="n">
        <v>45874</v>
      </c>
      <c r="D1385" s="1" t="inlineStr">
        <is>
          <t>MARTINEZBURGH</t>
        </is>
      </c>
      <c r="E1385" s="12" t="inlineStr">
        <is>
          <t>IND/MEL/01384</t>
        </is>
      </c>
      <c r="F1385" s="1" t="inlineStr">
        <is>
          <t>M</t>
        </is>
      </c>
      <c r="G1385" s="1" t="inlineStr">
        <is>
          <t>Steve Garza</t>
        </is>
      </c>
      <c r="H1385" s="1" t="inlineStr">
        <is>
          <t>Mary Barton</t>
        </is>
      </c>
      <c r="I1385" s="30" t="n">
        <v>46065</v>
      </c>
      <c r="J1385" s="1" t="inlineStr">
        <is>
          <t>1270 Scott Flat</t>
        </is>
      </c>
      <c r="K1385" s="1" t="inlineStr">
        <is>
          <t>Suite 768</t>
        </is>
      </c>
      <c r="L1385" s="1" t="inlineStr">
        <is>
          <t>PIN:59811 WILLIAMBERG</t>
        </is>
      </c>
      <c r="M1385" s="2" t="inlineStr">
        <is>
          <t>MHA/IND/01390</t>
        </is>
      </c>
      <c r="N1385" s="30" t="n">
        <v>46079</v>
      </c>
    </row>
    <row r="1386">
      <c r="A1386" s="28" t="n">
        <v>1385</v>
      </c>
      <c r="B1386" s="1" t="inlineStr">
        <is>
          <t>WILLIAM HALEY</t>
        </is>
      </c>
      <c r="C1386" s="30" t="n">
        <v>45770</v>
      </c>
      <c r="D1386" s="1" t="inlineStr">
        <is>
          <t>CRUZBURGH</t>
        </is>
      </c>
      <c r="E1386" s="12" t="inlineStr">
        <is>
          <t>IND/MEL/01385</t>
        </is>
      </c>
      <c r="F1386" s="1" t="inlineStr">
        <is>
          <t>M</t>
        </is>
      </c>
      <c r="G1386" s="1" t="inlineStr">
        <is>
          <t>Dr. Edwin Nelson</t>
        </is>
      </c>
      <c r="H1386" s="1" t="inlineStr">
        <is>
          <t>Danielle Mckinney</t>
        </is>
      </c>
      <c r="I1386" s="30" t="n">
        <v>46065</v>
      </c>
      <c r="J1386" s="1" t="inlineStr">
        <is>
          <t>5940 Smith Pine Suite 674</t>
        </is>
      </c>
      <c r="K1386" s="1" t="inlineStr">
        <is>
          <t>Apt. 938</t>
        </is>
      </c>
      <c r="L1386" s="1" t="inlineStr">
        <is>
          <t>PIN:77594 EMILYSIDE</t>
        </is>
      </c>
      <c r="M1386" s="2" t="inlineStr">
        <is>
          <t>MHA/IND/01391</t>
        </is>
      </c>
      <c r="N1386" s="30" t="n">
        <v>46072</v>
      </c>
    </row>
    <row r="1387">
      <c r="A1387" s="28" t="n">
        <v>1386</v>
      </c>
      <c r="B1387" s="1" t="inlineStr">
        <is>
          <t>SARAH WALKER</t>
        </is>
      </c>
      <c r="C1387" s="30" t="n">
        <v>45759</v>
      </c>
      <c r="D1387" s="1" t="inlineStr">
        <is>
          <t>ELIZABETHVIEW</t>
        </is>
      </c>
      <c r="E1387" s="12" t="inlineStr">
        <is>
          <t>IND/MEL/01386</t>
        </is>
      </c>
      <c r="F1387" s="1" t="inlineStr">
        <is>
          <t>F</t>
        </is>
      </c>
      <c r="G1387" s="1" t="inlineStr">
        <is>
          <t>Steven Brown</t>
        </is>
      </c>
      <c r="H1387" s="1" t="inlineStr">
        <is>
          <t>Brenda Young</t>
        </is>
      </c>
      <c r="I1387" s="30" t="n">
        <v>46065</v>
      </c>
      <c r="J1387" s="1" t="inlineStr">
        <is>
          <t>311 Wallace Squares</t>
        </is>
      </c>
      <c r="K1387" s="1" t="inlineStr">
        <is>
          <t>Suite 267</t>
        </is>
      </c>
      <c r="L1387" s="1" t="inlineStr">
        <is>
          <t>PIN:77877 NORTH RYANBURY</t>
        </is>
      </c>
      <c r="M1387" s="2" t="inlineStr">
        <is>
          <t>MHA/IND/01392</t>
        </is>
      </c>
      <c r="N1387" s="30" t="n">
        <v>46069</v>
      </c>
    </row>
    <row r="1388">
      <c r="A1388" s="28" t="n">
        <v>1387</v>
      </c>
      <c r="B1388" s="1" t="inlineStr">
        <is>
          <t>MATTHEW GREEN</t>
        </is>
      </c>
      <c r="C1388" s="30" t="n">
        <v>46023</v>
      </c>
      <c r="D1388" s="1" t="inlineStr">
        <is>
          <t>WILLIAMPORT</t>
        </is>
      </c>
      <c r="E1388" s="12" t="inlineStr">
        <is>
          <t>IND/MEL/01387</t>
        </is>
      </c>
      <c r="F1388" s="1" t="inlineStr">
        <is>
          <t>M</t>
        </is>
      </c>
      <c r="G1388" s="1" t="inlineStr">
        <is>
          <t>Robert Bennett</t>
        </is>
      </c>
      <c r="H1388" s="1" t="inlineStr">
        <is>
          <t>Katie Garza</t>
        </is>
      </c>
      <c r="I1388" s="30" t="n">
        <v>46065</v>
      </c>
      <c r="J1388" s="1" t="inlineStr">
        <is>
          <t>95211 Michael Village Suite 791</t>
        </is>
      </c>
      <c r="K1388" s="1" t="inlineStr">
        <is>
          <t>Apt. 623</t>
        </is>
      </c>
      <c r="L1388" s="1" t="inlineStr">
        <is>
          <t>PIN:71701 RHONDATON</t>
        </is>
      </c>
      <c r="M1388" s="2" t="inlineStr">
        <is>
          <t>MHA/IND/01393</t>
        </is>
      </c>
      <c r="N1388" s="30" t="n">
        <v>46093</v>
      </c>
    </row>
    <row r="1389">
      <c r="A1389" s="28" t="n">
        <v>1388</v>
      </c>
      <c r="B1389" s="1" t="inlineStr">
        <is>
          <t>DAWN WILSON</t>
        </is>
      </c>
      <c r="C1389" s="30" t="n">
        <v>45857</v>
      </c>
      <c r="D1389" s="1" t="inlineStr">
        <is>
          <t>SOUTH DANA</t>
        </is>
      </c>
      <c r="E1389" s="12" t="inlineStr">
        <is>
          <t>IND/MEL/01388</t>
        </is>
      </c>
      <c r="F1389" s="1" t="inlineStr">
        <is>
          <t>F</t>
        </is>
      </c>
      <c r="G1389" s="1" t="inlineStr">
        <is>
          <t>Thomas Guerra</t>
        </is>
      </c>
      <c r="H1389" s="1" t="inlineStr">
        <is>
          <t>Melissa Floyd</t>
        </is>
      </c>
      <c r="I1389" s="30" t="n">
        <v>46065</v>
      </c>
      <c r="J1389" s="1" t="inlineStr">
        <is>
          <t>5864 Welch Stream</t>
        </is>
      </c>
      <c r="K1389" s="1" t="inlineStr">
        <is>
          <t>Apt. 568</t>
        </is>
      </c>
      <c r="L1389" s="1" t="inlineStr">
        <is>
          <t>PIN:91521 NEW AARON</t>
        </is>
      </c>
      <c r="M1389" s="2" t="inlineStr">
        <is>
          <t>MHA/IND/01394</t>
        </is>
      </c>
      <c r="N1389" s="30" t="n">
        <v>46082</v>
      </c>
    </row>
    <row r="1390">
      <c r="A1390" s="28" t="n">
        <v>1389</v>
      </c>
      <c r="B1390" s="1" t="inlineStr">
        <is>
          <t>TERESA SCOTT</t>
        </is>
      </c>
      <c r="C1390" s="30" t="n">
        <v>45745</v>
      </c>
      <c r="D1390" s="1" t="inlineStr">
        <is>
          <t>MORGANFURT</t>
        </is>
      </c>
      <c r="E1390" s="12" t="inlineStr">
        <is>
          <t>IND/MEL/01389</t>
        </is>
      </c>
      <c r="F1390" s="1" t="inlineStr">
        <is>
          <t>M</t>
        </is>
      </c>
      <c r="G1390" s="1" t="inlineStr">
        <is>
          <t>Walter Lucas</t>
        </is>
      </c>
      <c r="H1390" s="1" t="inlineStr">
        <is>
          <t>Nicole Wright</t>
        </is>
      </c>
      <c r="I1390" s="30" t="n">
        <v>46065</v>
      </c>
      <c r="J1390" s="1" t="inlineStr">
        <is>
          <t>72941 Margaret Shores Suite 387</t>
        </is>
      </c>
      <c r="K1390" s="1" t="inlineStr">
        <is>
          <t>Suite 682</t>
        </is>
      </c>
      <c r="L1390" s="1" t="inlineStr">
        <is>
          <t>PIN:58335 EMILYFORT</t>
        </is>
      </c>
      <c r="M1390" s="2" t="inlineStr">
        <is>
          <t>MHA/IND/01395</t>
        </is>
      </c>
      <c r="N1390" s="30" t="n">
        <v>46084</v>
      </c>
    </row>
    <row r="1391">
      <c r="A1391" s="28" t="n">
        <v>1390</v>
      </c>
      <c r="B1391" s="1" t="inlineStr">
        <is>
          <t>CAMERON CAIN</t>
        </is>
      </c>
      <c r="C1391" s="30" t="n">
        <v>46050</v>
      </c>
      <c r="D1391" s="1" t="inlineStr">
        <is>
          <t>PORTERHAVEN</t>
        </is>
      </c>
      <c r="E1391" s="12" t="inlineStr">
        <is>
          <t>IND/MEL/01390</t>
        </is>
      </c>
      <c r="F1391" s="1" t="inlineStr">
        <is>
          <t>M</t>
        </is>
      </c>
      <c r="G1391" s="1" t="inlineStr">
        <is>
          <t>Craig Callahan</t>
        </is>
      </c>
      <c r="H1391" s="1" t="inlineStr">
        <is>
          <t>Jacqueline Roberts</t>
        </is>
      </c>
      <c r="I1391" s="30" t="n">
        <v>46065</v>
      </c>
      <c r="J1391" s="1" t="inlineStr">
        <is>
          <t>7569 Rose Stravenue Apt. 492</t>
        </is>
      </c>
      <c r="K1391" s="1" t="inlineStr">
        <is>
          <t>Apt. 613</t>
        </is>
      </c>
      <c r="L1391" s="1" t="inlineStr">
        <is>
          <t>PIN:27783 NEW BRIANNA</t>
        </is>
      </c>
      <c r="M1391" s="2" t="inlineStr">
        <is>
          <t>MHA/IND/01396</t>
        </is>
      </c>
      <c r="N1391" s="30" t="n">
        <v>46072</v>
      </c>
    </row>
    <row r="1392">
      <c r="A1392" s="28" t="n">
        <v>1391</v>
      </c>
      <c r="B1392" s="1" t="inlineStr">
        <is>
          <t>PETER CARTER</t>
        </is>
      </c>
      <c r="C1392" s="30" t="n">
        <v>45768</v>
      </c>
      <c r="D1392" s="1" t="inlineStr">
        <is>
          <t>ROBERTTOWN</t>
        </is>
      </c>
      <c r="E1392" s="12" t="inlineStr">
        <is>
          <t>IND/MEL/01391</t>
        </is>
      </c>
      <c r="F1392" s="1" t="inlineStr">
        <is>
          <t>F</t>
        </is>
      </c>
      <c r="G1392" s="1" t="inlineStr">
        <is>
          <t>Joshua Jackson</t>
        </is>
      </c>
      <c r="H1392" s="1" t="inlineStr">
        <is>
          <t>Michele Gross</t>
        </is>
      </c>
      <c r="I1392" s="30" t="n">
        <v>46065</v>
      </c>
      <c r="J1392" s="1" t="inlineStr">
        <is>
          <t>604 Harvey Union</t>
        </is>
      </c>
      <c r="K1392" s="1" t="inlineStr">
        <is>
          <t>Apt. 507</t>
        </is>
      </c>
      <c r="L1392" s="1" t="inlineStr">
        <is>
          <t>PIN:01411 EAST JEREMYFORT</t>
        </is>
      </c>
      <c r="M1392" s="2" t="inlineStr">
        <is>
          <t>MHA/IND/01397</t>
        </is>
      </c>
      <c r="N1392" s="30" t="n">
        <v>46082</v>
      </c>
    </row>
    <row r="1393">
      <c r="A1393" s="28" t="n">
        <v>1392</v>
      </c>
      <c r="B1393" s="1" t="inlineStr">
        <is>
          <t>STEFANIE ZIMMERMAN</t>
        </is>
      </c>
      <c r="C1393" s="30" t="n">
        <v>45828</v>
      </c>
      <c r="D1393" s="1" t="inlineStr">
        <is>
          <t>COLETON</t>
        </is>
      </c>
      <c r="E1393" s="12" t="inlineStr">
        <is>
          <t>IND/MEL/01392</t>
        </is>
      </c>
      <c r="F1393" s="1" t="inlineStr">
        <is>
          <t>F</t>
        </is>
      </c>
      <c r="G1393" s="1" t="inlineStr">
        <is>
          <t>Shane Archer</t>
        </is>
      </c>
      <c r="H1393" s="1" t="inlineStr">
        <is>
          <t>Rachel Cervantes</t>
        </is>
      </c>
      <c r="I1393" s="30" t="n">
        <v>46065</v>
      </c>
      <c r="J1393" s="1" t="inlineStr">
        <is>
          <t>4572 Kevin Crossroad</t>
        </is>
      </c>
      <c r="K1393" s="1" t="inlineStr">
        <is>
          <t>Suite 812</t>
        </is>
      </c>
      <c r="L1393" s="1" t="inlineStr">
        <is>
          <t>PIN:91015 BONDSTAD</t>
        </is>
      </c>
      <c r="M1393" s="2" t="inlineStr">
        <is>
          <t>MHA/IND/01398</t>
        </is>
      </c>
      <c r="N1393" s="30" t="n">
        <v>46085</v>
      </c>
    </row>
    <row r="1394">
      <c r="A1394" s="28" t="n">
        <v>1393</v>
      </c>
      <c r="B1394" s="1" t="inlineStr">
        <is>
          <t>LEONARD JONES</t>
        </is>
      </c>
      <c r="C1394" s="30" t="n">
        <v>45836</v>
      </c>
      <c r="D1394" s="1" t="inlineStr">
        <is>
          <t>JENNIFERMOUTH</t>
        </is>
      </c>
      <c r="E1394" s="12" t="inlineStr">
        <is>
          <t>IND/MEL/01393</t>
        </is>
      </c>
      <c r="F1394" s="1" t="inlineStr">
        <is>
          <t>M</t>
        </is>
      </c>
      <c r="G1394" s="1" t="inlineStr">
        <is>
          <t>Charles Thompson</t>
        </is>
      </c>
      <c r="H1394" s="1" t="inlineStr">
        <is>
          <t>Barbara Moore</t>
        </is>
      </c>
      <c r="I1394" s="30" t="n">
        <v>46065</v>
      </c>
      <c r="J1394" s="1" t="inlineStr">
        <is>
          <t>8764 Johnson Summit</t>
        </is>
      </c>
      <c r="K1394" s="1" t="inlineStr">
        <is>
          <t>Apt. 320</t>
        </is>
      </c>
      <c r="L1394" s="1" t="inlineStr">
        <is>
          <t>PIN:47722 PORT ANDRE</t>
        </is>
      </c>
      <c r="M1394" s="2" t="inlineStr">
        <is>
          <t>MHA/IND/01399</t>
        </is>
      </c>
      <c r="N1394" s="30" t="n">
        <v>46094</v>
      </c>
    </row>
    <row r="1395">
      <c r="A1395" s="28" t="n">
        <v>1394</v>
      </c>
      <c r="B1395" s="1" t="inlineStr">
        <is>
          <t>DEBORAH MORALES</t>
        </is>
      </c>
      <c r="C1395" s="30" t="n">
        <v>45804</v>
      </c>
      <c r="D1395" s="1" t="inlineStr">
        <is>
          <t>NEW HANNAHFORT</t>
        </is>
      </c>
      <c r="E1395" s="12" t="inlineStr">
        <is>
          <t>IND/MEL/01394</t>
        </is>
      </c>
      <c r="F1395" s="1" t="inlineStr">
        <is>
          <t>F</t>
        </is>
      </c>
      <c r="G1395" s="1" t="inlineStr">
        <is>
          <t>Andrew Hamilton</t>
        </is>
      </c>
      <c r="H1395" s="1" t="inlineStr">
        <is>
          <t>Kaylee Caldwell</t>
        </is>
      </c>
      <c r="I1395" s="30" t="n">
        <v>46065</v>
      </c>
      <c r="J1395" s="1" t="inlineStr">
        <is>
          <t>64832 Christopher Vista</t>
        </is>
      </c>
      <c r="K1395" s="1" t="inlineStr">
        <is>
          <t>Apt. 252</t>
        </is>
      </c>
      <c r="L1395" s="1" t="inlineStr">
        <is>
          <t>PIN:48509 NORTH MARISSA</t>
        </is>
      </c>
      <c r="M1395" s="2" t="inlineStr">
        <is>
          <t>MHA/IND/01400</t>
        </is>
      </c>
      <c r="N1395" s="30" t="n">
        <v>46089</v>
      </c>
    </row>
    <row r="1396">
      <c r="A1396" s="28" t="n">
        <v>1395</v>
      </c>
      <c r="B1396" s="1" t="inlineStr">
        <is>
          <t>KENNETH VILLA</t>
        </is>
      </c>
      <c r="C1396" s="30" t="n">
        <v>45831</v>
      </c>
      <c r="D1396" s="1" t="inlineStr">
        <is>
          <t>BAUERSTAD</t>
        </is>
      </c>
      <c r="E1396" s="12" t="inlineStr">
        <is>
          <t>IND/MEL/01395</t>
        </is>
      </c>
      <c r="F1396" s="1" t="inlineStr">
        <is>
          <t>F</t>
        </is>
      </c>
      <c r="G1396" s="1" t="inlineStr">
        <is>
          <t>Alec Terrell</t>
        </is>
      </c>
      <c r="H1396" s="1" t="inlineStr">
        <is>
          <t>Alexis Johnson</t>
        </is>
      </c>
      <c r="I1396" s="30" t="n">
        <v>46065</v>
      </c>
      <c r="J1396" s="1" t="inlineStr">
        <is>
          <t>429 David Plains</t>
        </is>
      </c>
      <c r="K1396" s="1" t="inlineStr">
        <is>
          <t>Suite 172</t>
        </is>
      </c>
      <c r="L1396" s="1" t="inlineStr">
        <is>
          <t>PIN:91581 NEW DAWNLAND</t>
        </is>
      </c>
      <c r="M1396" s="2" t="inlineStr">
        <is>
          <t>MHA/IND/01401</t>
        </is>
      </c>
      <c r="N1396" s="30" t="n">
        <v>46077</v>
      </c>
    </row>
    <row r="1397">
      <c r="A1397" s="28" t="n">
        <v>1396</v>
      </c>
      <c r="B1397" s="1" t="inlineStr">
        <is>
          <t>MICHAEL COLE</t>
        </is>
      </c>
      <c r="C1397" s="30" t="n">
        <v>46012</v>
      </c>
      <c r="D1397" s="1" t="inlineStr">
        <is>
          <t>NORTH CINDY</t>
        </is>
      </c>
      <c r="E1397" s="12" t="inlineStr">
        <is>
          <t>IND/MEL/01396</t>
        </is>
      </c>
      <c r="F1397" s="1" t="inlineStr">
        <is>
          <t>F</t>
        </is>
      </c>
      <c r="G1397" s="1" t="inlineStr">
        <is>
          <t>Andrew Cooper</t>
        </is>
      </c>
      <c r="H1397" s="1" t="inlineStr">
        <is>
          <t>Michelle Flynn</t>
        </is>
      </c>
      <c r="I1397" s="30" t="n">
        <v>46065</v>
      </c>
      <c r="J1397" s="1" t="inlineStr">
        <is>
          <t>17388 Christopher Meadows Apt. 967</t>
        </is>
      </c>
      <c r="K1397" s="1" t="inlineStr">
        <is>
          <t>Apt. 461</t>
        </is>
      </c>
      <c r="L1397" s="1" t="inlineStr">
        <is>
          <t>PIN:72323 EAST ANDREWTOWN</t>
        </is>
      </c>
      <c r="M1397" s="2" t="inlineStr">
        <is>
          <t>MHA/IND/01402</t>
        </is>
      </c>
      <c r="N1397" s="30" t="n">
        <v>46072</v>
      </c>
    </row>
    <row r="1398">
      <c r="A1398" s="28" t="n">
        <v>1397</v>
      </c>
      <c r="B1398" s="1" t="inlineStr">
        <is>
          <t>KIMBERLY RICHARDSON</t>
        </is>
      </c>
      <c r="C1398" s="30" t="n">
        <v>45851</v>
      </c>
      <c r="D1398" s="1" t="inlineStr">
        <is>
          <t>KEITHTOWN</t>
        </is>
      </c>
      <c r="E1398" s="12" t="inlineStr">
        <is>
          <t>IND/MEL/01397</t>
        </is>
      </c>
      <c r="F1398" s="1" t="inlineStr">
        <is>
          <t>M</t>
        </is>
      </c>
      <c r="G1398" s="1" t="inlineStr">
        <is>
          <t>Bruce Holt</t>
        </is>
      </c>
      <c r="H1398" s="1" t="inlineStr">
        <is>
          <t>Briana Leonard</t>
        </is>
      </c>
      <c r="I1398" s="30" t="n">
        <v>46065</v>
      </c>
      <c r="J1398" s="1" t="inlineStr">
        <is>
          <t>748 Kevin Village</t>
        </is>
      </c>
      <c r="K1398" s="1" t="inlineStr">
        <is>
          <t>Suite 540</t>
        </is>
      </c>
      <c r="L1398" s="1" t="inlineStr">
        <is>
          <t>PIN:08306 CHEYENNEFORT</t>
        </is>
      </c>
      <c r="M1398" s="2" t="inlineStr">
        <is>
          <t>MHA/IND/01403</t>
        </is>
      </c>
      <c r="N1398" s="30" t="n">
        <v>46079</v>
      </c>
    </row>
    <row r="1399">
      <c r="A1399" s="28" t="n">
        <v>1398</v>
      </c>
      <c r="B1399" s="1" t="inlineStr">
        <is>
          <t>CAROL WOLF</t>
        </is>
      </c>
      <c r="C1399" s="30" t="n">
        <v>45765</v>
      </c>
      <c r="D1399" s="1" t="inlineStr">
        <is>
          <t>KEITHCHESTER</t>
        </is>
      </c>
      <c r="E1399" s="12" t="inlineStr">
        <is>
          <t>IND/MEL/01398</t>
        </is>
      </c>
      <c r="F1399" s="1" t="inlineStr">
        <is>
          <t>F</t>
        </is>
      </c>
      <c r="G1399" s="1" t="inlineStr">
        <is>
          <t>Cameron Foster MD</t>
        </is>
      </c>
      <c r="H1399" s="1" t="inlineStr">
        <is>
          <t>Denise Navarro</t>
        </is>
      </c>
      <c r="I1399" s="30" t="n">
        <v>46065</v>
      </c>
      <c r="J1399" s="1" t="inlineStr">
        <is>
          <t>363 Tami Gateway</t>
        </is>
      </c>
      <c r="K1399" s="1" t="inlineStr">
        <is>
          <t>Apt. 885</t>
        </is>
      </c>
      <c r="L1399" s="1" t="inlineStr">
        <is>
          <t>PIN:44336 HERNANDEZMOUTH</t>
        </is>
      </c>
      <c r="M1399" s="2" t="inlineStr">
        <is>
          <t>MHA/IND/01404</t>
        </is>
      </c>
      <c r="N1399" s="30" t="n">
        <v>46071</v>
      </c>
    </row>
    <row r="1400">
      <c r="A1400" s="28" t="n">
        <v>1399</v>
      </c>
      <c r="B1400" s="1" t="inlineStr">
        <is>
          <t>MR. JONATHAN DAVIS</t>
        </is>
      </c>
      <c r="C1400" s="30" t="n">
        <v>45940</v>
      </c>
      <c r="D1400" s="1" t="inlineStr">
        <is>
          <t>MOLINABERG</t>
        </is>
      </c>
      <c r="E1400" s="12" t="inlineStr">
        <is>
          <t>IND/MEL/01399</t>
        </is>
      </c>
      <c r="F1400" s="1" t="inlineStr">
        <is>
          <t>M</t>
        </is>
      </c>
      <c r="G1400" s="1" t="inlineStr">
        <is>
          <t>Gregory Larson</t>
        </is>
      </c>
      <c r="H1400" s="1" t="inlineStr">
        <is>
          <t>Taylor Thompson</t>
        </is>
      </c>
      <c r="I1400" s="30" t="n">
        <v>46065</v>
      </c>
      <c r="J1400" s="1" t="inlineStr">
        <is>
          <t>15507 Stephanie Row Apt. 514</t>
        </is>
      </c>
      <c r="K1400" s="1" t="inlineStr">
        <is>
          <t>Apt. 090</t>
        </is>
      </c>
      <c r="L1400" s="1" t="inlineStr">
        <is>
          <t>PIN:40326 AMANDABOROUGH</t>
        </is>
      </c>
      <c r="M1400" s="2" t="inlineStr">
        <is>
          <t>MHA/IND/01405</t>
        </is>
      </c>
      <c r="N1400" s="30" t="n">
        <v>46094</v>
      </c>
    </row>
    <row r="1401">
      <c r="A1401" s="28" t="n">
        <v>1400</v>
      </c>
      <c r="B1401" s="1" t="inlineStr">
        <is>
          <t>CHEYENNE DIAZ</t>
        </is>
      </c>
      <c r="C1401" s="30" t="n">
        <v>45957</v>
      </c>
      <c r="D1401" s="1" t="inlineStr">
        <is>
          <t>ASHLEYFORT</t>
        </is>
      </c>
      <c r="E1401" s="12" t="inlineStr">
        <is>
          <t>IND/MEL/01400</t>
        </is>
      </c>
      <c r="F1401" s="1" t="inlineStr">
        <is>
          <t>F</t>
        </is>
      </c>
      <c r="G1401" s="1" t="inlineStr">
        <is>
          <t>Jeffrey Vasquez</t>
        </is>
      </c>
      <c r="H1401" s="1" t="inlineStr">
        <is>
          <t>Mary Wright</t>
        </is>
      </c>
      <c r="I1401" s="30" t="n">
        <v>46065</v>
      </c>
      <c r="J1401" s="1" t="inlineStr">
        <is>
          <t>69324 David Centers</t>
        </is>
      </c>
      <c r="K1401" s="1" t="inlineStr">
        <is>
          <t>Suite 999</t>
        </is>
      </c>
      <c r="L1401" s="1" t="inlineStr">
        <is>
          <t>PIN:68863 PORT STEPHENPORT</t>
        </is>
      </c>
      <c r="M1401" s="2" t="inlineStr">
        <is>
          <t>MHA/IND/01406</t>
        </is>
      </c>
      <c r="N1401" s="30" t="n">
        <v>46086</v>
      </c>
    </row>
    <row r="1402">
      <c r="A1402" s="28" t="n">
        <v>1401</v>
      </c>
      <c r="B1402" s="1" t="inlineStr">
        <is>
          <t>LISA SHELTON</t>
        </is>
      </c>
      <c r="C1402" s="30" t="n">
        <v>45736</v>
      </c>
      <c r="D1402" s="1" t="inlineStr">
        <is>
          <t>NEW JAMESMOUTH</t>
        </is>
      </c>
      <c r="E1402" s="12" t="inlineStr">
        <is>
          <t>IND/MEL/01401</t>
        </is>
      </c>
      <c r="F1402" s="1" t="inlineStr">
        <is>
          <t>M</t>
        </is>
      </c>
      <c r="G1402" s="1" t="inlineStr">
        <is>
          <t>Michael Munoz</t>
        </is>
      </c>
      <c r="H1402" s="1" t="inlineStr">
        <is>
          <t>Amy Thomas</t>
        </is>
      </c>
      <c r="I1402" s="30" t="n">
        <v>46065</v>
      </c>
      <c r="J1402" s="1" t="inlineStr">
        <is>
          <t>91633 Robinson Gardens Suite 745</t>
        </is>
      </c>
      <c r="K1402" s="1" t="inlineStr">
        <is>
          <t>Suite 471</t>
        </is>
      </c>
      <c r="L1402" s="1" t="inlineStr">
        <is>
          <t>PIN:63864 EAST ZACHARY</t>
        </is>
      </c>
      <c r="M1402" s="2" t="inlineStr">
        <is>
          <t>MHA/IND/01407</t>
        </is>
      </c>
      <c r="N1402" s="30" t="n">
        <v>46081</v>
      </c>
    </row>
    <row r="1403">
      <c r="A1403" s="28" t="n">
        <v>1402</v>
      </c>
      <c r="B1403" s="1" t="inlineStr">
        <is>
          <t>CARLY BRYANT</t>
        </is>
      </c>
      <c r="C1403" s="30" t="n">
        <v>45998</v>
      </c>
      <c r="D1403" s="1" t="inlineStr">
        <is>
          <t>JACKSONSIDE</t>
        </is>
      </c>
      <c r="E1403" s="12" t="inlineStr">
        <is>
          <t>IND/MEL/01402</t>
        </is>
      </c>
      <c r="F1403" s="1" t="inlineStr">
        <is>
          <t>F</t>
        </is>
      </c>
      <c r="G1403" s="1" t="inlineStr">
        <is>
          <t>Daniel Cox</t>
        </is>
      </c>
      <c r="H1403" s="1" t="inlineStr">
        <is>
          <t>Lisa Clark</t>
        </is>
      </c>
      <c r="I1403" s="30" t="n">
        <v>46065</v>
      </c>
      <c r="J1403" s="1" t="inlineStr">
        <is>
          <t>827 Nielsen Point Suite 401</t>
        </is>
      </c>
      <c r="K1403" s="1" t="inlineStr">
        <is>
          <t>Apt. 239</t>
        </is>
      </c>
      <c r="L1403" s="1" t="inlineStr">
        <is>
          <t>PIN:26740 ALEXANDRATOWN</t>
        </is>
      </c>
      <c r="M1403" s="2" t="inlineStr">
        <is>
          <t>MHA/IND/01408</t>
        </is>
      </c>
      <c r="N1403" s="30" t="n">
        <v>46070</v>
      </c>
    </row>
    <row r="1404">
      <c r="A1404" s="28" t="n">
        <v>1403</v>
      </c>
      <c r="B1404" s="1" t="inlineStr">
        <is>
          <t>BRADLEY PEREZ</t>
        </is>
      </c>
      <c r="C1404" s="30" t="n">
        <v>45737</v>
      </c>
      <c r="D1404" s="1" t="inlineStr">
        <is>
          <t>SOUTH ANNA</t>
        </is>
      </c>
      <c r="E1404" s="12" t="inlineStr">
        <is>
          <t>IND/MEL/01403</t>
        </is>
      </c>
      <c r="F1404" s="1" t="inlineStr">
        <is>
          <t>F</t>
        </is>
      </c>
      <c r="G1404" s="1" t="inlineStr">
        <is>
          <t>Fred Mora</t>
        </is>
      </c>
      <c r="H1404" s="1" t="inlineStr">
        <is>
          <t>Jessica Wood</t>
        </is>
      </c>
      <c r="I1404" s="30" t="n">
        <v>46065</v>
      </c>
      <c r="J1404" s="1" t="inlineStr">
        <is>
          <t>48018 Zamora Squares Apt. 333</t>
        </is>
      </c>
      <c r="K1404" s="1" t="inlineStr">
        <is>
          <t>Suite 139</t>
        </is>
      </c>
      <c r="L1404" s="1" t="inlineStr">
        <is>
          <t>PIN:55349 GARZALAND</t>
        </is>
      </c>
      <c r="M1404" s="2" t="inlineStr">
        <is>
          <t>MHA/IND/01409</t>
        </is>
      </c>
      <c r="N1404" s="30" t="n">
        <v>46093</v>
      </c>
    </row>
    <row r="1405">
      <c r="A1405" s="28" t="n">
        <v>1404</v>
      </c>
      <c r="B1405" s="1" t="inlineStr">
        <is>
          <t>MORGAN ROGERS</t>
        </is>
      </c>
      <c r="C1405" s="30" t="n">
        <v>45972</v>
      </c>
      <c r="D1405" s="1" t="inlineStr">
        <is>
          <t>LAKE AARON</t>
        </is>
      </c>
      <c r="E1405" s="12" t="inlineStr">
        <is>
          <t>IND/MEL/01404</t>
        </is>
      </c>
      <c r="F1405" s="1" t="inlineStr">
        <is>
          <t>M</t>
        </is>
      </c>
      <c r="G1405" s="1" t="inlineStr">
        <is>
          <t>Greg Cook</t>
        </is>
      </c>
      <c r="H1405" s="1" t="inlineStr">
        <is>
          <t>Lindsay Ray</t>
        </is>
      </c>
      <c r="I1405" s="30" t="n">
        <v>46065</v>
      </c>
      <c r="J1405" s="1" t="inlineStr">
        <is>
          <t>2938 Daniel Wall Apt. 006</t>
        </is>
      </c>
      <c r="K1405" s="1" t="inlineStr">
        <is>
          <t>Suite 300</t>
        </is>
      </c>
      <c r="L1405" s="1" t="inlineStr">
        <is>
          <t>PIN:76101 PORT ALBERTVILLE</t>
        </is>
      </c>
      <c r="M1405" s="2" t="inlineStr">
        <is>
          <t>MHA/IND/01410</t>
        </is>
      </c>
      <c r="N1405" s="30" t="n">
        <v>46075</v>
      </c>
    </row>
    <row r="1406">
      <c r="A1406" s="28" t="n">
        <v>1405</v>
      </c>
      <c r="B1406" s="1" t="inlineStr">
        <is>
          <t>STEPHEN NICHOLS</t>
        </is>
      </c>
      <c r="C1406" s="30" t="n">
        <v>45724</v>
      </c>
      <c r="D1406" s="1" t="inlineStr">
        <is>
          <t>NORTH NATALIESHIRE</t>
        </is>
      </c>
      <c r="E1406" s="12" t="inlineStr">
        <is>
          <t>IND/MEL/01405</t>
        </is>
      </c>
      <c r="F1406" s="1" t="inlineStr">
        <is>
          <t>M</t>
        </is>
      </c>
      <c r="G1406" s="1" t="inlineStr">
        <is>
          <t>Michael Hamilton</t>
        </is>
      </c>
      <c r="H1406" s="1" t="inlineStr">
        <is>
          <t>Dawn Floyd</t>
        </is>
      </c>
      <c r="I1406" s="30" t="n">
        <v>46065</v>
      </c>
      <c r="J1406" s="1" t="inlineStr">
        <is>
          <t>83106 John Mills</t>
        </is>
      </c>
      <c r="K1406" s="1" t="inlineStr">
        <is>
          <t>Apt. 520</t>
        </is>
      </c>
      <c r="L1406" s="1" t="inlineStr">
        <is>
          <t>PIN:92827 MITCHELLHAVEN</t>
        </is>
      </c>
      <c r="M1406" s="2" t="inlineStr">
        <is>
          <t>MHA/IND/01411</t>
        </is>
      </c>
      <c r="N1406" s="30" t="n">
        <v>46075</v>
      </c>
    </row>
    <row r="1407">
      <c r="A1407" s="28" t="n">
        <v>1406</v>
      </c>
      <c r="B1407" s="1" t="inlineStr">
        <is>
          <t>LAUREN RIVERA</t>
        </is>
      </c>
      <c r="C1407" s="30" t="n">
        <v>45775</v>
      </c>
      <c r="D1407" s="1" t="inlineStr">
        <is>
          <t>TERESASHIRE</t>
        </is>
      </c>
      <c r="E1407" s="12" t="inlineStr">
        <is>
          <t>IND/MEL/01406</t>
        </is>
      </c>
      <c r="F1407" s="1" t="inlineStr">
        <is>
          <t>M</t>
        </is>
      </c>
      <c r="G1407" s="1" t="inlineStr">
        <is>
          <t>Ryan Hunt</t>
        </is>
      </c>
      <c r="H1407" s="1" t="inlineStr">
        <is>
          <t>Christina Alvarez</t>
        </is>
      </c>
      <c r="I1407" s="30" t="n">
        <v>46065</v>
      </c>
      <c r="J1407" s="1" t="inlineStr">
        <is>
          <t>130 Rodriguez Crest Suite 863</t>
        </is>
      </c>
      <c r="K1407" s="1" t="inlineStr">
        <is>
          <t>Apt. 163</t>
        </is>
      </c>
      <c r="L1407" s="1" t="inlineStr">
        <is>
          <t>PIN:65494 LAKE PAULASHIRE</t>
        </is>
      </c>
      <c r="M1407" s="2" t="inlineStr">
        <is>
          <t>MHA/IND/01412</t>
        </is>
      </c>
      <c r="N1407" s="30" t="n">
        <v>46088</v>
      </c>
    </row>
    <row r="1408">
      <c r="A1408" s="28" t="n">
        <v>1407</v>
      </c>
      <c r="B1408" s="1" t="inlineStr">
        <is>
          <t>ROBERT CASTRO</t>
        </is>
      </c>
      <c r="C1408" s="30" t="n">
        <v>45875</v>
      </c>
      <c r="D1408" s="1" t="inlineStr">
        <is>
          <t>NORTH MICHAELFURT</t>
        </is>
      </c>
      <c r="E1408" s="12" t="inlineStr">
        <is>
          <t>IND/MEL/01407</t>
        </is>
      </c>
      <c r="F1408" s="1" t="inlineStr">
        <is>
          <t>M</t>
        </is>
      </c>
      <c r="G1408" s="1" t="inlineStr">
        <is>
          <t>Timothy Townsend</t>
        </is>
      </c>
      <c r="H1408" s="1" t="inlineStr">
        <is>
          <t>Amanda Ramirez</t>
        </is>
      </c>
      <c r="I1408" s="30" t="n">
        <v>46065</v>
      </c>
      <c r="J1408" s="1" t="inlineStr">
        <is>
          <t>53233 Ramsey Harbors</t>
        </is>
      </c>
      <c r="K1408" s="1" t="inlineStr">
        <is>
          <t>Suite 868</t>
        </is>
      </c>
      <c r="L1408" s="1" t="inlineStr">
        <is>
          <t>PIN:17422 LEWISMOUTH</t>
        </is>
      </c>
      <c r="M1408" s="2" t="inlineStr">
        <is>
          <t>MHA/IND/01413</t>
        </is>
      </c>
      <c r="N1408" s="30" t="n">
        <v>46083</v>
      </c>
    </row>
    <row r="1409">
      <c r="A1409" s="28" t="n">
        <v>1408</v>
      </c>
      <c r="B1409" s="1" t="inlineStr">
        <is>
          <t>ANNA WILLIAMS</t>
        </is>
      </c>
      <c r="C1409" s="30" t="n">
        <v>45726</v>
      </c>
      <c r="D1409" s="1" t="inlineStr">
        <is>
          <t>EAST JERRY</t>
        </is>
      </c>
      <c r="E1409" s="12" t="inlineStr">
        <is>
          <t>IND/MEL/01408</t>
        </is>
      </c>
      <c r="F1409" s="1" t="inlineStr">
        <is>
          <t>F</t>
        </is>
      </c>
      <c r="G1409" s="1" t="inlineStr">
        <is>
          <t>Joshua Flores</t>
        </is>
      </c>
      <c r="H1409" s="1" t="inlineStr">
        <is>
          <t>Monica Jefferson</t>
        </is>
      </c>
      <c r="I1409" s="30" t="n">
        <v>46065</v>
      </c>
      <c r="J1409" s="1" t="inlineStr">
        <is>
          <t>302 Shawn Spur Apt. 953</t>
        </is>
      </c>
      <c r="K1409" s="1" t="inlineStr">
        <is>
          <t>Suite 076</t>
        </is>
      </c>
      <c r="L1409" s="1" t="inlineStr">
        <is>
          <t>PIN:79061 SOUTH RYAN</t>
        </is>
      </c>
      <c r="M1409" s="2" t="inlineStr">
        <is>
          <t>MHA/IND/01414</t>
        </is>
      </c>
      <c r="N1409" s="30" t="n">
        <v>46089</v>
      </c>
    </row>
    <row r="1410">
      <c r="A1410" s="28" t="n">
        <v>1409</v>
      </c>
      <c r="B1410" s="1" t="inlineStr">
        <is>
          <t>CRYSTAL THOMAS</t>
        </is>
      </c>
      <c r="C1410" s="30" t="n">
        <v>45843</v>
      </c>
      <c r="D1410" s="1" t="inlineStr">
        <is>
          <t>NORTH SEANVIEW</t>
        </is>
      </c>
      <c r="E1410" s="12" t="inlineStr">
        <is>
          <t>IND/MEL/01409</t>
        </is>
      </c>
      <c r="F1410" s="1" t="inlineStr">
        <is>
          <t>F</t>
        </is>
      </c>
      <c r="G1410" s="1" t="inlineStr">
        <is>
          <t>James Richards</t>
        </is>
      </c>
      <c r="H1410" s="1" t="inlineStr">
        <is>
          <t>Margaret Spence</t>
        </is>
      </c>
      <c r="I1410" s="30" t="n">
        <v>46065</v>
      </c>
      <c r="J1410" s="1" t="inlineStr">
        <is>
          <t>0092 Wanda Circles Apt. 252</t>
        </is>
      </c>
      <c r="K1410" s="1" t="inlineStr">
        <is>
          <t>Suite 535</t>
        </is>
      </c>
      <c r="L1410" s="1" t="inlineStr">
        <is>
          <t>PIN:84323 LAKE JILLPORT</t>
        </is>
      </c>
      <c r="M1410" s="2" t="inlineStr">
        <is>
          <t>MHA/IND/01415</t>
        </is>
      </c>
      <c r="N1410" s="30" t="n">
        <v>46094</v>
      </c>
    </row>
    <row r="1411">
      <c r="A1411" s="28" t="n">
        <v>1410</v>
      </c>
      <c r="B1411" s="1" t="inlineStr">
        <is>
          <t>ANTHONY SCOTT</t>
        </is>
      </c>
      <c r="C1411" s="30" t="n">
        <v>45837</v>
      </c>
      <c r="D1411" s="1" t="inlineStr">
        <is>
          <t>YOUNGSTAD</t>
        </is>
      </c>
      <c r="E1411" s="12" t="inlineStr">
        <is>
          <t>IND/MEL/01410</t>
        </is>
      </c>
      <c r="F1411" s="1" t="inlineStr">
        <is>
          <t>F</t>
        </is>
      </c>
      <c r="G1411" s="1" t="inlineStr">
        <is>
          <t>Donald Johnson</t>
        </is>
      </c>
      <c r="H1411" s="1" t="inlineStr">
        <is>
          <t>Katherine Moore</t>
        </is>
      </c>
      <c r="I1411" s="30" t="n">
        <v>46065</v>
      </c>
      <c r="J1411" s="1" t="inlineStr">
        <is>
          <t>975 White Throughway</t>
        </is>
      </c>
      <c r="K1411" s="1" t="inlineStr">
        <is>
          <t>Apt. 585</t>
        </is>
      </c>
      <c r="L1411" s="1" t="inlineStr">
        <is>
          <t>PIN:16569 EAST JOSEPH</t>
        </is>
      </c>
      <c r="M1411" s="2" t="inlineStr">
        <is>
          <t>MHA/IND/01416</t>
        </is>
      </c>
      <c r="N1411" s="30" t="n">
        <v>46078</v>
      </c>
    </row>
    <row r="1412">
      <c r="A1412" s="28" t="n">
        <v>1411</v>
      </c>
      <c r="B1412" s="1" t="inlineStr">
        <is>
          <t>EDWARD HICKS</t>
        </is>
      </c>
      <c r="C1412" s="30" t="n">
        <v>45946</v>
      </c>
      <c r="D1412" s="1" t="inlineStr">
        <is>
          <t>JUANSIDE</t>
        </is>
      </c>
      <c r="E1412" s="12" t="inlineStr">
        <is>
          <t>IND/MEL/01411</t>
        </is>
      </c>
      <c r="F1412" s="1" t="inlineStr">
        <is>
          <t>M</t>
        </is>
      </c>
      <c r="G1412" s="1" t="inlineStr">
        <is>
          <t>Michael Walsh</t>
        </is>
      </c>
      <c r="H1412" s="1" t="inlineStr">
        <is>
          <t>Rebecca Bradley</t>
        </is>
      </c>
      <c r="I1412" s="30" t="n">
        <v>46065</v>
      </c>
      <c r="J1412" s="1" t="inlineStr">
        <is>
          <t>24621 Antonio Overpass</t>
        </is>
      </c>
      <c r="K1412" s="1" t="inlineStr">
        <is>
          <t>Suite 101</t>
        </is>
      </c>
      <c r="L1412" s="1" t="inlineStr">
        <is>
          <t>PIN:59454 WEST RICHARDSTAD</t>
        </is>
      </c>
      <c r="M1412" s="2" t="inlineStr">
        <is>
          <t>MHA/IND/01417</t>
        </is>
      </c>
      <c r="N1412" s="30" t="n">
        <v>46087</v>
      </c>
    </row>
    <row r="1413">
      <c r="A1413" s="28" t="n">
        <v>1412</v>
      </c>
      <c r="B1413" s="1" t="inlineStr">
        <is>
          <t>MICHAEL PETERS</t>
        </is>
      </c>
      <c r="C1413" s="30" t="n">
        <v>45873</v>
      </c>
      <c r="D1413" s="1" t="inlineStr">
        <is>
          <t>CARTERTON</t>
        </is>
      </c>
      <c r="E1413" s="12" t="inlineStr">
        <is>
          <t>IND/MEL/01412</t>
        </is>
      </c>
      <c r="F1413" s="1" t="inlineStr">
        <is>
          <t>F</t>
        </is>
      </c>
      <c r="G1413" s="1" t="inlineStr">
        <is>
          <t>William Brock</t>
        </is>
      </c>
      <c r="H1413" s="1" t="inlineStr">
        <is>
          <t>Susan Cox</t>
        </is>
      </c>
      <c r="I1413" s="30" t="n">
        <v>46065</v>
      </c>
      <c r="J1413" s="1" t="inlineStr">
        <is>
          <t>65887 Kirk Mews</t>
        </is>
      </c>
      <c r="K1413" s="1" t="inlineStr">
        <is>
          <t>Suite 622</t>
        </is>
      </c>
      <c r="L1413" s="1" t="inlineStr">
        <is>
          <t>PIN:36518 NEW BAILEY</t>
        </is>
      </c>
      <c r="M1413" s="2" t="inlineStr">
        <is>
          <t>MHA/IND/01418</t>
        </is>
      </c>
      <c r="N1413" s="30" t="n">
        <v>46086</v>
      </c>
    </row>
    <row r="1414">
      <c r="A1414" s="28" t="n">
        <v>1413</v>
      </c>
      <c r="B1414" s="1" t="inlineStr">
        <is>
          <t>CHARLES KRAUSE</t>
        </is>
      </c>
      <c r="C1414" s="30" t="n">
        <v>46037</v>
      </c>
      <c r="D1414" s="1" t="inlineStr">
        <is>
          <t>LAKE CAROL</t>
        </is>
      </c>
      <c r="E1414" s="12" t="inlineStr">
        <is>
          <t>IND/MEL/01413</t>
        </is>
      </c>
      <c r="F1414" s="1" t="inlineStr">
        <is>
          <t>F</t>
        </is>
      </c>
      <c r="G1414" s="1" t="inlineStr">
        <is>
          <t>Thomas Rose</t>
        </is>
      </c>
      <c r="H1414" s="1" t="inlineStr">
        <is>
          <t>Shawna Davis</t>
        </is>
      </c>
      <c r="I1414" s="30" t="n">
        <v>46065</v>
      </c>
      <c r="J1414" s="1" t="inlineStr">
        <is>
          <t>655 Beck Pines Apt. 691</t>
        </is>
      </c>
      <c r="K1414" s="1" t="inlineStr">
        <is>
          <t>Apt. 543</t>
        </is>
      </c>
      <c r="L1414" s="1" t="inlineStr">
        <is>
          <t>PIN:38812 DAWNPORT</t>
        </is>
      </c>
      <c r="M1414" s="2" t="inlineStr">
        <is>
          <t>MHA/IND/01419</t>
        </is>
      </c>
      <c r="N1414" s="30" t="n">
        <v>46085</v>
      </c>
    </row>
    <row r="1415">
      <c r="A1415" s="28" t="n">
        <v>1414</v>
      </c>
      <c r="B1415" s="1" t="inlineStr">
        <is>
          <t>ANNA WILLIAMS</t>
        </is>
      </c>
      <c r="C1415" s="30" t="n">
        <v>46010</v>
      </c>
      <c r="D1415" s="1" t="inlineStr">
        <is>
          <t>FRANKBERG</t>
        </is>
      </c>
      <c r="E1415" s="12" t="inlineStr">
        <is>
          <t>IND/MEL/01414</t>
        </is>
      </c>
      <c r="F1415" s="1" t="inlineStr">
        <is>
          <t>M</t>
        </is>
      </c>
      <c r="G1415" s="1" t="inlineStr">
        <is>
          <t>John Cook</t>
        </is>
      </c>
      <c r="H1415" s="1" t="inlineStr">
        <is>
          <t>Chelsey Wade</t>
        </is>
      </c>
      <c r="I1415" s="30" t="n">
        <v>46065</v>
      </c>
      <c r="J1415" s="1" t="inlineStr">
        <is>
          <t>5103 Maldonado Pike</t>
        </is>
      </c>
      <c r="K1415" s="1" t="inlineStr">
        <is>
          <t>Apt. 919</t>
        </is>
      </c>
      <c r="L1415" s="1" t="inlineStr">
        <is>
          <t>PIN:18075 SANCHEZBOROUGH</t>
        </is>
      </c>
      <c r="M1415" s="2" t="inlineStr">
        <is>
          <t>MHA/IND/01420</t>
        </is>
      </c>
      <c r="N1415" s="30" t="n">
        <v>46070</v>
      </c>
    </row>
    <row r="1416">
      <c r="A1416" s="28" t="n">
        <v>1415</v>
      </c>
      <c r="B1416" s="1" t="inlineStr">
        <is>
          <t>CYNTHIA PATTERSON</t>
        </is>
      </c>
      <c r="C1416" s="30" t="n">
        <v>45752</v>
      </c>
      <c r="D1416" s="1" t="inlineStr">
        <is>
          <t>JOHNSTAD</t>
        </is>
      </c>
      <c r="E1416" s="12" t="inlineStr">
        <is>
          <t>IND/MEL/01415</t>
        </is>
      </c>
      <c r="F1416" s="1" t="inlineStr">
        <is>
          <t>F</t>
        </is>
      </c>
      <c r="G1416" s="1" t="inlineStr">
        <is>
          <t>Rodney Porter</t>
        </is>
      </c>
      <c r="H1416" s="1" t="inlineStr">
        <is>
          <t>Pamela Guerrero</t>
        </is>
      </c>
      <c r="I1416" s="30" t="n">
        <v>46065</v>
      </c>
      <c r="J1416" s="1" t="inlineStr">
        <is>
          <t>23507 White Lake Apt. 923</t>
        </is>
      </c>
      <c r="K1416" s="1" t="inlineStr">
        <is>
          <t>Apt. 619</t>
        </is>
      </c>
      <c r="L1416" s="1" t="inlineStr">
        <is>
          <t>PIN:41354 WEST STEVEN</t>
        </is>
      </c>
      <c r="M1416" s="2" t="inlineStr">
        <is>
          <t>MHA/IND/01421</t>
        </is>
      </c>
      <c r="N1416" s="30" t="n">
        <v>46092</v>
      </c>
    </row>
    <row r="1417">
      <c r="A1417" s="28" t="n">
        <v>1416</v>
      </c>
      <c r="B1417" s="1" t="inlineStr">
        <is>
          <t>GABRIELLA JORDAN</t>
        </is>
      </c>
      <c r="C1417" s="30" t="n">
        <v>45714</v>
      </c>
      <c r="D1417" s="1" t="inlineStr">
        <is>
          <t>EAST PAMELA</t>
        </is>
      </c>
      <c r="E1417" s="12" t="inlineStr">
        <is>
          <t>IND/MEL/01416</t>
        </is>
      </c>
      <c r="F1417" s="1" t="inlineStr">
        <is>
          <t>F</t>
        </is>
      </c>
      <c r="G1417" s="1" t="inlineStr">
        <is>
          <t>William Cook</t>
        </is>
      </c>
      <c r="H1417" s="1" t="inlineStr">
        <is>
          <t>Natalie Nielsen</t>
        </is>
      </c>
      <c r="I1417" s="30" t="n">
        <v>46065</v>
      </c>
      <c r="J1417" s="1" t="inlineStr">
        <is>
          <t>348 Ashley Hills</t>
        </is>
      </c>
      <c r="K1417" s="1" t="inlineStr">
        <is>
          <t>Apt. 936</t>
        </is>
      </c>
      <c r="L1417" s="1" t="inlineStr">
        <is>
          <t>PIN:34827 BOBBYTON</t>
        </is>
      </c>
      <c r="M1417" s="2" t="inlineStr">
        <is>
          <t>MHA/IND/01422</t>
        </is>
      </c>
      <c r="N1417" s="30" t="n">
        <v>46071</v>
      </c>
    </row>
    <row r="1418">
      <c r="A1418" s="28" t="n">
        <v>1417</v>
      </c>
      <c r="B1418" s="1" t="inlineStr">
        <is>
          <t>LARRY WHITNEY</t>
        </is>
      </c>
      <c r="C1418" s="30" t="n">
        <v>45809</v>
      </c>
      <c r="D1418" s="1" t="inlineStr">
        <is>
          <t>ROBERTSHIRE</t>
        </is>
      </c>
      <c r="E1418" s="12" t="inlineStr">
        <is>
          <t>IND/MEL/01417</t>
        </is>
      </c>
      <c r="F1418" s="1" t="inlineStr">
        <is>
          <t>M</t>
        </is>
      </c>
      <c r="G1418" s="1" t="inlineStr">
        <is>
          <t>Jordan Lee</t>
        </is>
      </c>
      <c r="H1418" s="1" t="inlineStr">
        <is>
          <t>Melissa Lee</t>
        </is>
      </c>
      <c r="I1418" s="30" t="n">
        <v>46065</v>
      </c>
      <c r="J1418" s="1" t="inlineStr">
        <is>
          <t>541 Lisa Lodge Apt. 214</t>
        </is>
      </c>
      <c r="K1418" s="1" t="inlineStr">
        <is>
          <t>Apt. 911</t>
        </is>
      </c>
      <c r="L1418" s="1" t="inlineStr">
        <is>
          <t>PIN:91557 EAST TONY</t>
        </is>
      </c>
      <c r="M1418" s="2" t="inlineStr">
        <is>
          <t>MHA/IND/01423</t>
        </is>
      </c>
      <c r="N1418" s="30" t="n">
        <v>46080</v>
      </c>
    </row>
    <row r="1419">
      <c r="A1419" s="28" t="n">
        <v>1418</v>
      </c>
      <c r="B1419" s="1" t="inlineStr">
        <is>
          <t>MICHELLE DOUGLAS</t>
        </is>
      </c>
      <c r="C1419" s="30" t="n">
        <v>45715</v>
      </c>
      <c r="D1419" s="1" t="inlineStr">
        <is>
          <t>VASQUEZVIEW</t>
        </is>
      </c>
      <c r="E1419" s="12" t="inlineStr">
        <is>
          <t>IND/MEL/01418</t>
        </is>
      </c>
      <c r="F1419" s="1" t="inlineStr">
        <is>
          <t>F</t>
        </is>
      </c>
      <c r="G1419" s="1" t="inlineStr">
        <is>
          <t>Thomas Cowan</t>
        </is>
      </c>
      <c r="H1419" s="1" t="inlineStr">
        <is>
          <t>Beverly Arnold</t>
        </is>
      </c>
      <c r="I1419" s="30" t="n">
        <v>46065</v>
      </c>
      <c r="J1419" s="1" t="inlineStr">
        <is>
          <t>90564 Roy Plaza</t>
        </is>
      </c>
      <c r="K1419" s="1" t="inlineStr">
        <is>
          <t>Apt. 185</t>
        </is>
      </c>
      <c r="L1419" s="1" t="inlineStr">
        <is>
          <t>PIN:11296 NEW WILLIAM</t>
        </is>
      </c>
      <c r="M1419" s="2" t="inlineStr">
        <is>
          <t>MHA/IND/01424</t>
        </is>
      </c>
      <c r="N1419" s="30" t="n">
        <v>46080</v>
      </c>
    </row>
    <row r="1420">
      <c r="A1420" s="28" t="n">
        <v>1419</v>
      </c>
      <c r="B1420" s="1" t="inlineStr">
        <is>
          <t>HAYLEY JORDAN</t>
        </is>
      </c>
      <c r="C1420" s="30" t="n">
        <v>45877</v>
      </c>
      <c r="D1420" s="1" t="inlineStr">
        <is>
          <t>LESLIEFORT</t>
        </is>
      </c>
      <c r="E1420" s="12" t="inlineStr">
        <is>
          <t>IND/MEL/01419</t>
        </is>
      </c>
      <c r="F1420" s="1" t="inlineStr">
        <is>
          <t>M</t>
        </is>
      </c>
      <c r="G1420" s="1" t="inlineStr">
        <is>
          <t>John Pollard</t>
        </is>
      </c>
      <c r="H1420" s="1" t="inlineStr">
        <is>
          <t>Melinda Reeves</t>
        </is>
      </c>
      <c r="I1420" s="30" t="n">
        <v>46065</v>
      </c>
      <c r="J1420" s="1" t="inlineStr">
        <is>
          <t>8148 Jon Extension Apt. 673</t>
        </is>
      </c>
      <c r="K1420" s="1" t="inlineStr">
        <is>
          <t>Apt. 600</t>
        </is>
      </c>
      <c r="L1420" s="1" t="inlineStr">
        <is>
          <t>PIN:34215 NEW GABRIELLE</t>
        </is>
      </c>
      <c r="M1420" s="2" t="inlineStr">
        <is>
          <t>MHA/IND/01425</t>
        </is>
      </c>
      <c r="N1420" s="30" t="n">
        <v>46071</v>
      </c>
    </row>
    <row r="1421">
      <c r="A1421" s="28" t="n">
        <v>1420</v>
      </c>
      <c r="B1421" s="1" t="inlineStr">
        <is>
          <t>THOMAS JONES</t>
        </is>
      </c>
      <c r="C1421" s="30" t="n">
        <v>45894</v>
      </c>
      <c r="D1421" s="1" t="inlineStr">
        <is>
          <t>LAKE PEDROTON</t>
        </is>
      </c>
      <c r="E1421" s="12" t="inlineStr">
        <is>
          <t>IND/MEL/01420</t>
        </is>
      </c>
      <c r="F1421" s="1" t="inlineStr">
        <is>
          <t>F</t>
        </is>
      </c>
      <c r="G1421" s="1" t="inlineStr">
        <is>
          <t>Robert Roberts</t>
        </is>
      </c>
      <c r="H1421" s="1" t="inlineStr">
        <is>
          <t>Maria Little</t>
        </is>
      </c>
      <c r="I1421" s="30" t="n">
        <v>46065</v>
      </c>
      <c r="J1421" s="1" t="inlineStr">
        <is>
          <t>4151 Jerry View</t>
        </is>
      </c>
      <c r="K1421" s="1" t="inlineStr">
        <is>
          <t>Apt. 675</t>
        </is>
      </c>
      <c r="L1421" s="1" t="inlineStr">
        <is>
          <t>PIN:72034 WEST BENJAMIN</t>
        </is>
      </c>
      <c r="M1421" s="2" t="inlineStr">
        <is>
          <t>MHA/IND/01426</t>
        </is>
      </c>
      <c r="N1421" s="30" t="n">
        <v>46080</v>
      </c>
    </row>
    <row r="1422">
      <c r="A1422" s="28" t="n">
        <v>1421</v>
      </c>
      <c r="B1422" s="1" t="inlineStr">
        <is>
          <t>ASHLEY KELLEY</t>
        </is>
      </c>
      <c r="C1422" s="30" t="n">
        <v>45896</v>
      </c>
      <c r="D1422" s="1" t="inlineStr">
        <is>
          <t>NATALIEHAVEN</t>
        </is>
      </c>
      <c r="E1422" s="12" t="inlineStr">
        <is>
          <t>IND/MEL/01421</t>
        </is>
      </c>
      <c r="F1422" s="1" t="inlineStr">
        <is>
          <t>F</t>
        </is>
      </c>
      <c r="G1422" s="1" t="inlineStr">
        <is>
          <t>William Stevens</t>
        </is>
      </c>
      <c r="H1422" s="1" t="inlineStr">
        <is>
          <t>Amy Ramos</t>
        </is>
      </c>
      <c r="I1422" s="30" t="n">
        <v>46065</v>
      </c>
      <c r="J1422" s="1" t="inlineStr">
        <is>
          <t>886 Fitzgerald Fords Suite 109</t>
        </is>
      </c>
      <c r="K1422" s="1" t="inlineStr">
        <is>
          <t>Suite 998</t>
        </is>
      </c>
      <c r="L1422" s="1" t="inlineStr">
        <is>
          <t>PIN:25818 EAST KELLY</t>
        </is>
      </c>
      <c r="M1422" s="2" t="inlineStr">
        <is>
          <t>MHA/IND/01427</t>
        </is>
      </c>
      <c r="N1422" s="30" t="n">
        <v>46086</v>
      </c>
    </row>
    <row r="1423">
      <c r="A1423" s="28" t="n">
        <v>1422</v>
      </c>
      <c r="B1423" s="1" t="inlineStr">
        <is>
          <t>SARA FRAZIER</t>
        </is>
      </c>
      <c r="C1423" s="30" t="n">
        <v>45708</v>
      </c>
      <c r="D1423" s="1" t="inlineStr">
        <is>
          <t>JASMINESIDE</t>
        </is>
      </c>
      <c r="E1423" s="12" t="inlineStr">
        <is>
          <t>IND/MEL/01422</t>
        </is>
      </c>
      <c r="F1423" s="1" t="inlineStr">
        <is>
          <t>M</t>
        </is>
      </c>
      <c r="G1423" s="1" t="inlineStr">
        <is>
          <t>Ricardo Jones</t>
        </is>
      </c>
      <c r="H1423" s="1" t="inlineStr">
        <is>
          <t>Julie Aguirre</t>
        </is>
      </c>
      <c r="I1423" s="30" t="n">
        <v>46065</v>
      </c>
      <c r="J1423" s="1" t="inlineStr">
        <is>
          <t>98543 Lee Run</t>
        </is>
      </c>
      <c r="K1423" s="1" t="inlineStr">
        <is>
          <t>Apt. 873</t>
        </is>
      </c>
      <c r="L1423" s="1" t="inlineStr">
        <is>
          <t>PIN:21296 THOMASPORT</t>
        </is>
      </c>
      <c r="M1423" s="2" t="inlineStr">
        <is>
          <t>MHA/IND/01428</t>
        </is>
      </c>
      <c r="N1423" s="30" t="n">
        <v>46094</v>
      </c>
    </row>
    <row r="1424">
      <c r="A1424" s="28" t="n">
        <v>1423</v>
      </c>
      <c r="B1424" s="1" t="inlineStr">
        <is>
          <t>DENNIS LEE</t>
        </is>
      </c>
      <c r="C1424" s="30" t="n">
        <v>45751</v>
      </c>
      <c r="D1424" s="1" t="inlineStr">
        <is>
          <t>KANEVILLE</t>
        </is>
      </c>
      <c r="E1424" s="12" t="inlineStr">
        <is>
          <t>IND/MEL/01423</t>
        </is>
      </c>
      <c r="F1424" s="1" t="inlineStr">
        <is>
          <t>F</t>
        </is>
      </c>
      <c r="G1424" s="1" t="inlineStr">
        <is>
          <t>Brandon Lynn</t>
        </is>
      </c>
      <c r="H1424" s="1" t="inlineStr">
        <is>
          <t>Amy Payne</t>
        </is>
      </c>
      <c r="I1424" s="30" t="n">
        <v>46065</v>
      </c>
      <c r="J1424" s="1" t="inlineStr">
        <is>
          <t>121 Brown Drive</t>
        </is>
      </c>
      <c r="K1424" s="1" t="inlineStr">
        <is>
          <t>Suite 302</t>
        </is>
      </c>
      <c r="L1424" s="1" t="inlineStr">
        <is>
          <t>PIN:66317 PORT JACOB</t>
        </is>
      </c>
      <c r="M1424" s="2" t="inlineStr">
        <is>
          <t>MHA/IND/01429</t>
        </is>
      </c>
      <c r="N1424" s="30" t="n">
        <v>46087</v>
      </c>
    </row>
    <row r="1425">
      <c r="A1425" s="28" t="n">
        <v>1424</v>
      </c>
      <c r="B1425" s="1" t="inlineStr">
        <is>
          <t>BARBARA PHILLIPS</t>
        </is>
      </c>
      <c r="C1425" s="30" t="n">
        <v>45770</v>
      </c>
      <c r="D1425" s="1" t="inlineStr">
        <is>
          <t>WEST JULIANFORT</t>
        </is>
      </c>
      <c r="E1425" s="12" t="inlineStr">
        <is>
          <t>IND/MEL/01424</t>
        </is>
      </c>
      <c r="F1425" s="1" t="inlineStr">
        <is>
          <t>M</t>
        </is>
      </c>
      <c r="G1425" s="1" t="inlineStr">
        <is>
          <t>Justin Gomez</t>
        </is>
      </c>
      <c r="H1425" s="1" t="inlineStr">
        <is>
          <t>Emily Lewis</t>
        </is>
      </c>
      <c r="I1425" s="30" t="n">
        <v>46065</v>
      </c>
      <c r="J1425" s="1" t="inlineStr">
        <is>
          <t>93779 Berry Flats</t>
        </is>
      </c>
      <c r="K1425" s="1" t="inlineStr">
        <is>
          <t>Suite 898</t>
        </is>
      </c>
      <c r="L1425" s="1" t="inlineStr">
        <is>
          <t>PIN:72930 PORT TOM</t>
        </is>
      </c>
      <c r="M1425" s="2" t="inlineStr">
        <is>
          <t>MHA/IND/01430</t>
        </is>
      </c>
      <c r="N1425" s="30" t="n">
        <v>46087</v>
      </c>
    </row>
    <row r="1426">
      <c r="A1426" s="28" t="n">
        <v>1425</v>
      </c>
      <c r="B1426" s="1" t="inlineStr">
        <is>
          <t>JOHN HARPER</t>
        </is>
      </c>
      <c r="C1426" s="30" t="n">
        <v>46064</v>
      </c>
      <c r="D1426" s="1" t="inlineStr">
        <is>
          <t>EAST SHEILAHAVEN</t>
        </is>
      </c>
      <c r="E1426" s="12" t="inlineStr">
        <is>
          <t>IND/MEL/01425</t>
        </is>
      </c>
      <c r="F1426" s="1" t="inlineStr">
        <is>
          <t>M</t>
        </is>
      </c>
      <c r="G1426" s="1" t="inlineStr">
        <is>
          <t>Robert Rodriguez</t>
        </is>
      </c>
      <c r="H1426" s="1" t="inlineStr">
        <is>
          <t>Megan Larson</t>
        </is>
      </c>
      <c r="I1426" s="30" t="n">
        <v>46065</v>
      </c>
      <c r="J1426" s="1" t="inlineStr">
        <is>
          <t>203 Emma Rue Apt. 449</t>
        </is>
      </c>
      <c r="K1426" s="1" t="inlineStr">
        <is>
          <t>Apt. 054</t>
        </is>
      </c>
      <c r="L1426" s="1" t="inlineStr">
        <is>
          <t>PIN:99108 SARAHBERG</t>
        </is>
      </c>
      <c r="M1426" s="2" t="inlineStr">
        <is>
          <t>MHA/IND/01431</t>
        </is>
      </c>
      <c r="N1426" s="30" t="n">
        <v>46079</v>
      </c>
    </row>
    <row r="1427">
      <c r="A1427" s="28" t="n">
        <v>1426</v>
      </c>
      <c r="B1427" s="1" t="inlineStr">
        <is>
          <t>KATHLEEN BOYD MD</t>
        </is>
      </c>
      <c r="C1427" s="30" t="n">
        <v>45701</v>
      </c>
      <c r="D1427" s="1" t="inlineStr">
        <is>
          <t>SOUTH DAVIDTOWN</t>
        </is>
      </c>
      <c r="E1427" s="12" t="inlineStr">
        <is>
          <t>IND/MEL/01426</t>
        </is>
      </c>
      <c r="F1427" s="1" t="inlineStr">
        <is>
          <t>F</t>
        </is>
      </c>
      <c r="G1427" s="1" t="inlineStr">
        <is>
          <t>Charles Bowman</t>
        </is>
      </c>
      <c r="H1427" s="1" t="inlineStr">
        <is>
          <t>Natalie Stevens</t>
        </is>
      </c>
      <c r="I1427" s="30" t="n">
        <v>46065</v>
      </c>
      <c r="J1427" s="1" t="inlineStr">
        <is>
          <t>15727 Parks Parks</t>
        </is>
      </c>
      <c r="K1427" s="1" t="inlineStr">
        <is>
          <t>Suite 241</t>
        </is>
      </c>
      <c r="L1427" s="1" t="inlineStr">
        <is>
          <t>PIN:14210 LAKE RYANTOWN</t>
        </is>
      </c>
      <c r="M1427" s="2" t="inlineStr">
        <is>
          <t>MHA/IND/01432</t>
        </is>
      </c>
      <c r="N1427" s="30" t="n">
        <v>46071</v>
      </c>
    </row>
    <row r="1428">
      <c r="A1428" s="28" t="n">
        <v>1427</v>
      </c>
      <c r="B1428" s="1" t="inlineStr">
        <is>
          <t>DR. ASHLEY FRAZIER</t>
        </is>
      </c>
      <c r="C1428" s="30" t="n">
        <v>45990</v>
      </c>
      <c r="D1428" s="1" t="inlineStr">
        <is>
          <t>BROOKSSTAD</t>
        </is>
      </c>
      <c r="E1428" s="12" t="inlineStr">
        <is>
          <t>IND/MEL/01427</t>
        </is>
      </c>
      <c r="F1428" s="1" t="inlineStr">
        <is>
          <t>M</t>
        </is>
      </c>
      <c r="G1428" s="1" t="inlineStr">
        <is>
          <t>Mathew Hart</t>
        </is>
      </c>
      <c r="H1428" s="1" t="inlineStr">
        <is>
          <t>Mrs. Sheila Luna</t>
        </is>
      </c>
      <c r="I1428" s="30" t="n">
        <v>46065</v>
      </c>
      <c r="J1428" s="1" t="inlineStr">
        <is>
          <t>2229 Johnny Rapid</t>
        </is>
      </c>
      <c r="K1428" s="1" t="inlineStr">
        <is>
          <t>Suite 136</t>
        </is>
      </c>
      <c r="L1428" s="1" t="inlineStr">
        <is>
          <t>PIN:71466 EAST JOHNATHANMOUTH</t>
        </is>
      </c>
      <c r="M1428" s="2" t="inlineStr">
        <is>
          <t>MHA/IND/01433</t>
        </is>
      </c>
      <c r="N1428" s="30" t="n">
        <v>46069</v>
      </c>
    </row>
    <row r="1429">
      <c r="A1429" s="28" t="n">
        <v>1428</v>
      </c>
      <c r="B1429" s="1" t="inlineStr">
        <is>
          <t>ROY LIVINGSTON</t>
        </is>
      </c>
      <c r="C1429" s="30" t="n">
        <v>45872</v>
      </c>
      <c r="D1429" s="1" t="inlineStr">
        <is>
          <t>MARYMOUTH</t>
        </is>
      </c>
      <c r="E1429" s="12" t="inlineStr">
        <is>
          <t>IND/MEL/01428</t>
        </is>
      </c>
      <c r="F1429" s="1" t="inlineStr">
        <is>
          <t>F</t>
        </is>
      </c>
      <c r="G1429" s="1" t="inlineStr">
        <is>
          <t>Roger Hobbs</t>
        </is>
      </c>
      <c r="H1429" s="1" t="inlineStr">
        <is>
          <t>Amy Johnson MD</t>
        </is>
      </c>
      <c r="I1429" s="30" t="n">
        <v>46065</v>
      </c>
      <c r="J1429" s="1" t="inlineStr">
        <is>
          <t>470 Angela Inlet</t>
        </is>
      </c>
      <c r="K1429" s="1" t="inlineStr">
        <is>
          <t>Apt. 853</t>
        </is>
      </c>
      <c r="L1429" s="1" t="inlineStr">
        <is>
          <t>PIN:86897 MARTINFORT</t>
        </is>
      </c>
      <c r="M1429" s="2" t="inlineStr">
        <is>
          <t>MHA/IND/01434</t>
        </is>
      </c>
      <c r="N1429" s="30" t="n">
        <v>46069</v>
      </c>
    </row>
    <row r="1430">
      <c r="A1430" s="28" t="n">
        <v>1429</v>
      </c>
      <c r="B1430" s="1" t="inlineStr">
        <is>
          <t>MONIQUE MCCORMICK MD</t>
        </is>
      </c>
      <c r="C1430" s="30" t="n">
        <v>45761</v>
      </c>
      <c r="D1430" s="1" t="inlineStr">
        <is>
          <t>PORT JEFFREYBERG</t>
        </is>
      </c>
      <c r="E1430" s="12" t="inlineStr">
        <is>
          <t>IND/MEL/01429</t>
        </is>
      </c>
      <c r="F1430" s="1" t="inlineStr">
        <is>
          <t>F</t>
        </is>
      </c>
      <c r="G1430" s="1" t="inlineStr">
        <is>
          <t>Gregory Burke</t>
        </is>
      </c>
      <c r="H1430" s="1" t="inlineStr">
        <is>
          <t>Jamie Jones</t>
        </is>
      </c>
      <c r="I1430" s="30" t="n">
        <v>46065</v>
      </c>
      <c r="J1430" s="1" t="inlineStr">
        <is>
          <t>83706 Pierce Hollow Suite 682</t>
        </is>
      </c>
      <c r="K1430" s="1" t="inlineStr">
        <is>
          <t>Suite 488</t>
        </is>
      </c>
      <c r="L1430" s="1" t="inlineStr">
        <is>
          <t>PIN:51123 MELANIEVILLE</t>
        </is>
      </c>
      <c r="M1430" s="2" t="inlineStr">
        <is>
          <t>MHA/IND/01435</t>
        </is>
      </c>
      <c r="N1430" s="30" t="n">
        <v>46071</v>
      </c>
    </row>
    <row r="1431">
      <c r="A1431" s="28" t="n">
        <v>1430</v>
      </c>
      <c r="B1431" s="1" t="inlineStr">
        <is>
          <t>CHRISTOPHER HARRINGTON</t>
        </is>
      </c>
      <c r="C1431" s="30" t="n">
        <v>45761</v>
      </c>
      <c r="D1431" s="1" t="inlineStr">
        <is>
          <t>PORT JEFFREYBERG</t>
        </is>
      </c>
      <c r="E1431" s="12" t="inlineStr">
        <is>
          <t>IND/MEL/01430</t>
        </is>
      </c>
      <c r="F1431" s="1" t="inlineStr">
        <is>
          <t>F</t>
        </is>
      </c>
      <c r="G1431" s="1" t="inlineStr">
        <is>
          <t>Gregory Burke</t>
        </is>
      </c>
      <c r="H1431" s="1" t="inlineStr">
        <is>
          <t>Jamie Jones</t>
        </is>
      </c>
      <c r="I1431" s="30" t="n">
        <v>46065</v>
      </c>
      <c r="J1431" s="1" t="inlineStr">
        <is>
          <t>83706 Pierce Hollow Suite 682</t>
        </is>
      </c>
      <c r="K1431" s="1" t="inlineStr">
        <is>
          <t>Suite 488</t>
        </is>
      </c>
      <c r="L1431" s="1" t="inlineStr">
        <is>
          <t>PIN:51123 MELANIEVILLE</t>
        </is>
      </c>
      <c r="M1431" s="2" t="inlineStr">
        <is>
          <t>MHA/IND/01435</t>
        </is>
      </c>
      <c r="N1431" s="30" t="n">
        <v>46095</v>
      </c>
    </row>
    <row r="1432">
      <c r="A1432" s="28" t="n">
        <v>1431</v>
      </c>
      <c r="B1432" s="1" t="inlineStr">
        <is>
          <t>CODY JOHNSON</t>
        </is>
      </c>
      <c r="C1432" s="30" t="n">
        <v>46056</v>
      </c>
      <c r="D1432" s="1" t="inlineStr">
        <is>
          <t>WEST JESSICAVIEW</t>
        </is>
      </c>
      <c r="E1432" s="12" t="inlineStr">
        <is>
          <t>IND/MEL/01431</t>
        </is>
      </c>
      <c r="F1432" s="1" t="inlineStr">
        <is>
          <t>M</t>
        </is>
      </c>
      <c r="G1432" s="1" t="inlineStr">
        <is>
          <t>George Mcguire</t>
        </is>
      </c>
      <c r="H1432" s="1" t="inlineStr">
        <is>
          <t>Katrina Torres</t>
        </is>
      </c>
      <c r="I1432" s="30" t="n">
        <v>46065</v>
      </c>
      <c r="J1432" s="1" t="inlineStr">
        <is>
          <t>284 John Courts Suite 841</t>
        </is>
      </c>
      <c r="K1432" s="1" t="inlineStr">
        <is>
          <t>Suite 837</t>
        </is>
      </c>
      <c r="L1432" s="1" t="inlineStr">
        <is>
          <t>PIN:26650 EAST CYNTHIAFURT</t>
        </is>
      </c>
      <c r="M1432" s="2" t="inlineStr">
        <is>
          <t>MHA/IND/01436</t>
        </is>
      </c>
      <c r="N1432" s="30" t="n">
        <v>46092</v>
      </c>
    </row>
    <row r="1433">
      <c r="A1433" s="28" t="n">
        <v>1432</v>
      </c>
      <c r="B1433" s="1" t="inlineStr">
        <is>
          <t>KIM CLARK</t>
        </is>
      </c>
      <c r="C1433" s="30" t="n">
        <v>46056</v>
      </c>
      <c r="D1433" s="1" t="inlineStr">
        <is>
          <t>WEST JESSICAVIEW</t>
        </is>
      </c>
      <c r="E1433" s="12" t="inlineStr">
        <is>
          <t>IND/MEL/01432</t>
        </is>
      </c>
      <c r="F1433" s="1" t="inlineStr">
        <is>
          <t>M</t>
        </is>
      </c>
      <c r="G1433" s="1" t="inlineStr">
        <is>
          <t>George Mcguire</t>
        </is>
      </c>
      <c r="H1433" s="1" t="inlineStr">
        <is>
          <t>Katrina Torres</t>
        </is>
      </c>
      <c r="I1433" s="30" t="n">
        <v>46065</v>
      </c>
      <c r="J1433" s="1" t="inlineStr">
        <is>
          <t>284 John Courts Suite 841</t>
        </is>
      </c>
      <c r="K1433" s="1" t="inlineStr">
        <is>
          <t>Suite 837</t>
        </is>
      </c>
      <c r="L1433" s="1" t="inlineStr">
        <is>
          <t>PIN:26650 EAST CYNTHIAFURT</t>
        </is>
      </c>
      <c r="M1433" s="2" t="inlineStr">
        <is>
          <t>MHA/IND/01436</t>
        </is>
      </c>
      <c r="N1433" s="30" t="n">
        <v>46087</v>
      </c>
    </row>
    <row r="1434">
      <c r="A1434" s="28" t="n">
        <v>1433</v>
      </c>
      <c r="B1434" s="1" t="inlineStr">
        <is>
          <t>JAMES COX</t>
        </is>
      </c>
      <c r="C1434" s="30" t="n">
        <v>45740</v>
      </c>
      <c r="D1434" s="1" t="inlineStr">
        <is>
          <t>PORT TONYABURGH</t>
        </is>
      </c>
      <c r="E1434" s="12" t="inlineStr">
        <is>
          <t>IND/MEL/01433</t>
        </is>
      </c>
      <c r="F1434" s="1" t="inlineStr">
        <is>
          <t>F</t>
        </is>
      </c>
      <c r="G1434" s="1" t="inlineStr">
        <is>
          <t>Justin Trujillo</t>
        </is>
      </c>
      <c r="H1434" s="1" t="inlineStr">
        <is>
          <t>Cassandra Alexander</t>
        </is>
      </c>
      <c r="I1434" s="30" t="n">
        <v>46065</v>
      </c>
      <c r="J1434" s="1" t="inlineStr">
        <is>
          <t>0922 Mullen Track Suite 564</t>
        </is>
      </c>
      <c r="K1434" s="1" t="inlineStr">
        <is>
          <t>Apt. 705</t>
        </is>
      </c>
      <c r="L1434" s="1" t="inlineStr">
        <is>
          <t>PIN:98962 LAKE JOELSTAD</t>
        </is>
      </c>
      <c r="M1434" s="2" t="inlineStr">
        <is>
          <t>MHA/IND/01437</t>
        </is>
      </c>
      <c r="N1434" s="30" t="n">
        <v>46079</v>
      </c>
    </row>
    <row r="1435">
      <c r="A1435" s="28" t="n">
        <v>1434</v>
      </c>
      <c r="B1435" s="1" t="inlineStr">
        <is>
          <t>KRISTEN WILSON</t>
        </is>
      </c>
      <c r="C1435" s="30" t="n">
        <v>45740</v>
      </c>
      <c r="D1435" s="1" t="inlineStr">
        <is>
          <t>PORT TONYABURGH</t>
        </is>
      </c>
      <c r="E1435" s="12" t="inlineStr">
        <is>
          <t>IND/MEL/01434</t>
        </is>
      </c>
      <c r="F1435" s="1" t="inlineStr">
        <is>
          <t>F</t>
        </is>
      </c>
      <c r="G1435" s="1" t="inlineStr">
        <is>
          <t>Justin Trujillo</t>
        </is>
      </c>
      <c r="H1435" s="1" t="inlineStr">
        <is>
          <t>Cassandra Alexander</t>
        </is>
      </c>
      <c r="I1435" s="30" t="n">
        <v>46065</v>
      </c>
      <c r="J1435" s="1" t="inlineStr">
        <is>
          <t>0922 Mullen Track Suite 564</t>
        </is>
      </c>
      <c r="K1435" s="1" t="inlineStr">
        <is>
          <t>Apt. 705</t>
        </is>
      </c>
      <c r="L1435" s="1" t="inlineStr">
        <is>
          <t>PIN:98962 LAKE JOELSTAD</t>
        </is>
      </c>
      <c r="M1435" s="2" t="inlineStr">
        <is>
          <t>MHA/IND/01437</t>
        </is>
      </c>
      <c r="N1435" s="30" t="n">
        <v>46091</v>
      </c>
    </row>
    <row r="1436">
      <c r="A1436" s="28" t="n">
        <v>1435</v>
      </c>
      <c r="B1436" s="1" t="inlineStr">
        <is>
          <t>CHRISTINE FINLEY</t>
        </is>
      </c>
      <c r="C1436" s="30" t="n">
        <v>45755</v>
      </c>
      <c r="D1436" s="1" t="inlineStr">
        <is>
          <t>SOUTH JENNIFERVIEW</t>
        </is>
      </c>
      <c r="E1436" s="12" t="inlineStr">
        <is>
          <t>IND/MEL/01435</t>
        </is>
      </c>
      <c r="F1436" s="1" t="inlineStr">
        <is>
          <t>M</t>
        </is>
      </c>
      <c r="G1436" s="1" t="inlineStr">
        <is>
          <t>Robert Fletcher</t>
        </is>
      </c>
      <c r="H1436" s="1" t="inlineStr">
        <is>
          <t>Veronica Ellis</t>
        </is>
      </c>
      <c r="I1436" s="30" t="n">
        <v>46065</v>
      </c>
      <c r="J1436" s="1" t="inlineStr">
        <is>
          <t>57306 Robinson Circle Suite 127</t>
        </is>
      </c>
      <c r="K1436" s="1" t="inlineStr">
        <is>
          <t>Apt. 061</t>
        </is>
      </c>
      <c r="L1436" s="1" t="inlineStr">
        <is>
          <t>PIN:43666 CAMPBELLHAVEN</t>
        </is>
      </c>
      <c r="M1436" s="2" t="inlineStr">
        <is>
          <t>MHA/IND/01438</t>
        </is>
      </c>
      <c r="N1436" s="30" t="n">
        <v>46071</v>
      </c>
    </row>
    <row r="1437">
      <c r="A1437" s="28" t="n">
        <v>1436</v>
      </c>
      <c r="B1437" s="1" t="inlineStr">
        <is>
          <t>ERIC ANDERSON</t>
        </is>
      </c>
      <c r="C1437" s="30" t="n">
        <v>45755</v>
      </c>
      <c r="D1437" s="1" t="inlineStr">
        <is>
          <t>SOUTH JENNIFERVIEW</t>
        </is>
      </c>
      <c r="E1437" s="12" t="inlineStr">
        <is>
          <t>IND/MEL/01436</t>
        </is>
      </c>
      <c r="F1437" s="1" t="inlineStr">
        <is>
          <t>M</t>
        </is>
      </c>
      <c r="G1437" s="1" t="inlineStr">
        <is>
          <t>Robert Fletcher</t>
        </is>
      </c>
      <c r="H1437" s="1" t="inlineStr">
        <is>
          <t>Veronica Ellis</t>
        </is>
      </c>
      <c r="I1437" s="30" t="n">
        <v>46065</v>
      </c>
      <c r="J1437" s="1" t="inlineStr">
        <is>
          <t>57306 Robinson Circle Suite 127</t>
        </is>
      </c>
      <c r="K1437" s="1" t="inlineStr">
        <is>
          <t>Apt. 061</t>
        </is>
      </c>
      <c r="L1437" s="1" t="inlineStr">
        <is>
          <t>PIN:43666 CAMPBELLHAVEN</t>
        </is>
      </c>
      <c r="M1437" s="2" t="inlineStr">
        <is>
          <t>MHA/IND/01438</t>
        </is>
      </c>
      <c r="N1437" s="30" t="n">
        <v>46090</v>
      </c>
    </row>
    <row r="1438">
      <c r="A1438" s="28" t="n">
        <v>1437</v>
      </c>
      <c r="B1438" s="1" t="inlineStr">
        <is>
          <t>MELISSA PETERSON</t>
        </is>
      </c>
      <c r="C1438" s="30" t="n">
        <v>45748</v>
      </c>
      <c r="D1438" s="1" t="inlineStr">
        <is>
          <t>LAKE ROBERTMOUTH</t>
        </is>
      </c>
      <c r="E1438" s="12" t="inlineStr">
        <is>
          <t>IND/MEL/01437</t>
        </is>
      </c>
      <c r="F1438" s="1" t="inlineStr">
        <is>
          <t>F</t>
        </is>
      </c>
      <c r="G1438" s="1" t="inlineStr">
        <is>
          <t>George Bonilla</t>
        </is>
      </c>
      <c r="H1438" s="1" t="inlineStr">
        <is>
          <t>Susan White</t>
        </is>
      </c>
      <c r="I1438" s="30" t="n">
        <v>46065</v>
      </c>
      <c r="J1438" s="1" t="inlineStr">
        <is>
          <t>422 Glenda Corners Apt. 309</t>
        </is>
      </c>
      <c r="K1438" s="1" t="inlineStr">
        <is>
          <t>Apt. 858</t>
        </is>
      </c>
      <c r="L1438" s="1" t="inlineStr">
        <is>
          <t>PIN:97268 NORTH NICHOLAS</t>
        </is>
      </c>
      <c r="M1438" s="2" t="inlineStr">
        <is>
          <t>MHA/IND/01439</t>
        </is>
      </c>
      <c r="N1438" s="30" t="n">
        <v>46092</v>
      </c>
    </row>
    <row r="1439">
      <c r="A1439" s="28" t="n">
        <v>1438</v>
      </c>
      <c r="B1439" s="1" t="inlineStr">
        <is>
          <t>BRANDON ARNOLD</t>
        </is>
      </c>
      <c r="C1439" s="30" t="n">
        <v>45748</v>
      </c>
      <c r="D1439" s="1" t="inlineStr">
        <is>
          <t>LAKE ROBERTMOUTH</t>
        </is>
      </c>
      <c r="E1439" s="12" t="inlineStr">
        <is>
          <t>IND/MEL/01438</t>
        </is>
      </c>
      <c r="F1439" s="1" t="inlineStr">
        <is>
          <t>F</t>
        </is>
      </c>
      <c r="G1439" s="1" t="inlineStr">
        <is>
          <t>George Bonilla</t>
        </is>
      </c>
      <c r="H1439" s="1" t="inlineStr">
        <is>
          <t>Susan White</t>
        </is>
      </c>
      <c r="I1439" s="30" t="n">
        <v>46065</v>
      </c>
      <c r="J1439" s="1" t="inlineStr">
        <is>
          <t>422 Glenda Corners Apt. 309</t>
        </is>
      </c>
      <c r="K1439" s="1" t="inlineStr">
        <is>
          <t>Apt. 858</t>
        </is>
      </c>
      <c r="L1439" s="1" t="inlineStr">
        <is>
          <t>PIN:97268 NORTH NICHOLAS</t>
        </is>
      </c>
      <c r="M1439" s="2" t="inlineStr">
        <is>
          <t>MHA/IND/01439</t>
        </is>
      </c>
      <c r="N1439" s="30" t="n">
        <v>46079</v>
      </c>
    </row>
    <row r="1440">
      <c r="A1440" s="28" t="n">
        <v>1439</v>
      </c>
      <c r="B1440" s="1" t="inlineStr">
        <is>
          <t>OLIVIA MCCARTHY</t>
        </is>
      </c>
      <c r="C1440" s="30" t="n">
        <v>45895</v>
      </c>
      <c r="D1440" s="1" t="inlineStr">
        <is>
          <t>NORTH RYANVILLE</t>
        </is>
      </c>
      <c r="E1440" s="12" t="inlineStr">
        <is>
          <t>IND/MEL/01439</t>
        </is>
      </c>
      <c r="F1440" s="1" t="inlineStr">
        <is>
          <t>M</t>
        </is>
      </c>
      <c r="G1440" s="1" t="inlineStr">
        <is>
          <t>Brian Morris</t>
        </is>
      </c>
      <c r="H1440" s="1" t="inlineStr">
        <is>
          <t>Angie Smith</t>
        </is>
      </c>
      <c r="I1440" s="30" t="n">
        <v>46065</v>
      </c>
      <c r="J1440" s="1" t="inlineStr">
        <is>
          <t>944 Laura Locks Suite 939</t>
        </is>
      </c>
      <c r="K1440" s="1" t="inlineStr">
        <is>
          <t>Suite 757</t>
        </is>
      </c>
      <c r="L1440" s="1" t="inlineStr">
        <is>
          <t>PIN:39091 SOUTH MICHELLEMOUTH</t>
        </is>
      </c>
      <c r="M1440" s="2" t="inlineStr">
        <is>
          <t>MHA/IND/01440</t>
        </is>
      </c>
      <c r="N1440" s="30" t="n">
        <v>46077</v>
      </c>
    </row>
    <row r="1441">
      <c r="A1441" s="28" t="n">
        <v>1440</v>
      </c>
      <c r="B1441" s="1" t="inlineStr">
        <is>
          <t>JOSHUA MARTINEZ</t>
        </is>
      </c>
      <c r="C1441" s="30" t="n">
        <v>45895</v>
      </c>
      <c r="D1441" s="1" t="inlineStr">
        <is>
          <t>NORTH RYANVILLE</t>
        </is>
      </c>
      <c r="E1441" s="12" t="inlineStr">
        <is>
          <t>IND/MEL/01440</t>
        </is>
      </c>
      <c r="F1441" s="1" t="inlineStr">
        <is>
          <t>M</t>
        </is>
      </c>
      <c r="G1441" s="1" t="inlineStr">
        <is>
          <t>Brian Morris</t>
        </is>
      </c>
      <c r="H1441" s="1" t="inlineStr">
        <is>
          <t>Angie Smith</t>
        </is>
      </c>
      <c r="I1441" s="30" t="n">
        <v>46065</v>
      </c>
      <c r="J1441" s="1" t="inlineStr">
        <is>
          <t>944 Laura Locks Suite 939</t>
        </is>
      </c>
      <c r="K1441" s="1" t="inlineStr">
        <is>
          <t>Suite 757</t>
        </is>
      </c>
      <c r="L1441" s="1" t="inlineStr">
        <is>
          <t>PIN:39091 SOUTH MICHELLEMOUTH</t>
        </is>
      </c>
      <c r="M1441" s="2" t="inlineStr">
        <is>
          <t>MHA/IND/01440</t>
        </is>
      </c>
      <c r="N1441" s="30" t="n">
        <v>46081</v>
      </c>
    </row>
  </sheetData>
  <hyperlinks>
    <hyperlink xmlns:r="http://schemas.openxmlformats.org/officeDocument/2006/relationships" ref="E2" display="AU2065646519525" r:id="rId1"/>
    <hyperlink xmlns:r="http://schemas.openxmlformats.org/officeDocument/2006/relationships" ref="E3" display="AU2065646519525" r:id="rId2"/>
    <hyperlink xmlns:r="http://schemas.openxmlformats.org/officeDocument/2006/relationships" ref="E4" display="AU2065646519525" r:id="rId3"/>
    <hyperlink xmlns:r="http://schemas.openxmlformats.org/officeDocument/2006/relationships" ref="E5" display="AU2065646519525" r:id="rId4"/>
    <hyperlink xmlns:r="http://schemas.openxmlformats.org/officeDocument/2006/relationships" ref="E6" display="AU2065646519525" r:id="rId5"/>
    <hyperlink xmlns:r="http://schemas.openxmlformats.org/officeDocument/2006/relationships" ref="E7" display="AU2065646519525" r:id="rId6"/>
    <hyperlink xmlns:r="http://schemas.openxmlformats.org/officeDocument/2006/relationships" ref="E8" display="AU2065646519525" r:id="rId7"/>
    <hyperlink xmlns:r="http://schemas.openxmlformats.org/officeDocument/2006/relationships" ref="E9" display="AU2065646519525" r:id="rId8"/>
    <hyperlink xmlns:r="http://schemas.openxmlformats.org/officeDocument/2006/relationships" ref="E10" display="AU2065646519525" r:id="rId9"/>
    <hyperlink xmlns:r="http://schemas.openxmlformats.org/officeDocument/2006/relationships" ref="E11" display="AU2065646519525" r:id="rId10"/>
    <hyperlink xmlns:r="http://schemas.openxmlformats.org/officeDocument/2006/relationships" ref="E12" display="AU2065646519525" r:id="rId11"/>
    <hyperlink xmlns:r="http://schemas.openxmlformats.org/officeDocument/2006/relationships" ref="E13" display="AU2065646519525" r:id="rId12"/>
    <hyperlink xmlns:r="http://schemas.openxmlformats.org/officeDocument/2006/relationships" ref="E14" display="AU2065646519525" r:id="rId13"/>
    <hyperlink xmlns:r="http://schemas.openxmlformats.org/officeDocument/2006/relationships" ref="E15" display="AU2065646519525" r:id="rId14"/>
    <hyperlink xmlns:r="http://schemas.openxmlformats.org/officeDocument/2006/relationships" ref="E16" display="AU2065646519525" r:id="rId15"/>
    <hyperlink xmlns:r="http://schemas.openxmlformats.org/officeDocument/2006/relationships" ref="E17" display="AU2065646519525" r:id="rId16"/>
    <hyperlink xmlns:r="http://schemas.openxmlformats.org/officeDocument/2006/relationships" ref="E18" display="AU2065646519525" r:id="rId17"/>
    <hyperlink xmlns:r="http://schemas.openxmlformats.org/officeDocument/2006/relationships" ref="E19" display="AU2065646519525" r:id="rId18"/>
    <hyperlink xmlns:r="http://schemas.openxmlformats.org/officeDocument/2006/relationships" ref="E20" display="AU2065646519525" r:id="rId19"/>
    <hyperlink xmlns:r="http://schemas.openxmlformats.org/officeDocument/2006/relationships" ref="E21" display="AU2065646519525" r:id="rId20"/>
    <hyperlink xmlns:r="http://schemas.openxmlformats.org/officeDocument/2006/relationships" ref="E22" display="AU2065646519525" r:id="rId21"/>
    <hyperlink xmlns:r="http://schemas.openxmlformats.org/officeDocument/2006/relationships" ref="E23" display="AU2065646519525" r:id="rId22"/>
    <hyperlink xmlns:r="http://schemas.openxmlformats.org/officeDocument/2006/relationships" ref="E24" display="AU2065646519525" r:id="rId23"/>
    <hyperlink xmlns:r="http://schemas.openxmlformats.org/officeDocument/2006/relationships" ref="E25" display="AU2065646519525" r:id="rId24"/>
    <hyperlink xmlns:r="http://schemas.openxmlformats.org/officeDocument/2006/relationships" ref="E26" display="AU2065646519525" r:id="rId25"/>
    <hyperlink xmlns:r="http://schemas.openxmlformats.org/officeDocument/2006/relationships" ref="E27" display="AU2065646519525" r:id="rId26"/>
    <hyperlink xmlns:r="http://schemas.openxmlformats.org/officeDocument/2006/relationships" ref="E28" display="AU2065646519525" r:id="rId27"/>
    <hyperlink xmlns:r="http://schemas.openxmlformats.org/officeDocument/2006/relationships" ref="E29" display="AU2065646519525" r:id="rId28"/>
    <hyperlink xmlns:r="http://schemas.openxmlformats.org/officeDocument/2006/relationships" ref="E30" display="AU2065646519525" r:id="rId29"/>
    <hyperlink xmlns:r="http://schemas.openxmlformats.org/officeDocument/2006/relationships" ref="E31" display="AU2065646519525" r:id="rId30"/>
    <hyperlink xmlns:r="http://schemas.openxmlformats.org/officeDocument/2006/relationships" ref="E32" display="AU2065646519525" r:id="rId31"/>
    <hyperlink xmlns:r="http://schemas.openxmlformats.org/officeDocument/2006/relationships" ref="E33" display="AU2065646519525" r:id="rId32"/>
    <hyperlink xmlns:r="http://schemas.openxmlformats.org/officeDocument/2006/relationships" ref="E34" display="AU2065646519525" r:id="rId33"/>
    <hyperlink xmlns:r="http://schemas.openxmlformats.org/officeDocument/2006/relationships" ref="E35" display="AU2065646519525" r:id="rId34"/>
    <hyperlink xmlns:r="http://schemas.openxmlformats.org/officeDocument/2006/relationships" ref="E36" display="AU2065646519525" r:id="rId35"/>
    <hyperlink xmlns:r="http://schemas.openxmlformats.org/officeDocument/2006/relationships" ref="E37" display="AU2065646519525" r:id="rId36"/>
    <hyperlink xmlns:r="http://schemas.openxmlformats.org/officeDocument/2006/relationships" ref="E38" display="AU2065646519525" r:id="rId37"/>
    <hyperlink xmlns:r="http://schemas.openxmlformats.org/officeDocument/2006/relationships" ref="E39" display="AU2065646519525" r:id="rId38"/>
    <hyperlink xmlns:r="http://schemas.openxmlformats.org/officeDocument/2006/relationships" ref="E40" display="AU2065646519525" r:id="rId39"/>
    <hyperlink xmlns:r="http://schemas.openxmlformats.org/officeDocument/2006/relationships" ref="E41" display="AU2065646519525" r:id="rId40"/>
    <hyperlink xmlns:r="http://schemas.openxmlformats.org/officeDocument/2006/relationships" ref="E42" display="AU2065646519525" r:id="rId41"/>
    <hyperlink xmlns:r="http://schemas.openxmlformats.org/officeDocument/2006/relationships" ref="E43" display="AU2065646519525" r:id="rId42"/>
    <hyperlink xmlns:r="http://schemas.openxmlformats.org/officeDocument/2006/relationships" ref="E44" display="AU2065646519525" r:id="rId43"/>
    <hyperlink xmlns:r="http://schemas.openxmlformats.org/officeDocument/2006/relationships" ref="E45" display="AU2065646519525" r:id="rId44"/>
    <hyperlink xmlns:r="http://schemas.openxmlformats.org/officeDocument/2006/relationships" ref="E46" display="AU2065646519525" r:id="rId45"/>
    <hyperlink xmlns:r="http://schemas.openxmlformats.org/officeDocument/2006/relationships" ref="E47" display="AU2065646519525" r:id="rId46"/>
    <hyperlink xmlns:r="http://schemas.openxmlformats.org/officeDocument/2006/relationships" ref="E48" display="AU2065646519525" r:id="rId47"/>
    <hyperlink xmlns:r="http://schemas.openxmlformats.org/officeDocument/2006/relationships" ref="E49" display="AU2065646519525" r:id="rId48"/>
    <hyperlink xmlns:r="http://schemas.openxmlformats.org/officeDocument/2006/relationships" ref="E50" display="AU2065646519525" r:id="rId49"/>
    <hyperlink xmlns:r="http://schemas.openxmlformats.org/officeDocument/2006/relationships" ref="E51" display="AU2065646519525" r:id="rId50"/>
    <hyperlink xmlns:r="http://schemas.openxmlformats.org/officeDocument/2006/relationships" ref="E52" display="AU2065646519525" r:id="rId51"/>
    <hyperlink xmlns:r="http://schemas.openxmlformats.org/officeDocument/2006/relationships" ref="E53" display="AU2065646519525" r:id="rId52"/>
    <hyperlink xmlns:r="http://schemas.openxmlformats.org/officeDocument/2006/relationships" ref="E54" display="AU2065646519525" r:id="rId53"/>
    <hyperlink xmlns:r="http://schemas.openxmlformats.org/officeDocument/2006/relationships" ref="E55" display="AU2065646519525" r:id="rId54"/>
    <hyperlink xmlns:r="http://schemas.openxmlformats.org/officeDocument/2006/relationships" ref="E56" display="AU2065646519525" r:id="rId55"/>
    <hyperlink xmlns:r="http://schemas.openxmlformats.org/officeDocument/2006/relationships" ref="E57" display="AU2065646519525" r:id="rId56"/>
    <hyperlink xmlns:r="http://schemas.openxmlformats.org/officeDocument/2006/relationships" ref="E58" display="AU2065646519525" r:id="rId57"/>
    <hyperlink xmlns:r="http://schemas.openxmlformats.org/officeDocument/2006/relationships" ref="E59" display="AU2065646519525" r:id="rId58"/>
    <hyperlink xmlns:r="http://schemas.openxmlformats.org/officeDocument/2006/relationships" ref="E60" display="AU2065646519525" r:id="rId59"/>
    <hyperlink xmlns:r="http://schemas.openxmlformats.org/officeDocument/2006/relationships" ref="E61" display="AU2065646519525" r:id="rId60"/>
    <hyperlink xmlns:r="http://schemas.openxmlformats.org/officeDocument/2006/relationships" ref="E62" display="AU2065646519525" r:id="rId61"/>
    <hyperlink xmlns:r="http://schemas.openxmlformats.org/officeDocument/2006/relationships" ref="E63" display="AU2065646519525" r:id="rId62"/>
    <hyperlink xmlns:r="http://schemas.openxmlformats.org/officeDocument/2006/relationships" ref="E64" display="AU2065646519525" r:id="rId63"/>
    <hyperlink xmlns:r="http://schemas.openxmlformats.org/officeDocument/2006/relationships" ref="E65" display="AU2065646519525" r:id="rId64"/>
    <hyperlink xmlns:r="http://schemas.openxmlformats.org/officeDocument/2006/relationships" ref="E66" display="AU2065646519525" r:id="rId65"/>
    <hyperlink xmlns:r="http://schemas.openxmlformats.org/officeDocument/2006/relationships" ref="E67" display="AU2065646519525" r:id="rId66"/>
    <hyperlink xmlns:r="http://schemas.openxmlformats.org/officeDocument/2006/relationships" ref="E68" display="AU2065646519525" r:id="rId67"/>
    <hyperlink xmlns:r="http://schemas.openxmlformats.org/officeDocument/2006/relationships" ref="E69" display="AU2065646519525" r:id="rId68"/>
    <hyperlink xmlns:r="http://schemas.openxmlformats.org/officeDocument/2006/relationships" ref="E70" display="AU2065646519525" r:id="rId69"/>
    <hyperlink xmlns:r="http://schemas.openxmlformats.org/officeDocument/2006/relationships" ref="E71" display="AU2065646519525" r:id="rId70"/>
    <hyperlink xmlns:r="http://schemas.openxmlformats.org/officeDocument/2006/relationships" ref="E72" display="AU2065646519525" r:id="rId71"/>
    <hyperlink xmlns:r="http://schemas.openxmlformats.org/officeDocument/2006/relationships" ref="E73" display="AU2065646519525" r:id="rId72"/>
    <hyperlink xmlns:r="http://schemas.openxmlformats.org/officeDocument/2006/relationships" ref="E74" display="AU2065646519525" r:id="rId73"/>
    <hyperlink xmlns:r="http://schemas.openxmlformats.org/officeDocument/2006/relationships" ref="E75" display="AU2065646519525" r:id="rId74"/>
    <hyperlink xmlns:r="http://schemas.openxmlformats.org/officeDocument/2006/relationships" ref="E76" display="AU2065646519525" r:id="rId75"/>
    <hyperlink xmlns:r="http://schemas.openxmlformats.org/officeDocument/2006/relationships" ref="E77" display="AU2065646519525" r:id="rId76"/>
    <hyperlink xmlns:r="http://schemas.openxmlformats.org/officeDocument/2006/relationships" ref="E78" display="AU2065646519525" r:id="rId77"/>
    <hyperlink xmlns:r="http://schemas.openxmlformats.org/officeDocument/2006/relationships" ref="E79" display="AU2065646519525" r:id="rId78"/>
    <hyperlink xmlns:r="http://schemas.openxmlformats.org/officeDocument/2006/relationships" ref="E80" display="AU2065646519525" r:id="rId79"/>
    <hyperlink xmlns:r="http://schemas.openxmlformats.org/officeDocument/2006/relationships" ref="E81" display="AU2065646519525" r:id="rId80"/>
    <hyperlink xmlns:r="http://schemas.openxmlformats.org/officeDocument/2006/relationships" ref="E82" display="AU2065646519525" r:id="rId81"/>
    <hyperlink xmlns:r="http://schemas.openxmlformats.org/officeDocument/2006/relationships" ref="E83" display="AU2065646519525" r:id="rId82"/>
    <hyperlink xmlns:r="http://schemas.openxmlformats.org/officeDocument/2006/relationships" ref="E84" display="AU2065646519525" r:id="rId83"/>
    <hyperlink xmlns:r="http://schemas.openxmlformats.org/officeDocument/2006/relationships" ref="E85" display="AU2065646519525" r:id="rId84"/>
    <hyperlink xmlns:r="http://schemas.openxmlformats.org/officeDocument/2006/relationships" ref="E86" display="AU2065646519525" r:id="rId85"/>
    <hyperlink xmlns:r="http://schemas.openxmlformats.org/officeDocument/2006/relationships" ref="E87" display="AU2065646519525" r:id="rId86"/>
    <hyperlink xmlns:r="http://schemas.openxmlformats.org/officeDocument/2006/relationships" ref="E88" display="AU2065646519525" r:id="rId87"/>
    <hyperlink xmlns:r="http://schemas.openxmlformats.org/officeDocument/2006/relationships" ref="E89" display="AU2065646519525" r:id="rId88"/>
    <hyperlink xmlns:r="http://schemas.openxmlformats.org/officeDocument/2006/relationships" ref="E90" display="AU2065646519525" r:id="rId89"/>
    <hyperlink xmlns:r="http://schemas.openxmlformats.org/officeDocument/2006/relationships" ref="E91" display="AU2065646519525" r:id="rId90"/>
    <hyperlink xmlns:r="http://schemas.openxmlformats.org/officeDocument/2006/relationships" ref="E92" display="AU2065646519525" r:id="rId91"/>
    <hyperlink xmlns:r="http://schemas.openxmlformats.org/officeDocument/2006/relationships" ref="E93" display="AU2065646519525" r:id="rId92"/>
    <hyperlink xmlns:r="http://schemas.openxmlformats.org/officeDocument/2006/relationships" ref="E94" display="AU2065646519525" r:id="rId93"/>
    <hyperlink xmlns:r="http://schemas.openxmlformats.org/officeDocument/2006/relationships" ref="E95" display="AU2065646519525" r:id="rId94"/>
    <hyperlink xmlns:r="http://schemas.openxmlformats.org/officeDocument/2006/relationships" ref="E96" display="AU2065646519525" r:id="rId95"/>
    <hyperlink xmlns:r="http://schemas.openxmlformats.org/officeDocument/2006/relationships" ref="E97" display="AU2065646519525" r:id="rId96"/>
    <hyperlink xmlns:r="http://schemas.openxmlformats.org/officeDocument/2006/relationships" ref="E98" display="AU2065646519525" r:id="rId97"/>
    <hyperlink xmlns:r="http://schemas.openxmlformats.org/officeDocument/2006/relationships" ref="E99" display="AU2065646519525" r:id="rId98"/>
    <hyperlink xmlns:r="http://schemas.openxmlformats.org/officeDocument/2006/relationships" ref="E100" display="AU2065646519525" r:id="rId99"/>
    <hyperlink xmlns:r="http://schemas.openxmlformats.org/officeDocument/2006/relationships" ref="E101" display="AU2065646519525" r:id="rId100"/>
    <hyperlink xmlns:r="http://schemas.openxmlformats.org/officeDocument/2006/relationships" ref="E102" display="AU2065646519525" r:id="rId101"/>
    <hyperlink xmlns:r="http://schemas.openxmlformats.org/officeDocument/2006/relationships" ref="E103" display="AU2065646519525" r:id="rId102"/>
    <hyperlink xmlns:r="http://schemas.openxmlformats.org/officeDocument/2006/relationships" ref="E104" display="AU2065646519525" r:id="rId103"/>
    <hyperlink xmlns:r="http://schemas.openxmlformats.org/officeDocument/2006/relationships" ref="E105" display="AU2065646519525" r:id="rId104"/>
    <hyperlink xmlns:r="http://schemas.openxmlformats.org/officeDocument/2006/relationships" ref="E106" display="AU2065646519525" r:id="rId105"/>
    <hyperlink xmlns:r="http://schemas.openxmlformats.org/officeDocument/2006/relationships" ref="E107" display="AU2065646519525" r:id="rId106"/>
    <hyperlink xmlns:r="http://schemas.openxmlformats.org/officeDocument/2006/relationships" ref="E108" display="AU2065646519525" r:id="rId107"/>
    <hyperlink xmlns:r="http://schemas.openxmlformats.org/officeDocument/2006/relationships" ref="E109" display="AU2065646519525" r:id="rId108"/>
    <hyperlink xmlns:r="http://schemas.openxmlformats.org/officeDocument/2006/relationships" ref="E110" display="AU2065646519525" r:id="rId109"/>
    <hyperlink xmlns:r="http://schemas.openxmlformats.org/officeDocument/2006/relationships" ref="E111" display="AU2065646519525" r:id="rId110"/>
    <hyperlink xmlns:r="http://schemas.openxmlformats.org/officeDocument/2006/relationships" ref="E112" display="AU2065646519525" r:id="rId111"/>
    <hyperlink xmlns:r="http://schemas.openxmlformats.org/officeDocument/2006/relationships" ref="E113" display="AU2065646519525" r:id="rId112"/>
    <hyperlink xmlns:r="http://schemas.openxmlformats.org/officeDocument/2006/relationships" ref="E114" display="AU2065646519525" r:id="rId113"/>
    <hyperlink xmlns:r="http://schemas.openxmlformats.org/officeDocument/2006/relationships" ref="E115" display="AU2065646519525" r:id="rId114"/>
    <hyperlink xmlns:r="http://schemas.openxmlformats.org/officeDocument/2006/relationships" ref="E116" display="AU2065646519525" r:id="rId115"/>
    <hyperlink xmlns:r="http://schemas.openxmlformats.org/officeDocument/2006/relationships" ref="E117" display="AU2065646519525" r:id="rId116"/>
    <hyperlink xmlns:r="http://schemas.openxmlformats.org/officeDocument/2006/relationships" ref="E118" display="AU2065646519525" r:id="rId117"/>
    <hyperlink xmlns:r="http://schemas.openxmlformats.org/officeDocument/2006/relationships" ref="E119" display="AU2065646519525" r:id="rId118"/>
    <hyperlink xmlns:r="http://schemas.openxmlformats.org/officeDocument/2006/relationships" ref="E120" display="AU2065646519525" r:id="rId119"/>
    <hyperlink xmlns:r="http://schemas.openxmlformats.org/officeDocument/2006/relationships" ref="E121" display="AU2065646519525" r:id="rId120"/>
    <hyperlink xmlns:r="http://schemas.openxmlformats.org/officeDocument/2006/relationships" ref="E122" display="AU2065646519525" r:id="rId121"/>
    <hyperlink xmlns:r="http://schemas.openxmlformats.org/officeDocument/2006/relationships" ref="E123" display="AU2065646519525" r:id="rId122"/>
    <hyperlink xmlns:r="http://schemas.openxmlformats.org/officeDocument/2006/relationships" ref="E124" display="AU2065646519525" r:id="rId123"/>
    <hyperlink xmlns:r="http://schemas.openxmlformats.org/officeDocument/2006/relationships" ref="E125" display="AU2065646519525" r:id="rId124"/>
    <hyperlink xmlns:r="http://schemas.openxmlformats.org/officeDocument/2006/relationships" ref="E126" display="AU2065646519525" r:id="rId125"/>
    <hyperlink xmlns:r="http://schemas.openxmlformats.org/officeDocument/2006/relationships" ref="E127" display="AU2065646519525" r:id="rId126"/>
    <hyperlink xmlns:r="http://schemas.openxmlformats.org/officeDocument/2006/relationships" ref="E128" display="AU2065646519525" r:id="rId127"/>
    <hyperlink xmlns:r="http://schemas.openxmlformats.org/officeDocument/2006/relationships" ref="E129" display="AU2065646519525" r:id="rId128"/>
    <hyperlink xmlns:r="http://schemas.openxmlformats.org/officeDocument/2006/relationships" ref="E130" display="AU2065646519525" r:id="rId129"/>
    <hyperlink xmlns:r="http://schemas.openxmlformats.org/officeDocument/2006/relationships" ref="E131" display="AU2065646519525" r:id="rId130"/>
    <hyperlink xmlns:r="http://schemas.openxmlformats.org/officeDocument/2006/relationships" ref="E132" display="AU2065646519525" r:id="rId131"/>
    <hyperlink xmlns:r="http://schemas.openxmlformats.org/officeDocument/2006/relationships" ref="E133" display="AU2065646519525" r:id="rId132"/>
    <hyperlink xmlns:r="http://schemas.openxmlformats.org/officeDocument/2006/relationships" ref="E134" display="AU2065646519525" r:id="rId133"/>
    <hyperlink xmlns:r="http://schemas.openxmlformats.org/officeDocument/2006/relationships" ref="E135" display="AU2065646519525" r:id="rId134"/>
    <hyperlink xmlns:r="http://schemas.openxmlformats.org/officeDocument/2006/relationships" ref="E136" display="AU2065646519525" r:id="rId135"/>
    <hyperlink xmlns:r="http://schemas.openxmlformats.org/officeDocument/2006/relationships" ref="E137" display="AU2065646519525" r:id="rId136"/>
    <hyperlink xmlns:r="http://schemas.openxmlformats.org/officeDocument/2006/relationships" ref="E138" display="AU2065646519525" r:id="rId137"/>
    <hyperlink xmlns:r="http://schemas.openxmlformats.org/officeDocument/2006/relationships" ref="E139" display="AU2065646519525" r:id="rId138"/>
    <hyperlink xmlns:r="http://schemas.openxmlformats.org/officeDocument/2006/relationships" ref="E140" display="AU2065646519525" r:id="rId139"/>
    <hyperlink xmlns:r="http://schemas.openxmlformats.org/officeDocument/2006/relationships" ref="E141" display="AU2065646519525" r:id="rId140"/>
    <hyperlink xmlns:r="http://schemas.openxmlformats.org/officeDocument/2006/relationships" ref="E142" display="AU2065646519525" r:id="rId141"/>
    <hyperlink xmlns:r="http://schemas.openxmlformats.org/officeDocument/2006/relationships" ref="E143" display="AU2065646519525" r:id="rId142"/>
    <hyperlink xmlns:r="http://schemas.openxmlformats.org/officeDocument/2006/relationships" ref="E144" display="AU2065646519525" r:id="rId143"/>
    <hyperlink xmlns:r="http://schemas.openxmlformats.org/officeDocument/2006/relationships" ref="E145" display="AU2065646519525" r:id="rId144"/>
    <hyperlink xmlns:r="http://schemas.openxmlformats.org/officeDocument/2006/relationships" ref="E146" display="AU2065646519525" r:id="rId145"/>
    <hyperlink xmlns:r="http://schemas.openxmlformats.org/officeDocument/2006/relationships" ref="E147" display="AU2065646519525" r:id="rId146"/>
    <hyperlink xmlns:r="http://schemas.openxmlformats.org/officeDocument/2006/relationships" ref="E148" display="AU2065646519525" r:id="rId147"/>
    <hyperlink xmlns:r="http://schemas.openxmlformats.org/officeDocument/2006/relationships" ref="E149" display="AU2065646519525" r:id="rId148"/>
    <hyperlink xmlns:r="http://schemas.openxmlformats.org/officeDocument/2006/relationships" ref="E150" display="AU2065646519525" r:id="rId149"/>
    <hyperlink xmlns:r="http://schemas.openxmlformats.org/officeDocument/2006/relationships" ref="E151" display="AU2065646519525" r:id="rId150"/>
    <hyperlink xmlns:r="http://schemas.openxmlformats.org/officeDocument/2006/relationships" ref="E152" display="AU2065646519525" r:id="rId151"/>
    <hyperlink xmlns:r="http://schemas.openxmlformats.org/officeDocument/2006/relationships" ref="E153" display="AU2065646519525" r:id="rId152"/>
    <hyperlink xmlns:r="http://schemas.openxmlformats.org/officeDocument/2006/relationships" ref="E154" display="AU2065646519525" r:id="rId153"/>
    <hyperlink xmlns:r="http://schemas.openxmlformats.org/officeDocument/2006/relationships" ref="E155" display="AU2065646519525" r:id="rId154"/>
    <hyperlink xmlns:r="http://schemas.openxmlformats.org/officeDocument/2006/relationships" ref="E156" display="AU2065646519525" r:id="rId155"/>
    <hyperlink xmlns:r="http://schemas.openxmlformats.org/officeDocument/2006/relationships" ref="E157" display="AU2065646519525" r:id="rId156"/>
    <hyperlink xmlns:r="http://schemas.openxmlformats.org/officeDocument/2006/relationships" ref="E158" display="AU2065646519525" r:id="rId157"/>
    <hyperlink xmlns:r="http://schemas.openxmlformats.org/officeDocument/2006/relationships" ref="E159" display="AU2065646519525" r:id="rId158"/>
    <hyperlink xmlns:r="http://schemas.openxmlformats.org/officeDocument/2006/relationships" ref="E160" display="AU2065646519525" r:id="rId159"/>
    <hyperlink xmlns:r="http://schemas.openxmlformats.org/officeDocument/2006/relationships" ref="E161" display="AU2065646519525" r:id="rId160"/>
    <hyperlink xmlns:r="http://schemas.openxmlformats.org/officeDocument/2006/relationships" ref="E162" display="AU2065646519525" r:id="rId161"/>
    <hyperlink xmlns:r="http://schemas.openxmlformats.org/officeDocument/2006/relationships" ref="E163" display="AU2065646519525" r:id="rId162"/>
    <hyperlink xmlns:r="http://schemas.openxmlformats.org/officeDocument/2006/relationships" ref="E164" display="AU2065646519525" r:id="rId163"/>
    <hyperlink xmlns:r="http://schemas.openxmlformats.org/officeDocument/2006/relationships" ref="E165" display="AU2065646519525" r:id="rId164"/>
    <hyperlink xmlns:r="http://schemas.openxmlformats.org/officeDocument/2006/relationships" ref="E166" display="AU2065646519525" r:id="rId165"/>
    <hyperlink xmlns:r="http://schemas.openxmlformats.org/officeDocument/2006/relationships" ref="E167" display="AU2065646519525" r:id="rId166"/>
    <hyperlink xmlns:r="http://schemas.openxmlformats.org/officeDocument/2006/relationships" ref="E168" display="AU2065646519525" r:id="rId167"/>
    <hyperlink xmlns:r="http://schemas.openxmlformats.org/officeDocument/2006/relationships" ref="E169" display="AU2065646519525" r:id="rId168"/>
    <hyperlink xmlns:r="http://schemas.openxmlformats.org/officeDocument/2006/relationships" ref="E170" display="AU2065646519525" r:id="rId169"/>
    <hyperlink xmlns:r="http://schemas.openxmlformats.org/officeDocument/2006/relationships" ref="E171" display="AU2065646519525" r:id="rId170"/>
    <hyperlink xmlns:r="http://schemas.openxmlformats.org/officeDocument/2006/relationships" ref="E172" display="AU2065646519525" r:id="rId171"/>
    <hyperlink xmlns:r="http://schemas.openxmlformats.org/officeDocument/2006/relationships" ref="E173" display="AU2065646519525" r:id="rId172"/>
    <hyperlink xmlns:r="http://schemas.openxmlformats.org/officeDocument/2006/relationships" ref="E174" display="AU2065646519525" r:id="rId173"/>
    <hyperlink xmlns:r="http://schemas.openxmlformats.org/officeDocument/2006/relationships" ref="E175" display="AU2065646519525" r:id="rId174"/>
    <hyperlink xmlns:r="http://schemas.openxmlformats.org/officeDocument/2006/relationships" ref="E176" display="AU2065646519525" r:id="rId175"/>
    <hyperlink xmlns:r="http://schemas.openxmlformats.org/officeDocument/2006/relationships" ref="E177" display="AU2065646519525" r:id="rId176"/>
    <hyperlink xmlns:r="http://schemas.openxmlformats.org/officeDocument/2006/relationships" ref="E178" display="AU2065646519525" r:id="rId177"/>
    <hyperlink xmlns:r="http://schemas.openxmlformats.org/officeDocument/2006/relationships" ref="E179" display="AU2065646519525" r:id="rId178"/>
    <hyperlink xmlns:r="http://schemas.openxmlformats.org/officeDocument/2006/relationships" ref="E180" display="AU2065646519525" r:id="rId179"/>
    <hyperlink xmlns:r="http://schemas.openxmlformats.org/officeDocument/2006/relationships" ref="E181" display="AU2065646519525" r:id="rId180"/>
    <hyperlink xmlns:r="http://schemas.openxmlformats.org/officeDocument/2006/relationships" ref="E182" display="AU2065646519525" r:id="rId181"/>
    <hyperlink xmlns:r="http://schemas.openxmlformats.org/officeDocument/2006/relationships" ref="E183" display="AU2065646519525" r:id="rId182"/>
    <hyperlink xmlns:r="http://schemas.openxmlformats.org/officeDocument/2006/relationships" ref="E184" display="AU2065646519525" r:id="rId183"/>
    <hyperlink xmlns:r="http://schemas.openxmlformats.org/officeDocument/2006/relationships" ref="E185" display="AU2065646519525" r:id="rId184"/>
    <hyperlink xmlns:r="http://schemas.openxmlformats.org/officeDocument/2006/relationships" ref="E186" display="AU2065646519525" r:id="rId185"/>
    <hyperlink xmlns:r="http://schemas.openxmlformats.org/officeDocument/2006/relationships" ref="E187" display="AU2065646519525" r:id="rId186"/>
    <hyperlink xmlns:r="http://schemas.openxmlformats.org/officeDocument/2006/relationships" ref="E188" display="AU2065646519525" r:id="rId187"/>
    <hyperlink xmlns:r="http://schemas.openxmlformats.org/officeDocument/2006/relationships" ref="E189" display="AU2065646519525" r:id="rId188"/>
    <hyperlink xmlns:r="http://schemas.openxmlformats.org/officeDocument/2006/relationships" ref="E190" display="AU2065646519525" r:id="rId189"/>
    <hyperlink xmlns:r="http://schemas.openxmlformats.org/officeDocument/2006/relationships" ref="E191" display="AU2065646519525" r:id="rId190"/>
    <hyperlink xmlns:r="http://schemas.openxmlformats.org/officeDocument/2006/relationships" ref="E192" display="AU2065646519525" r:id="rId191"/>
    <hyperlink xmlns:r="http://schemas.openxmlformats.org/officeDocument/2006/relationships" ref="E193" display="AU2065646519525" r:id="rId192"/>
    <hyperlink xmlns:r="http://schemas.openxmlformats.org/officeDocument/2006/relationships" ref="E194" display="AU2065646519525" r:id="rId193"/>
    <hyperlink xmlns:r="http://schemas.openxmlformats.org/officeDocument/2006/relationships" ref="E195" display="AU2065646519525" r:id="rId194"/>
    <hyperlink xmlns:r="http://schemas.openxmlformats.org/officeDocument/2006/relationships" ref="E196" display="AU2065646519525" r:id="rId195"/>
    <hyperlink xmlns:r="http://schemas.openxmlformats.org/officeDocument/2006/relationships" ref="E197" display="AU2065646519525" r:id="rId196"/>
    <hyperlink xmlns:r="http://schemas.openxmlformats.org/officeDocument/2006/relationships" ref="E198" display="AU2065646519525" r:id="rId197"/>
    <hyperlink xmlns:r="http://schemas.openxmlformats.org/officeDocument/2006/relationships" ref="E199" display="AU2065646519525" r:id="rId198"/>
    <hyperlink xmlns:r="http://schemas.openxmlformats.org/officeDocument/2006/relationships" ref="E200" display="AU2065646519525" r:id="rId199"/>
    <hyperlink xmlns:r="http://schemas.openxmlformats.org/officeDocument/2006/relationships" ref="E201" display="AU2065646519525" r:id="rId200"/>
    <hyperlink xmlns:r="http://schemas.openxmlformats.org/officeDocument/2006/relationships" ref="E202" display="AU2065646519525" r:id="rId201"/>
    <hyperlink xmlns:r="http://schemas.openxmlformats.org/officeDocument/2006/relationships" ref="E203" display="AU2065646519525" r:id="rId202"/>
    <hyperlink xmlns:r="http://schemas.openxmlformats.org/officeDocument/2006/relationships" ref="E204" display="AU2065646519525" r:id="rId203"/>
    <hyperlink xmlns:r="http://schemas.openxmlformats.org/officeDocument/2006/relationships" ref="E205" display="AU2065646519525" r:id="rId204"/>
    <hyperlink xmlns:r="http://schemas.openxmlformats.org/officeDocument/2006/relationships" ref="E206" display="AU2065646519525" r:id="rId205"/>
    <hyperlink xmlns:r="http://schemas.openxmlformats.org/officeDocument/2006/relationships" ref="E207" display="AU2065646519525" r:id="rId206"/>
    <hyperlink xmlns:r="http://schemas.openxmlformats.org/officeDocument/2006/relationships" ref="E208" display="AU2065646519525" r:id="rId207"/>
    <hyperlink xmlns:r="http://schemas.openxmlformats.org/officeDocument/2006/relationships" ref="E209" display="AU2065646519525" r:id="rId208"/>
    <hyperlink xmlns:r="http://schemas.openxmlformats.org/officeDocument/2006/relationships" ref="E210" display="AU2065646519525" r:id="rId209"/>
    <hyperlink xmlns:r="http://schemas.openxmlformats.org/officeDocument/2006/relationships" ref="E211" display="AU2065646519525" r:id="rId210"/>
    <hyperlink xmlns:r="http://schemas.openxmlformats.org/officeDocument/2006/relationships" ref="E212" display="AU2065646519525" r:id="rId211"/>
    <hyperlink xmlns:r="http://schemas.openxmlformats.org/officeDocument/2006/relationships" ref="E213" display="AU2065646519525" r:id="rId212"/>
    <hyperlink xmlns:r="http://schemas.openxmlformats.org/officeDocument/2006/relationships" ref="E214" display="AU2065646519525" r:id="rId213"/>
    <hyperlink xmlns:r="http://schemas.openxmlformats.org/officeDocument/2006/relationships" ref="E215" display="AU2065646519525" r:id="rId214"/>
    <hyperlink xmlns:r="http://schemas.openxmlformats.org/officeDocument/2006/relationships" ref="E216" display="AU2065646519525" r:id="rId215"/>
    <hyperlink xmlns:r="http://schemas.openxmlformats.org/officeDocument/2006/relationships" ref="E217" display="AU2065646519525" r:id="rId216"/>
    <hyperlink xmlns:r="http://schemas.openxmlformats.org/officeDocument/2006/relationships" ref="E218" display="AU2065646519525" r:id="rId217"/>
    <hyperlink xmlns:r="http://schemas.openxmlformats.org/officeDocument/2006/relationships" ref="E219" display="AU2065646519525" r:id="rId218"/>
    <hyperlink xmlns:r="http://schemas.openxmlformats.org/officeDocument/2006/relationships" ref="E220" display="AU2065646519525" r:id="rId219"/>
    <hyperlink xmlns:r="http://schemas.openxmlformats.org/officeDocument/2006/relationships" ref="E221" display="AU2065646519525" r:id="rId220"/>
    <hyperlink xmlns:r="http://schemas.openxmlformats.org/officeDocument/2006/relationships" ref="E222" display="AU2065646519525" r:id="rId221"/>
    <hyperlink xmlns:r="http://schemas.openxmlformats.org/officeDocument/2006/relationships" ref="E223" display="AU2065646519525" r:id="rId222"/>
    <hyperlink xmlns:r="http://schemas.openxmlformats.org/officeDocument/2006/relationships" ref="E224" display="AU2065646519525" r:id="rId223"/>
    <hyperlink xmlns:r="http://schemas.openxmlformats.org/officeDocument/2006/relationships" ref="E225" display="AU2065646519525" r:id="rId224"/>
    <hyperlink xmlns:r="http://schemas.openxmlformats.org/officeDocument/2006/relationships" ref="E226" display="AU2065646519525" r:id="rId225"/>
    <hyperlink xmlns:r="http://schemas.openxmlformats.org/officeDocument/2006/relationships" ref="E227" display="AU2065646519525" r:id="rId226"/>
    <hyperlink xmlns:r="http://schemas.openxmlformats.org/officeDocument/2006/relationships" ref="E228" display="AU2065646519525" r:id="rId227"/>
    <hyperlink xmlns:r="http://schemas.openxmlformats.org/officeDocument/2006/relationships" ref="E229" display="AU2065646519525" r:id="rId228"/>
    <hyperlink xmlns:r="http://schemas.openxmlformats.org/officeDocument/2006/relationships" ref="E230" display="AU2065646519525" r:id="rId229"/>
    <hyperlink xmlns:r="http://schemas.openxmlformats.org/officeDocument/2006/relationships" ref="E231" display="AU2065646519525" r:id="rId230"/>
    <hyperlink xmlns:r="http://schemas.openxmlformats.org/officeDocument/2006/relationships" ref="E232" display="AU2065646519525" r:id="rId231"/>
    <hyperlink xmlns:r="http://schemas.openxmlformats.org/officeDocument/2006/relationships" ref="E233" display="AU2065646519525" r:id="rId232"/>
    <hyperlink xmlns:r="http://schemas.openxmlformats.org/officeDocument/2006/relationships" ref="E234" display="AU2065646519525" r:id="rId233"/>
    <hyperlink xmlns:r="http://schemas.openxmlformats.org/officeDocument/2006/relationships" ref="E235" display="AU2065646519525" r:id="rId234"/>
    <hyperlink xmlns:r="http://schemas.openxmlformats.org/officeDocument/2006/relationships" ref="E236" display="AU2065646519525" r:id="rId235"/>
    <hyperlink xmlns:r="http://schemas.openxmlformats.org/officeDocument/2006/relationships" ref="E237" display="AU2065646519525" r:id="rId236"/>
    <hyperlink xmlns:r="http://schemas.openxmlformats.org/officeDocument/2006/relationships" ref="E238" display="AU2065646519525" r:id="rId237"/>
    <hyperlink xmlns:r="http://schemas.openxmlformats.org/officeDocument/2006/relationships" ref="E239" display="AU2065646519525" r:id="rId238"/>
    <hyperlink xmlns:r="http://schemas.openxmlformats.org/officeDocument/2006/relationships" ref="E240" display="AU2065646519525" r:id="rId239"/>
    <hyperlink xmlns:r="http://schemas.openxmlformats.org/officeDocument/2006/relationships" ref="E241" display="AU2065646519525" r:id="rId240"/>
    <hyperlink xmlns:r="http://schemas.openxmlformats.org/officeDocument/2006/relationships" ref="E242" display="AU2065646519525" r:id="rId241"/>
    <hyperlink xmlns:r="http://schemas.openxmlformats.org/officeDocument/2006/relationships" ref="E243" display="AU2065646519525" r:id="rId242"/>
    <hyperlink xmlns:r="http://schemas.openxmlformats.org/officeDocument/2006/relationships" ref="E244" display="AU2065646519525" r:id="rId243"/>
    <hyperlink xmlns:r="http://schemas.openxmlformats.org/officeDocument/2006/relationships" ref="E245" display="AU2065646519525" r:id="rId244"/>
    <hyperlink xmlns:r="http://schemas.openxmlformats.org/officeDocument/2006/relationships" ref="E246" display="AU2065646519525" r:id="rId245"/>
    <hyperlink xmlns:r="http://schemas.openxmlformats.org/officeDocument/2006/relationships" ref="E247" display="AU2065646519525" r:id="rId246"/>
    <hyperlink xmlns:r="http://schemas.openxmlformats.org/officeDocument/2006/relationships" ref="E248" display="AU2065646519525" r:id="rId247"/>
    <hyperlink xmlns:r="http://schemas.openxmlformats.org/officeDocument/2006/relationships" ref="E249" display="AU2065646519525" r:id="rId248"/>
    <hyperlink xmlns:r="http://schemas.openxmlformats.org/officeDocument/2006/relationships" ref="E250" display="AU2065646519525" r:id="rId249"/>
    <hyperlink xmlns:r="http://schemas.openxmlformats.org/officeDocument/2006/relationships" ref="E251" display="AU2065646519525" r:id="rId250"/>
    <hyperlink xmlns:r="http://schemas.openxmlformats.org/officeDocument/2006/relationships" ref="E252" display="AU2065646519525" r:id="rId251"/>
    <hyperlink xmlns:r="http://schemas.openxmlformats.org/officeDocument/2006/relationships" ref="E253" display="AU2065646519525" r:id="rId252"/>
    <hyperlink xmlns:r="http://schemas.openxmlformats.org/officeDocument/2006/relationships" ref="E254" display="AU2065646519525" r:id="rId253"/>
    <hyperlink xmlns:r="http://schemas.openxmlformats.org/officeDocument/2006/relationships" ref="E255" display="AU2065646519525" r:id="rId254"/>
    <hyperlink xmlns:r="http://schemas.openxmlformats.org/officeDocument/2006/relationships" ref="E256" display="AU2065646519525" r:id="rId255"/>
    <hyperlink xmlns:r="http://schemas.openxmlformats.org/officeDocument/2006/relationships" ref="E257" display="AU2065646519525" r:id="rId256"/>
    <hyperlink xmlns:r="http://schemas.openxmlformats.org/officeDocument/2006/relationships" ref="E258" display="AU2065646519525" r:id="rId257"/>
    <hyperlink xmlns:r="http://schemas.openxmlformats.org/officeDocument/2006/relationships" ref="E259" display="AU2065646519525" r:id="rId258"/>
    <hyperlink xmlns:r="http://schemas.openxmlformats.org/officeDocument/2006/relationships" ref="E260" display="AU2065646519525" r:id="rId259"/>
    <hyperlink xmlns:r="http://schemas.openxmlformats.org/officeDocument/2006/relationships" ref="E261" display="AU2065646519525" r:id="rId260"/>
    <hyperlink xmlns:r="http://schemas.openxmlformats.org/officeDocument/2006/relationships" ref="E262" display="AU2065646519525" r:id="rId261"/>
    <hyperlink xmlns:r="http://schemas.openxmlformats.org/officeDocument/2006/relationships" ref="E263" display="AU2065646519525" r:id="rId262"/>
    <hyperlink xmlns:r="http://schemas.openxmlformats.org/officeDocument/2006/relationships" ref="E264" display="AU2065646519525" r:id="rId263"/>
    <hyperlink xmlns:r="http://schemas.openxmlformats.org/officeDocument/2006/relationships" ref="E265" display="AU2065646519525" r:id="rId264"/>
    <hyperlink xmlns:r="http://schemas.openxmlformats.org/officeDocument/2006/relationships" ref="E266" display="AU2065646519525" r:id="rId265"/>
    <hyperlink xmlns:r="http://schemas.openxmlformats.org/officeDocument/2006/relationships" ref="E267" display="AU2065646519525" r:id="rId266"/>
    <hyperlink xmlns:r="http://schemas.openxmlformats.org/officeDocument/2006/relationships" ref="E268" display="AU2065646519525" r:id="rId267"/>
    <hyperlink xmlns:r="http://schemas.openxmlformats.org/officeDocument/2006/relationships" ref="E269" display="AU2065646519525" r:id="rId268"/>
    <hyperlink xmlns:r="http://schemas.openxmlformats.org/officeDocument/2006/relationships" ref="E270" display="AU2065646519525" r:id="rId269"/>
    <hyperlink xmlns:r="http://schemas.openxmlformats.org/officeDocument/2006/relationships" ref="E271" display="AU2065646519525" r:id="rId270"/>
    <hyperlink xmlns:r="http://schemas.openxmlformats.org/officeDocument/2006/relationships" ref="E272" display="AU2065646519525" r:id="rId271"/>
    <hyperlink xmlns:r="http://schemas.openxmlformats.org/officeDocument/2006/relationships" ref="E273" display="AU2065646519525" r:id="rId272"/>
    <hyperlink xmlns:r="http://schemas.openxmlformats.org/officeDocument/2006/relationships" ref="E274" display="AU2065646519525" r:id="rId273"/>
    <hyperlink xmlns:r="http://schemas.openxmlformats.org/officeDocument/2006/relationships" ref="E275" display="AU2065646519525" r:id="rId274"/>
    <hyperlink xmlns:r="http://schemas.openxmlformats.org/officeDocument/2006/relationships" ref="E276" display="AU2065646519525" r:id="rId275"/>
    <hyperlink xmlns:r="http://schemas.openxmlformats.org/officeDocument/2006/relationships" ref="E277" display="AU2065646519525" r:id="rId276"/>
    <hyperlink xmlns:r="http://schemas.openxmlformats.org/officeDocument/2006/relationships" ref="E278" display="AU2065646519525" r:id="rId277"/>
    <hyperlink xmlns:r="http://schemas.openxmlformats.org/officeDocument/2006/relationships" ref="E279" display="AU2065646519525" r:id="rId278"/>
    <hyperlink xmlns:r="http://schemas.openxmlformats.org/officeDocument/2006/relationships" ref="E280" display="AU2065646519525" r:id="rId279"/>
    <hyperlink xmlns:r="http://schemas.openxmlformats.org/officeDocument/2006/relationships" ref="E281" display="AU2065646519525" r:id="rId280"/>
    <hyperlink xmlns:r="http://schemas.openxmlformats.org/officeDocument/2006/relationships" ref="E282" display="AU2065646519525" r:id="rId281"/>
    <hyperlink xmlns:r="http://schemas.openxmlformats.org/officeDocument/2006/relationships" ref="E283" display="AU2065646519525" r:id="rId282"/>
    <hyperlink xmlns:r="http://schemas.openxmlformats.org/officeDocument/2006/relationships" ref="E284" display="AU2065646519525" r:id="rId283"/>
    <hyperlink xmlns:r="http://schemas.openxmlformats.org/officeDocument/2006/relationships" ref="E285" display="AU2065646519525" r:id="rId284"/>
    <hyperlink xmlns:r="http://schemas.openxmlformats.org/officeDocument/2006/relationships" ref="E286" display="AU2065646519525" r:id="rId285"/>
    <hyperlink xmlns:r="http://schemas.openxmlformats.org/officeDocument/2006/relationships" ref="E287" display="AU2065646519525" r:id="rId286"/>
    <hyperlink xmlns:r="http://schemas.openxmlformats.org/officeDocument/2006/relationships" ref="E288" display="AU2065646519525" r:id="rId287"/>
    <hyperlink xmlns:r="http://schemas.openxmlformats.org/officeDocument/2006/relationships" ref="E289" display="AU2065646519525" r:id="rId288"/>
    <hyperlink xmlns:r="http://schemas.openxmlformats.org/officeDocument/2006/relationships" ref="E290" display="AU2065646519525" r:id="rId289"/>
    <hyperlink xmlns:r="http://schemas.openxmlformats.org/officeDocument/2006/relationships" ref="E291" display="AU2065646519525" r:id="rId290"/>
    <hyperlink xmlns:r="http://schemas.openxmlformats.org/officeDocument/2006/relationships" ref="E292" display="AU2065646519525" r:id="rId291"/>
    <hyperlink xmlns:r="http://schemas.openxmlformats.org/officeDocument/2006/relationships" ref="E293" display="AU2065646519525" r:id="rId292"/>
    <hyperlink xmlns:r="http://schemas.openxmlformats.org/officeDocument/2006/relationships" ref="E294" display="AU2065646519525" r:id="rId293"/>
    <hyperlink xmlns:r="http://schemas.openxmlformats.org/officeDocument/2006/relationships" ref="E295" display="AU2065646519525" r:id="rId294"/>
    <hyperlink xmlns:r="http://schemas.openxmlformats.org/officeDocument/2006/relationships" ref="E296" display="AU2065646519525" r:id="rId295"/>
    <hyperlink xmlns:r="http://schemas.openxmlformats.org/officeDocument/2006/relationships" ref="E297" display="AU2065646519525" r:id="rId296"/>
    <hyperlink xmlns:r="http://schemas.openxmlformats.org/officeDocument/2006/relationships" ref="E298" display="AU2065646519525" r:id="rId297"/>
    <hyperlink xmlns:r="http://schemas.openxmlformats.org/officeDocument/2006/relationships" ref="E299" display="AU2065646519525" r:id="rId298"/>
    <hyperlink xmlns:r="http://schemas.openxmlformats.org/officeDocument/2006/relationships" ref="E300" display="AU2065646519525" r:id="rId299"/>
    <hyperlink xmlns:r="http://schemas.openxmlformats.org/officeDocument/2006/relationships" ref="E301" display="AU2065646519525" r:id="rId300"/>
    <hyperlink xmlns:r="http://schemas.openxmlformats.org/officeDocument/2006/relationships" ref="E302" display="AU2065646519525" r:id="rId301"/>
    <hyperlink xmlns:r="http://schemas.openxmlformats.org/officeDocument/2006/relationships" ref="E303" display="AU2065646519525" r:id="rId302"/>
    <hyperlink xmlns:r="http://schemas.openxmlformats.org/officeDocument/2006/relationships" ref="E304" display="AU2065646519525" r:id="rId303"/>
    <hyperlink xmlns:r="http://schemas.openxmlformats.org/officeDocument/2006/relationships" ref="E305" display="AU2065646519525" r:id="rId304"/>
    <hyperlink xmlns:r="http://schemas.openxmlformats.org/officeDocument/2006/relationships" ref="E306" display="AU2065646519525" r:id="rId305"/>
    <hyperlink xmlns:r="http://schemas.openxmlformats.org/officeDocument/2006/relationships" ref="E307" display="AU2065646519525" r:id="rId306"/>
    <hyperlink xmlns:r="http://schemas.openxmlformats.org/officeDocument/2006/relationships" ref="E308" display="AU2065646519525" r:id="rId307"/>
    <hyperlink xmlns:r="http://schemas.openxmlformats.org/officeDocument/2006/relationships" ref="E309" display="AU2065646519525" r:id="rId308"/>
    <hyperlink xmlns:r="http://schemas.openxmlformats.org/officeDocument/2006/relationships" ref="E310" display="AU2065646519525" r:id="rId309"/>
    <hyperlink xmlns:r="http://schemas.openxmlformats.org/officeDocument/2006/relationships" ref="E311" display="AU2065646519525" r:id="rId310"/>
    <hyperlink xmlns:r="http://schemas.openxmlformats.org/officeDocument/2006/relationships" ref="E312" display="AU2065646519525" r:id="rId311"/>
    <hyperlink xmlns:r="http://schemas.openxmlformats.org/officeDocument/2006/relationships" ref="E313" display="AU2065646519525" r:id="rId312"/>
    <hyperlink xmlns:r="http://schemas.openxmlformats.org/officeDocument/2006/relationships" ref="E314" display="AU2065646519525" r:id="rId313"/>
    <hyperlink xmlns:r="http://schemas.openxmlformats.org/officeDocument/2006/relationships" ref="E315" display="AU2065646519525" r:id="rId314"/>
    <hyperlink xmlns:r="http://schemas.openxmlformats.org/officeDocument/2006/relationships" ref="E316" display="AU2065646519525" r:id="rId315"/>
    <hyperlink xmlns:r="http://schemas.openxmlformats.org/officeDocument/2006/relationships" ref="E317" display="AU2065646519525" r:id="rId316"/>
    <hyperlink xmlns:r="http://schemas.openxmlformats.org/officeDocument/2006/relationships" ref="E318" display="AU2065646519525" r:id="rId317"/>
    <hyperlink xmlns:r="http://schemas.openxmlformats.org/officeDocument/2006/relationships" ref="E319" display="AU2065646519525" r:id="rId318"/>
    <hyperlink xmlns:r="http://schemas.openxmlformats.org/officeDocument/2006/relationships" ref="E320" display="AU2065646519525" r:id="rId319"/>
    <hyperlink xmlns:r="http://schemas.openxmlformats.org/officeDocument/2006/relationships" ref="E321" display="AU2065646519525" r:id="rId320"/>
    <hyperlink xmlns:r="http://schemas.openxmlformats.org/officeDocument/2006/relationships" ref="E322" display="AU2065646519525" r:id="rId321"/>
    <hyperlink xmlns:r="http://schemas.openxmlformats.org/officeDocument/2006/relationships" ref="E323" display="AU2065646519525" r:id="rId322"/>
    <hyperlink xmlns:r="http://schemas.openxmlformats.org/officeDocument/2006/relationships" ref="E324" display="AU2065646519525" r:id="rId323"/>
    <hyperlink xmlns:r="http://schemas.openxmlformats.org/officeDocument/2006/relationships" ref="E325" display="AU2065646519525" r:id="rId324"/>
    <hyperlink xmlns:r="http://schemas.openxmlformats.org/officeDocument/2006/relationships" ref="E326" display="AU2065646519525" r:id="rId325"/>
    <hyperlink xmlns:r="http://schemas.openxmlformats.org/officeDocument/2006/relationships" ref="E327" display="AU2065646519525" r:id="rId326"/>
    <hyperlink xmlns:r="http://schemas.openxmlformats.org/officeDocument/2006/relationships" ref="E328" display="AU2065646519525" r:id="rId327"/>
    <hyperlink xmlns:r="http://schemas.openxmlformats.org/officeDocument/2006/relationships" ref="E329" display="AU2065646519525" r:id="rId328"/>
    <hyperlink xmlns:r="http://schemas.openxmlformats.org/officeDocument/2006/relationships" ref="E330" display="AU2065646519525" r:id="rId329"/>
    <hyperlink xmlns:r="http://schemas.openxmlformats.org/officeDocument/2006/relationships" ref="E331" display="AU2065646519525" r:id="rId330"/>
    <hyperlink xmlns:r="http://schemas.openxmlformats.org/officeDocument/2006/relationships" ref="E332" display="AU2065646519525" r:id="rId331"/>
    <hyperlink xmlns:r="http://schemas.openxmlformats.org/officeDocument/2006/relationships" ref="E333" display="AU2065646519525" r:id="rId332"/>
    <hyperlink xmlns:r="http://schemas.openxmlformats.org/officeDocument/2006/relationships" ref="E334" display="AU2065646519525" r:id="rId333"/>
    <hyperlink xmlns:r="http://schemas.openxmlformats.org/officeDocument/2006/relationships" ref="E335" display="AU2065646519525" r:id="rId334"/>
    <hyperlink xmlns:r="http://schemas.openxmlformats.org/officeDocument/2006/relationships" ref="E336" display="AU2065646519525" r:id="rId335"/>
    <hyperlink xmlns:r="http://schemas.openxmlformats.org/officeDocument/2006/relationships" ref="E337" display="AU2065646519525" r:id="rId336"/>
    <hyperlink xmlns:r="http://schemas.openxmlformats.org/officeDocument/2006/relationships" ref="E338" display="AU2065646519525" r:id="rId337"/>
    <hyperlink xmlns:r="http://schemas.openxmlformats.org/officeDocument/2006/relationships" ref="E339" display="AU2065646519525" r:id="rId338"/>
    <hyperlink xmlns:r="http://schemas.openxmlformats.org/officeDocument/2006/relationships" ref="E340" display="AU2065646519525" r:id="rId339"/>
    <hyperlink xmlns:r="http://schemas.openxmlformats.org/officeDocument/2006/relationships" ref="E341" display="AU2065646519525" r:id="rId340"/>
    <hyperlink xmlns:r="http://schemas.openxmlformats.org/officeDocument/2006/relationships" ref="E342" display="AU2065646519525" r:id="rId341"/>
    <hyperlink xmlns:r="http://schemas.openxmlformats.org/officeDocument/2006/relationships" ref="E343" display="AU2065646519525" r:id="rId342"/>
    <hyperlink xmlns:r="http://schemas.openxmlformats.org/officeDocument/2006/relationships" ref="E344" display="AU2065646519525" r:id="rId343"/>
    <hyperlink xmlns:r="http://schemas.openxmlformats.org/officeDocument/2006/relationships" ref="E345" display="AU2065646519525" r:id="rId344"/>
    <hyperlink xmlns:r="http://schemas.openxmlformats.org/officeDocument/2006/relationships" ref="E346" display="AU2065646519525" r:id="rId345"/>
    <hyperlink xmlns:r="http://schemas.openxmlformats.org/officeDocument/2006/relationships" ref="E347" display="AU2065646519525" r:id="rId346"/>
    <hyperlink xmlns:r="http://schemas.openxmlformats.org/officeDocument/2006/relationships" ref="E348" display="AU2065646519525" r:id="rId347"/>
    <hyperlink xmlns:r="http://schemas.openxmlformats.org/officeDocument/2006/relationships" ref="E349" display="AU2065646519525" r:id="rId348"/>
    <hyperlink xmlns:r="http://schemas.openxmlformats.org/officeDocument/2006/relationships" ref="E350" display="AU2065646519525" r:id="rId349"/>
    <hyperlink xmlns:r="http://schemas.openxmlformats.org/officeDocument/2006/relationships" ref="E351" display="AU2065646519525" r:id="rId350"/>
    <hyperlink xmlns:r="http://schemas.openxmlformats.org/officeDocument/2006/relationships" ref="E352" display="AU2065646519525" r:id="rId351"/>
    <hyperlink xmlns:r="http://schemas.openxmlformats.org/officeDocument/2006/relationships" ref="E353" display="AU2065646519525" r:id="rId352"/>
    <hyperlink xmlns:r="http://schemas.openxmlformats.org/officeDocument/2006/relationships" ref="E354" display="AU2065646519525" r:id="rId353"/>
    <hyperlink xmlns:r="http://schemas.openxmlformats.org/officeDocument/2006/relationships" ref="E355" display="AU2065646519525" r:id="rId354"/>
    <hyperlink xmlns:r="http://schemas.openxmlformats.org/officeDocument/2006/relationships" ref="E356" display="AU2065646519525" r:id="rId355"/>
    <hyperlink xmlns:r="http://schemas.openxmlformats.org/officeDocument/2006/relationships" ref="E357" display="AU2065646519525" r:id="rId356"/>
    <hyperlink xmlns:r="http://schemas.openxmlformats.org/officeDocument/2006/relationships" ref="E358" display="AU2065646519525" r:id="rId357"/>
    <hyperlink xmlns:r="http://schemas.openxmlformats.org/officeDocument/2006/relationships" ref="E359" display="AU2065646519525" r:id="rId358"/>
    <hyperlink xmlns:r="http://schemas.openxmlformats.org/officeDocument/2006/relationships" ref="E360" display="AU2065646519525" r:id="rId359"/>
    <hyperlink xmlns:r="http://schemas.openxmlformats.org/officeDocument/2006/relationships" ref="E361" display="AU2065646519525" r:id="rId360"/>
    <hyperlink xmlns:r="http://schemas.openxmlformats.org/officeDocument/2006/relationships" ref="E362" display="AU2065646519525" r:id="rId361"/>
    <hyperlink xmlns:r="http://schemas.openxmlformats.org/officeDocument/2006/relationships" ref="E363" display="AU2065646519525" r:id="rId362"/>
    <hyperlink xmlns:r="http://schemas.openxmlformats.org/officeDocument/2006/relationships" ref="E364" display="AU2065646519525" r:id="rId363"/>
    <hyperlink xmlns:r="http://schemas.openxmlformats.org/officeDocument/2006/relationships" ref="E365" display="AU2065646519525" r:id="rId364"/>
    <hyperlink xmlns:r="http://schemas.openxmlformats.org/officeDocument/2006/relationships" ref="E366" display="AU2065646519525" r:id="rId365"/>
    <hyperlink xmlns:r="http://schemas.openxmlformats.org/officeDocument/2006/relationships" ref="E367" display="AU2065646519525" r:id="rId366"/>
    <hyperlink xmlns:r="http://schemas.openxmlformats.org/officeDocument/2006/relationships" ref="E368" display="AU2065646519525" r:id="rId367"/>
    <hyperlink xmlns:r="http://schemas.openxmlformats.org/officeDocument/2006/relationships" ref="E369" display="AU2065646519525" r:id="rId368"/>
    <hyperlink xmlns:r="http://schemas.openxmlformats.org/officeDocument/2006/relationships" ref="E370" display="AU2065646519525" r:id="rId369"/>
    <hyperlink xmlns:r="http://schemas.openxmlformats.org/officeDocument/2006/relationships" ref="E371" display="AU2065646519525" r:id="rId370"/>
    <hyperlink xmlns:r="http://schemas.openxmlformats.org/officeDocument/2006/relationships" ref="E372" display="AU2065646519525" r:id="rId371"/>
    <hyperlink xmlns:r="http://schemas.openxmlformats.org/officeDocument/2006/relationships" ref="E373" display="AU2065646519525" r:id="rId372"/>
    <hyperlink xmlns:r="http://schemas.openxmlformats.org/officeDocument/2006/relationships" ref="E374" display="AU2065646519525" r:id="rId373"/>
    <hyperlink xmlns:r="http://schemas.openxmlformats.org/officeDocument/2006/relationships" ref="E375" display="AU2065646519525" r:id="rId374"/>
    <hyperlink xmlns:r="http://schemas.openxmlformats.org/officeDocument/2006/relationships" ref="E376" display="AU2065646519525" r:id="rId375"/>
    <hyperlink xmlns:r="http://schemas.openxmlformats.org/officeDocument/2006/relationships" ref="E377" display="AU2065646519525" r:id="rId376"/>
    <hyperlink xmlns:r="http://schemas.openxmlformats.org/officeDocument/2006/relationships" ref="E378" display="AU2065646519525" r:id="rId377"/>
    <hyperlink xmlns:r="http://schemas.openxmlformats.org/officeDocument/2006/relationships" ref="E379" display="AU2065646519525" r:id="rId378"/>
    <hyperlink xmlns:r="http://schemas.openxmlformats.org/officeDocument/2006/relationships" ref="E380" display="AU2065646519525" r:id="rId379"/>
    <hyperlink xmlns:r="http://schemas.openxmlformats.org/officeDocument/2006/relationships" ref="E381" display="AU2065646519525" r:id="rId380"/>
    <hyperlink xmlns:r="http://schemas.openxmlformats.org/officeDocument/2006/relationships" ref="E382" display="AU2065646519525" r:id="rId381"/>
    <hyperlink xmlns:r="http://schemas.openxmlformats.org/officeDocument/2006/relationships" ref="E383" display="AU2065646519525" r:id="rId382"/>
    <hyperlink xmlns:r="http://schemas.openxmlformats.org/officeDocument/2006/relationships" ref="E384" display="AU2065646519525" r:id="rId383"/>
    <hyperlink xmlns:r="http://schemas.openxmlformats.org/officeDocument/2006/relationships" ref="E385" display="AU2065646519525" r:id="rId384"/>
    <hyperlink xmlns:r="http://schemas.openxmlformats.org/officeDocument/2006/relationships" ref="E386" display="AU2065646519525" r:id="rId385"/>
    <hyperlink xmlns:r="http://schemas.openxmlformats.org/officeDocument/2006/relationships" ref="E387" display="AU2065646519525" r:id="rId386"/>
    <hyperlink xmlns:r="http://schemas.openxmlformats.org/officeDocument/2006/relationships" ref="E388" display="AU2065646519525" r:id="rId387"/>
    <hyperlink xmlns:r="http://schemas.openxmlformats.org/officeDocument/2006/relationships" ref="E389" display="AU2065646519525" r:id="rId388"/>
    <hyperlink xmlns:r="http://schemas.openxmlformats.org/officeDocument/2006/relationships" ref="E390" display="AU2065646519525" r:id="rId389"/>
    <hyperlink xmlns:r="http://schemas.openxmlformats.org/officeDocument/2006/relationships" ref="E391" display="AU2065646519525" r:id="rId390"/>
    <hyperlink xmlns:r="http://schemas.openxmlformats.org/officeDocument/2006/relationships" ref="E392" display="AU2065646519525" r:id="rId391"/>
    <hyperlink xmlns:r="http://schemas.openxmlformats.org/officeDocument/2006/relationships" ref="E393" display="AU2065646519525" r:id="rId392"/>
    <hyperlink xmlns:r="http://schemas.openxmlformats.org/officeDocument/2006/relationships" ref="E394" display="AU2065646519525" r:id="rId393"/>
    <hyperlink xmlns:r="http://schemas.openxmlformats.org/officeDocument/2006/relationships" ref="E395" display="AU2065646519525" r:id="rId394"/>
    <hyperlink xmlns:r="http://schemas.openxmlformats.org/officeDocument/2006/relationships" ref="E396" display="AU2065646519525" r:id="rId395"/>
    <hyperlink xmlns:r="http://schemas.openxmlformats.org/officeDocument/2006/relationships" ref="E397" display="AU2065646519525" r:id="rId396"/>
    <hyperlink xmlns:r="http://schemas.openxmlformats.org/officeDocument/2006/relationships" ref="E398" display="AU2065646519525" r:id="rId397"/>
    <hyperlink xmlns:r="http://schemas.openxmlformats.org/officeDocument/2006/relationships" ref="E399" display="AU2065646519525" r:id="rId398"/>
    <hyperlink xmlns:r="http://schemas.openxmlformats.org/officeDocument/2006/relationships" ref="E400" display="AU2065646519525" r:id="rId399"/>
    <hyperlink xmlns:r="http://schemas.openxmlformats.org/officeDocument/2006/relationships" ref="E401" display="AU2065646519525" r:id="rId400"/>
    <hyperlink xmlns:r="http://schemas.openxmlformats.org/officeDocument/2006/relationships" ref="E402" display="AU2065646519525" r:id="rId401"/>
    <hyperlink xmlns:r="http://schemas.openxmlformats.org/officeDocument/2006/relationships" ref="E403" display="AU2065646519525" r:id="rId402"/>
    <hyperlink xmlns:r="http://schemas.openxmlformats.org/officeDocument/2006/relationships" ref="E404" display="AU2065646519525" r:id="rId403"/>
    <hyperlink xmlns:r="http://schemas.openxmlformats.org/officeDocument/2006/relationships" ref="E405" display="AU2065646519525" r:id="rId404"/>
    <hyperlink xmlns:r="http://schemas.openxmlformats.org/officeDocument/2006/relationships" ref="E406" display="AU2065646519525" r:id="rId405"/>
    <hyperlink xmlns:r="http://schemas.openxmlformats.org/officeDocument/2006/relationships" ref="E407" display="AU2065646519525" r:id="rId406"/>
    <hyperlink xmlns:r="http://schemas.openxmlformats.org/officeDocument/2006/relationships" ref="E408" display="AU2065646519525" r:id="rId407"/>
    <hyperlink xmlns:r="http://schemas.openxmlformats.org/officeDocument/2006/relationships" ref="E409" display="AU2065646519525" r:id="rId408"/>
    <hyperlink xmlns:r="http://schemas.openxmlformats.org/officeDocument/2006/relationships" ref="E410" display="AU2065646519525" r:id="rId409"/>
    <hyperlink xmlns:r="http://schemas.openxmlformats.org/officeDocument/2006/relationships" ref="E411" display="AU2065646519525" r:id="rId410"/>
    <hyperlink xmlns:r="http://schemas.openxmlformats.org/officeDocument/2006/relationships" ref="E412" display="AU2065646519525" r:id="rId411"/>
    <hyperlink xmlns:r="http://schemas.openxmlformats.org/officeDocument/2006/relationships" ref="E413" display="AU2065646519525" r:id="rId412"/>
    <hyperlink xmlns:r="http://schemas.openxmlformats.org/officeDocument/2006/relationships" ref="E414" display="AU2065646519525" r:id="rId413"/>
    <hyperlink xmlns:r="http://schemas.openxmlformats.org/officeDocument/2006/relationships" ref="E415" display="AU2065646519525" r:id="rId414"/>
    <hyperlink xmlns:r="http://schemas.openxmlformats.org/officeDocument/2006/relationships" ref="E416" display="AU2065646519525" r:id="rId415"/>
    <hyperlink xmlns:r="http://schemas.openxmlformats.org/officeDocument/2006/relationships" ref="E417" display="AU2065646519525" r:id="rId416"/>
    <hyperlink xmlns:r="http://schemas.openxmlformats.org/officeDocument/2006/relationships" ref="E418" display="AU2065646519525" r:id="rId417"/>
    <hyperlink xmlns:r="http://schemas.openxmlformats.org/officeDocument/2006/relationships" ref="E419" display="AU2065646519525" r:id="rId418"/>
    <hyperlink xmlns:r="http://schemas.openxmlformats.org/officeDocument/2006/relationships" ref="E420" display="AU2065646519525" r:id="rId419"/>
    <hyperlink xmlns:r="http://schemas.openxmlformats.org/officeDocument/2006/relationships" ref="E421" display="AU2065646519525" r:id="rId420"/>
    <hyperlink xmlns:r="http://schemas.openxmlformats.org/officeDocument/2006/relationships" ref="E422" display="AU2065646519525" r:id="rId421"/>
    <hyperlink xmlns:r="http://schemas.openxmlformats.org/officeDocument/2006/relationships" ref="E423" display="AU2065646519525" r:id="rId422"/>
    <hyperlink xmlns:r="http://schemas.openxmlformats.org/officeDocument/2006/relationships" ref="E424" display="AU2065646519525" r:id="rId423"/>
    <hyperlink xmlns:r="http://schemas.openxmlformats.org/officeDocument/2006/relationships" ref="E425" display="AU2065646519525" r:id="rId424"/>
    <hyperlink xmlns:r="http://schemas.openxmlformats.org/officeDocument/2006/relationships" ref="E426" display="AU2065646519525" r:id="rId425"/>
    <hyperlink xmlns:r="http://schemas.openxmlformats.org/officeDocument/2006/relationships" ref="E427" display="AU2065646519525" r:id="rId426"/>
    <hyperlink xmlns:r="http://schemas.openxmlformats.org/officeDocument/2006/relationships" ref="E428" display="AU2065646519525" r:id="rId427"/>
    <hyperlink xmlns:r="http://schemas.openxmlformats.org/officeDocument/2006/relationships" ref="E429" display="AU2065646519525" r:id="rId428"/>
    <hyperlink xmlns:r="http://schemas.openxmlformats.org/officeDocument/2006/relationships" ref="E430" display="AU2065646519525" r:id="rId429"/>
    <hyperlink xmlns:r="http://schemas.openxmlformats.org/officeDocument/2006/relationships" ref="E431" display="AU2065646519525" r:id="rId430"/>
    <hyperlink xmlns:r="http://schemas.openxmlformats.org/officeDocument/2006/relationships" ref="E432" display="AU2065646519525" r:id="rId431"/>
    <hyperlink xmlns:r="http://schemas.openxmlformats.org/officeDocument/2006/relationships" ref="E433" display="AU2065646519525" r:id="rId432"/>
    <hyperlink xmlns:r="http://schemas.openxmlformats.org/officeDocument/2006/relationships" ref="E434" display="AU2065646519525" r:id="rId433"/>
    <hyperlink xmlns:r="http://schemas.openxmlformats.org/officeDocument/2006/relationships" ref="E435" display="AU2065646519525" r:id="rId434"/>
    <hyperlink xmlns:r="http://schemas.openxmlformats.org/officeDocument/2006/relationships" ref="E436" display="AU2065646519525" r:id="rId435"/>
    <hyperlink xmlns:r="http://schemas.openxmlformats.org/officeDocument/2006/relationships" ref="E437" display="AU2065646519525" r:id="rId436"/>
    <hyperlink xmlns:r="http://schemas.openxmlformats.org/officeDocument/2006/relationships" ref="E438" display="AU2065646519525" r:id="rId437"/>
    <hyperlink xmlns:r="http://schemas.openxmlformats.org/officeDocument/2006/relationships" ref="E439" display="AU2065646519525" r:id="rId438"/>
    <hyperlink xmlns:r="http://schemas.openxmlformats.org/officeDocument/2006/relationships" ref="E440" display="AU2065646519525" r:id="rId439"/>
    <hyperlink xmlns:r="http://schemas.openxmlformats.org/officeDocument/2006/relationships" ref="E441" display="AU2065646519525" r:id="rId440"/>
    <hyperlink xmlns:r="http://schemas.openxmlformats.org/officeDocument/2006/relationships" ref="E442" display="AU2065646519525" r:id="rId441"/>
    <hyperlink xmlns:r="http://schemas.openxmlformats.org/officeDocument/2006/relationships" ref="E443" display="AU2065646519525" r:id="rId442"/>
    <hyperlink xmlns:r="http://schemas.openxmlformats.org/officeDocument/2006/relationships" ref="E444" display="AU2065646519525" r:id="rId443"/>
    <hyperlink xmlns:r="http://schemas.openxmlformats.org/officeDocument/2006/relationships" ref="E445" display="AU2065646519525" r:id="rId444"/>
    <hyperlink xmlns:r="http://schemas.openxmlformats.org/officeDocument/2006/relationships" ref="E446" display="AU2065646519525" r:id="rId445"/>
    <hyperlink xmlns:r="http://schemas.openxmlformats.org/officeDocument/2006/relationships" ref="E447" display="AU2065646519525" r:id="rId446"/>
    <hyperlink xmlns:r="http://schemas.openxmlformats.org/officeDocument/2006/relationships" ref="E448" display="AU2065646519525" r:id="rId447"/>
    <hyperlink xmlns:r="http://schemas.openxmlformats.org/officeDocument/2006/relationships" ref="E449" display="AU2065646519525" r:id="rId448"/>
    <hyperlink xmlns:r="http://schemas.openxmlformats.org/officeDocument/2006/relationships" ref="E450" display="AU2065646519525" r:id="rId449"/>
    <hyperlink xmlns:r="http://schemas.openxmlformats.org/officeDocument/2006/relationships" ref="E451" display="AU2065646519525" r:id="rId450"/>
    <hyperlink xmlns:r="http://schemas.openxmlformats.org/officeDocument/2006/relationships" ref="E452" display="AU2065646519525" r:id="rId451"/>
    <hyperlink xmlns:r="http://schemas.openxmlformats.org/officeDocument/2006/relationships" ref="E453" display="AU2065646519525" r:id="rId452"/>
    <hyperlink xmlns:r="http://schemas.openxmlformats.org/officeDocument/2006/relationships" ref="E454" display="AU2065646519525" r:id="rId453"/>
    <hyperlink xmlns:r="http://schemas.openxmlformats.org/officeDocument/2006/relationships" ref="E455" display="AU2065646519525" r:id="rId454"/>
    <hyperlink xmlns:r="http://schemas.openxmlformats.org/officeDocument/2006/relationships" ref="E456" display="AU2065646519525" r:id="rId455"/>
    <hyperlink xmlns:r="http://schemas.openxmlformats.org/officeDocument/2006/relationships" ref="E457" display="AU2065646519525" r:id="rId456"/>
    <hyperlink xmlns:r="http://schemas.openxmlformats.org/officeDocument/2006/relationships" ref="E458" display="AU2065646519525" r:id="rId457"/>
    <hyperlink xmlns:r="http://schemas.openxmlformats.org/officeDocument/2006/relationships" ref="E459" display="AU2065646519525" r:id="rId458"/>
    <hyperlink xmlns:r="http://schemas.openxmlformats.org/officeDocument/2006/relationships" ref="E460" display="AU2065646519525" r:id="rId459"/>
    <hyperlink xmlns:r="http://schemas.openxmlformats.org/officeDocument/2006/relationships" ref="E461" display="AU2065646519525" r:id="rId460"/>
    <hyperlink xmlns:r="http://schemas.openxmlformats.org/officeDocument/2006/relationships" ref="E462" display="AU2065646519525" r:id="rId461"/>
    <hyperlink xmlns:r="http://schemas.openxmlformats.org/officeDocument/2006/relationships" ref="E463" display="AU2065646519525" r:id="rId462"/>
    <hyperlink xmlns:r="http://schemas.openxmlformats.org/officeDocument/2006/relationships" ref="E464" display="AU2065646519525" r:id="rId463"/>
    <hyperlink xmlns:r="http://schemas.openxmlformats.org/officeDocument/2006/relationships" ref="E465" display="AU2065646519525" r:id="rId464"/>
    <hyperlink xmlns:r="http://schemas.openxmlformats.org/officeDocument/2006/relationships" ref="E466" display="AU2065646519525" r:id="rId465"/>
    <hyperlink xmlns:r="http://schemas.openxmlformats.org/officeDocument/2006/relationships" ref="E467" display="AU2065646519525" r:id="rId466"/>
    <hyperlink xmlns:r="http://schemas.openxmlformats.org/officeDocument/2006/relationships" ref="E468" display="AU2065646519525" r:id="rId467"/>
    <hyperlink xmlns:r="http://schemas.openxmlformats.org/officeDocument/2006/relationships" ref="E469" display="AU2065646519525" r:id="rId468"/>
    <hyperlink xmlns:r="http://schemas.openxmlformats.org/officeDocument/2006/relationships" ref="E470" display="AU2065646519525" r:id="rId469"/>
    <hyperlink xmlns:r="http://schemas.openxmlformats.org/officeDocument/2006/relationships" ref="E471" display="AU2065646519525" r:id="rId470"/>
    <hyperlink xmlns:r="http://schemas.openxmlformats.org/officeDocument/2006/relationships" ref="E472" display="AU2065646519525" r:id="rId471"/>
    <hyperlink xmlns:r="http://schemas.openxmlformats.org/officeDocument/2006/relationships" ref="E473" display="AU2065646519525" r:id="rId472"/>
    <hyperlink xmlns:r="http://schemas.openxmlformats.org/officeDocument/2006/relationships" ref="E474" display="AU2065646519525" r:id="rId473"/>
    <hyperlink xmlns:r="http://schemas.openxmlformats.org/officeDocument/2006/relationships" ref="E475" display="AU2065646519525" r:id="rId474"/>
    <hyperlink xmlns:r="http://schemas.openxmlformats.org/officeDocument/2006/relationships" ref="E476" display="AU2065646519525" r:id="rId475"/>
    <hyperlink xmlns:r="http://schemas.openxmlformats.org/officeDocument/2006/relationships" ref="E477" display="AU2065646519525" r:id="rId476"/>
    <hyperlink xmlns:r="http://schemas.openxmlformats.org/officeDocument/2006/relationships" ref="E478" display="AU2065646519525" r:id="rId477"/>
    <hyperlink xmlns:r="http://schemas.openxmlformats.org/officeDocument/2006/relationships" ref="E479" display="AU2065646519525" r:id="rId478"/>
    <hyperlink xmlns:r="http://schemas.openxmlformats.org/officeDocument/2006/relationships" ref="E480" display="AU2065646519525" r:id="rId479"/>
    <hyperlink xmlns:r="http://schemas.openxmlformats.org/officeDocument/2006/relationships" ref="E481" display="AU2065646519525" r:id="rId480"/>
    <hyperlink xmlns:r="http://schemas.openxmlformats.org/officeDocument/2006/relationships" ref="E482" display="AU2065646519525" r:id="rId481"/>
    <hyperlink xmlns:r="http://schemas.openxmlformats.org/officeDocument/2006/relationships" ref="E483" display="AU2065646519525" r:id="rId482"/>
    <hyperlink xmlns:r="http://schemas.openxmlformats.org/officeDocument/2006/relationships" ref="E484" display="AU2065646519525" r:id="rId483"/>
    <hyperlink xmlns:r="http://schemas.openxmlformats.org/officeDocument/2006/relationships" ref="E485" display="AU2065646519525" r:id="rId484"/>
    <hyperlink xmlns:r="http://schemas.openxmlformats.org/officeDocument/2006/relationships" ref="E486" display="AU2065646519525" r:id="rId485"/>
    <hyperlink xmlns:r="http://schemas.openxmlformats.org/officeDocument/2006/relationships" ref="E487" display="AU2065646519525" r:id="rId486"/>
    <hyperlink xmlns:r="http://schemas.openxmlformats.org/officeDocument/2006/relationships" ref="E488" display="AU2065646519525" r:id="rId487"/>
    <hyperlink xmlns:r="http://schemas.openxmlformats.org/officeDocument/2006/relationships" ref="E489" display="AU2065646519525" r:id="rId488"/>
    <hyperlink xmlns:r="http://schemas.openxmlformats.org/officeDocument/2006/relationships" ref="E490" display="AU2065646519525" r:id="rId489"/>
    <hyperlink xmlns:r="http://schemas.openxmlformats.org/officeDocument/2006/relationships" ref="E491" display="AU2065646519525" r:id="rId490"/>
    <hyperlink xmlns:r="http://schemas.openxmlformats.org/officeDocument/2006/relationships" ref="E492" display="AU2065646519525" r:id="rId491"/>
    <hyperlink xmlns:r="http://schemas.openxmlformats.org/officeDocument/2006/relationships" ref="E493" display="AU2065646519525" r:id="rId492"/>
    <hyperlink xmlns:r="http://schemas.openxmlformats.org/officeDocument/2006/relationships" ref="E494" display="AU2065646519525" r:id="rId493"/>
    <hyperlink xmlns:r="http://schemas.openxmlformats.org/officeDocument/2006/relationships" ref="E495" display="AU2065646519525" r:id="rId494"/>
    <hyperlink xmlns:r="http://schemas.openxmlformats.org/officeDocument/2006/relationships" ref="E496" display="AU2065646519525" r:id="rId495"/>
    <hyperlink xmlns:r="http://schemas.openxmlformats.org/officeDocument/2006/relationships" ref="E497" display="AU2065646519525" r:id="rId496"/>
    <hyperlink xmlns:r="http://schemas.openxmlformats.org/officeDocument/2006/relationships" ref="E498" display="AU2065646519525" r:id="rId497"/>
    <hyperlink xmlns:r="http://schemas.openxmlformats.org/officeDocument/2006/relationships" ref="E499" display="AU2065646519525" r:id="rId498"/>
    <hyperlink xmlns:r="http://schemas.openxmlformats.org/officeDocument/2006/relationships" ref="E500" display="AU2065646519525" r:id="rId499"/>
    <hyperlink xmlns:r="http://schemas.openxmlformats.org/officeDocument/2006/relationships" ref="E501" display="AU2065646519525" r:id="rId500"/>
    <hyperlink xmlns:r="http://schemas.openxmlformats.org/officeDocument/2006/relationships" ref="E502" display="AU2065646519525" r:id="rId501"/>
    <hyperlink xmlns:r="http://schemas.openxmlformats.org/officeDocument/2006/relationships" ref="E503" display="AU2065646519525" r:id="rId502"/>
    <hyperlink xmlns:r="http://schemas.openxmlformats.org/officeDocument/2006/relationships" ref="E504" display="AU2065646519525" r:id="rId503"/>
    <hyperlink xmlns:r="http://schemas.openxmlformats.org/officeDocument/2006/relationships" ref="E505" display="AU2065646519525" r:id="rId504"/>
    <hyperlink xmlns:r="http://schemas.openxmlformats.org/officeDocument/2006/relationships" ref="E506" display="AU2065646519525" r:id="rId505"/>
    <hyperlink xmlns:r="http://schemas.openxmlformats.org/officeDocument/2006/relationships" ref="E507" display="AU2065646519525" r:id="rId506"/>
    <hyperlink xmlns:r="http://schemas.openxmlformats.org/officeDocument/2006/relationships" ref="E508" display="AU2065646519525" r:id="rId507"/>
    <hyperlink xmlns:r="http://schemas.openxmlformats.org/officeDocument/2006/relationships" ref="E509" display="AU2065646519525" r:id="rId508"/>
    <hyperlink xmlns:r="http://schemas.openxmlformats.org/officeDocument/2006/relationships" ref="E510" display="AU2065646519525" r:id="rId509"/>
    <hyperlink xmlns:r="http://schemas.openxmlformats.org/officeDocument/2006/relationships" ref="E511" display="AU2065646519525" r:id="rId510"/>
    <hyperlink xmlns:r="http://schemas.openxmlformats.org/officeDocument/2006/relationships" ref="E512" display="AU2065646519525" r:id="rId511"/>
    <hyperlink xmlns:r="http://schemas.openxmlformats.org/officeDocument/2006/relationships" ref="E513" display="AU2065646519525" r:id="rId512"/>
    <hyperlink xmlns:r="http://schemas.openxmlformats.org/officeDocument/2006/relationships" ref="E514" display="AU2065646519525" r:id="rId513"/>
    <hyperlink xmlns:r="http://schemas.openxmlformats.org/officeDocument/2006/relationships" ref="E515" display="AU2065646519525" r:id="rId514"/>
    <hyperlink xmlns:r="http://schemas.openxmlformats.org/officeDocument/2006/relationships" ref="E516" display="AU2065646519525" r:id="rId515"/>
    <hyperlink xmlns:r="http://schemas.openxmlformats.org/officeDocument/2006/relationships" ref="E517" display="AU2065646519525" r:id="rId516"/>
    <hyperlink xmlns:r="http://schemas.openxmlformats.org/officeDocument/2006/relationships" ref="E518" display="AU2065646519525" r:id="rId517"/>
    <hyperlink xmlns:r="http://schemas.openxmlformats.org/officeDocument/2006/relationships" ref="E519" display="AU2065646519525" r:id="rId518"/>
    <hyperlink xmlns:r="http://schemas.openxmlformats.org/officeDocument/2006/relationships" ref="E520" display="AU2065646519525" r:id="rId519"/>
    <hyperlink xmlns:r="http://schemas.openxmlformats.org/officeDocument/2006/relationships" ref="E521" display="AU2065646519525" r:id="rId520"/>
    <hyperlink xmlns:r="http://schemas.openxmlformats.org/officeDocument/2006/relationships" ref="E522" display="AU2065646519525" r:id="rId521"/>
    <hyperlink xmlns:r="http://schemas.openxmlformats.org/officeDocument/2006/relationships" ref="E523" display="AU2065646519525" r:id="rId522"/>
    <hyperlink xmlns:r="http://schemas.openxmlformats.org/officeDocument/2006/relationships" ref="E524" display="AU2065646519525" r:id="rId523"/>
    <hyperlink xmlns:r="http://schemas.openxmlformats.org/officeDocument/2006/relationships" ref="E525" display="AU2065646519525" r:id="rId524"/>
    <hyperlink xmlns:r="http://schemas.openxmlformats.org/officeDocument/2006/relationships" ref="E526" display="AU2065646519525" r:id="rId525"/>
    <hyperlink xmlns:r="http://schemas.openxmlformats.org/officeDocument/2006/relationships" ref="E527" display="AU2065646519525" r:id="rId526"/>
    <hyperlink xmlns:r="http://schemas.openxmlformats.org/officeDocument/2006/relationships" ref="E528" display="AU2065646519525" r:id="rId527"/>
    <hyperlink xmlns:r="http://schemas.openxmlformats.org/officeDocument/2006/relationships" ref="E529" display="AU2065646519525" r:id="rId528"/>
    <hyperlink xmlns:r="http://schemas.openxmlformats.org/officeDocument/2006/relationships" ref="E530" display="AU2065646519525" r:id="rId529"/>
    <hyperlink xmlns:r="http://schemas.openxmlformats.org/officeDocument/2006/relationships" ref="E531" display="AU2065646519525" r:id="rId530"/>
    <hyperlink xmlns:r="http://schemas.openxmlformats.org/officeDocument/2006/relationships" ref="E532" display="AU2065646519525" r:id="rId531"/>
    <hyperlink xmlns:r="http://schemas.openxmlformats.org/officeDocument/2006/relationships" ref="E533" display="AU2065646519525" r:id="rId532"/>
    <hyperlink xmlns:r="http://schemas.openxmlformats.org/officeDocument/2006/relationships" ref="E534" display="AU2065646519525" r:id="rId533"/>
    <hyperlink xmlns:r="http://schemas.openxmlformats.org/officeDocument/2006/relationships" ref="E535" display="AU2065646519525" r:id="rId534"/>
    <hyperlink xmlns:r="http://schemas.openxmlformats.org/officeDocument/2006/relationships" ref="E536" display="AU2065646519525" r:id="rId535"/>
    <hyperlink xmlns:r="http://schemas.openxmlformats.org/officeDocument/2006/relationships" ref="E537" display="AU2065646519525" r:id="rId536"/>
    <hyperlink xmlns:r="http://schemas.openxmlformats.org/officeDocument/2006/relationships" ref="E538" display="AU2065646519525" r:id="rId537"/>
    <hyperlink xmlns:r="http://schemas.openxmlformats.org/officeDocument/2006/relationships" ref="E539" display="AU2065646519525" r:id="rId538"/>
    <hyperlink xmlns:r="http://schemas.openxmlformats.org/officeDocument/2006/relationships" ref="E540" display="AU2065646519525" r:id="rId539"/>
    <hyperlink xmlns:r="http://schemas.openxmlformats.org/officeDocument/2006/relationships" ref="E541" display="AU2065646519525" r:id="rId540"/>
    <hyperlink xmlns:r="http://schemas.openxmlformats.org/officeDocument/2006/relationships" ref="E542" display="AU2065646519525" r:id="rId541"/>
    <hyperlink xmlns:r="http://schemas.openxmlformats.org/officeDocument/2006/relationships" ref="E543" display="AU2065646519525" r:id="rId542"/>
    <hyperlink xmlns:r="http://schemas.openxmlformats.org/officeDocument/2006/relationships" ref="E544" display="AU2065646519525" r:id="rId543"/>
    <hyperlink xmlns:r="http://schemas.openxmlformats.org/officeDocument/2006/relationships" ref="E545" display="AU2065646519525" r:id="rId544"/>
    <hyperlink xmlns:r="http://schemas.openxmlformats.org/officeDocument/2006/relationships" ref="E546" display="AU2065646519525" r:id="rId545"/>
    <hyperlink xmlns:r="http://schemas.openxmlformats.org/officeDocument/2006/relationships" ref="E547" display="AU2065646519525" r:id="rId546"/>
    <hyperlink xmlns:r="http://schemas.openxmlformats.org/officeDocument/2006/relationships" ref="E548" display="AU2065646519525" r:id="rId547"/>
    <hyperlink xmlns:r="http://schemas.openxmlformats.org/officeDocument/2006/relationships" ref="E549" display="AU2065646519525" r:id="rId548"/>
    <hyperlink xmlns:r="http://schemas.openxmlformats.org/officeDocument/2006/relationships" ref="E550" display="AU2065646519525" r:id="rId549"/>
    <hyperlink xmlns:r="http://schemas.openxmlformats.org/officeDocument/2006/relationships" ref="E551" display="AU2065646519525" r:id="rId550"/>
    <hyperlink xmlns:r="http://schemas.openxmlformats.org/officeDocument/2006/relationships" ref="E552" display="AU2065646519525" r:id="rId551"/>
    <hyperlink xmlns:r="http://schemas.openxmlformats.org/officeDocument/2006/relationships" ref="E553" display="AU2065646519525" r:id="rId552"/>
    <hyperlink xmlns:r="http://schemas.openxmlformats.org/officeDocument/2006/relationships" ref="E554" display="AU2065646519525" r:id="rId553"/>
    <hyperlink xmlns:r="http://schemas.openxmlformats.org/officeDocument/2006/relationships" ref="E555" display="AU2065646519525" r:id="rId554"/>
    <hyperlink xmlns:r="http://schemas.openxmlformats.org/officeDocument/2006/relationships" ref="E556" display="AU2065646519525" r:id="rId555"/>
    <hyperlink xmlns:r="http://schemas.openxmlformats.org/officeDocument/2006/relationships" ref="E557" display="AU2065646519525" r:id="rId556"/>
    <hyperlink xmlns:r="http://schemas.openxmlformats.org/officeDocument/2006/relationships" ref="E558" display="AU2065646519525" r:id="rId557"/>
    <hyperlink xmlns:r="http://schemas.openxmlformats.org/officeDocument/2006/relationships" ref="E559" display="AU2065646519525" r:id="rId558"/>
    <hyperlink xmlns:r="http://schemas.openxmlformats.org/officeDocument/2006/relationships" ref="E560" display="AU2065646519525" r:id="rId559"/>
    <hyperlink xmlns:r="http://schemas.openxmlformats.org/officeDocument/2006/relationships" ref="E561" display="AU2065646519525" r:id="rId560"/>
    <hyperlink xmlns:r="http://schemas.openxmlformats.org/officeDocument/2006/relationships" ref="E562" display="AU2065646519525" r:id="rId561"/>
    <hyperlink xmlns:r="http://schemas.openxmlformats.org/officeDocument/2006/relationships" ref="E563" display="AU2065646519525" r:id="rId562"/>
    <hyperlink xmlns:r="http://schemas.openxmlformats.org/officeDocument/2006/relationships" ref="E564" display="AU2065646519525" r:id="rId563"/>
    <hyperlink xmlns:r="http://schemas.openxmlformats.org/officeDocument/2006/relationships" ref="E565" display="AU2065646519525" r:id="rId564"/>
    <hyperlink xmlns:r="http://schemas.openxmlformats.org/officeDocument/2006/relationships" ref="E566" display="AU2065646519525" r:id="rId565"/>
    <hyperlink xmlns:r="http://schemas.openxmlformats.org/officeDocument/2006/relationships" ref="E567" display="AU2065646519525" r:id="rId566"/>
    <hyperlink xmlns:r="http://schemas.openxmlformats.org/officeDocument/2006/relationships" ref="E568" display="AU2065646519525" r:id="rId567"/>
    <hyperlink xmlns:r="http://schemas.openxmlformats.org/officeDocument/2006/relationships" ref="E569" display="AU2065646519525" r:id="rId568"/>
    <hyperlink xmlns:r="http://schemas.openxmlformats.org/officeDocument/2006/relationships" ref="E570" display="AU2065646519525" r:id="rId569"/>
    <hyperlink xmlns:r="http://schemas.openxmlformats.org/officeDocument/2006/relationships" ref="E571" display="AU2065646519525" r:id="rId570"/>
    <hyperlink xmlns:r="http://schemas.openxmlformats.org/officeDocument/2006/relationships" ref="E572" display="AU2065646519525" r:id="rId571"/>
    <hyperlink xmlns:r="http://schemas.openxmlformats.org/officeDocument/2006/relationships" ref="E573" display="AU2065646519525" r:id="rId572"/>
    <hyperlink xmlns:r="http://schemas.openxmlformats.org/officeDocument/2006/relationships" ref="E574" display="AU2065646519525" r:id="rId573"/>
    <hyperlink xmlns:r="http://schemas.openxmlformats.org/officeDocument/2006/relationships" ref="E575" display="AU2065646519525" r:id="rId574"/>
    <hyperlink xmlns:r="http://schemas.openxmlformats.org/officeDocument/2006/relationships" ref="E576" display="AU2065646519525" r:id="rId575"/>
    <hyperlink xmlns:r="http://schemas.openxmlformats.org/officeDocument/2006/relationships" ref="E577" display="AU2065646519525" r:id="rId576"/>
    <hyperlink xmlns:r="http://schemas.openxmlformats.org/officeDocument/2006/relationships" ref="E578" display="AU2065646519525" r:id="rId577"/>
    <hyperlink xmlns:r="http://schemas.openxmlformats.org/officeDocument/2006/relationships" ref="E579" display="AU2065646519525" r:id="rId578"/>
    <hyperlink xmlns:r="http://schemas.openxmlformats.org/officeDocument/2006/relationships" ref="E580" display="AU2065646519525" r:id="rId579"/>
    <hyperlink xmlns:r="http://schemas.openxmlformats.org/officeDocument/2006/relationships" ref="E581" display="AU2065646519525" r:id="rId580"/>
    <hyperlink xmlns:r="http://schemas.openxmlformats.org/officeDocument/2006/relationships" ref="E582" display="AU2065646519525" r:id="rId581"/>
    <hyperlink xmlns:r="http://schemas.openxmlformats.org/officeDocument/2006/relationships" ref="E583" display="AU2065646519525" r:id="rId582"/>
    <hyperlink xmlns:r="http://schemas.openxmlformats.org/officeDocument/2006/relationships" ref="E584" display="AU2065646519525" r:id="rId583"/>
    <hyperlink xmlns:r="http://schemas.openxmlformats.org/officeDocument/2006/relationships" ref="E585" display="AU2065646519525" r:id="rId584"/>
    <hyperlink xmlns:r="http://schemas.openxmlformats.org/officeDocument/2006/relationships" ref="E586" display="AU2065646519525" r:id="rId585"/>
    <hyperlink xmlns:r="http://schemas.openxmlformats.org/officeDocument/2006/relationships" ref="E587" display="AU2065646519525" r:id="rId586"/>
    <hyperlink xmlns:r="http://schemas.openxmlformats.org/officeDocument/2006/relationships" ref="E588" display="AU2065646519525" r:id="rId587"/>
    <hyperlink xmlns:r="http://schemas.openxmlformats.org/officeDocument/2006/relationships" ref="E589" display="AU2065646519525" r:id="rId588"/>
    <hyperlink xmlns:r="http://schemas.openxmlformats.org/officeDocument/2006/relationships" ref="E590" display="AU2065646519525" r:id="rId589"/>
    <hyperlink xmlns:r="http://schemas.openxmlformats.org/officeDocument/2006/relationships" ref="E591" display="AU2065646519525" r:id="rId590"/>
    <hyperlink xmlns:r="http://schemas.openxmlformats.org/officeDocument/2006/relationships" ref="E592" display="AU2065646519525" r:id="rId591"/>
    <hyperlink xmlns:r="http://schemas.openxmlformats.org/officeDocument/2006/relationships" ref="E593" display="AU2065646519525" r:id="rId592"/>
    <hyperlink xmlns:r="http://schemas.openxmlformats.org/officeDocument/2006/relationships" ref="E594" display="AU2065646519525" r:id="rId593"/>
    <hyperlink xmlns:r="http://schemas.openxmlformats.org/officeDocument/2006/relationships" ref="E595" display="AU2065646519525" r:id="rId594"/>
    <hyperlink xmlns:r="http://schemas.openxmlformats.org/officeDocument/2006/relationships" ref="E596" display="AU2065646519525" r:id="rId595"/>
    <hyperlink xmlns:r="http://schemas.openxmlformats.org/officeDocument/2006/relationships" ref="E597" display="AU2065646519525" r:id="rId596"/>
    <hyperlink xmlns:r="http://schemas.openxmlformats.org/officeDocument/2006/relationships" ref="E598" display="AU2065646519525" r:id="rId597"/>
    <hyperlink xmlns:r="http://schemas.openxmlformats.org/officeDocument/2006/relationships" ref="E599" display="AU2065646519525" r:id="rId598"/>
    <hyperlink xmlns:r="http://schemas.openxmlformats.org/officeDocument/2006/relationships" ref="E600" display="AU2065646519525" r:id="rId599"/>
    <hyperlink xmlns:r="http://schemas.openxmlformats.org/officeDocument/2006/relationships" ref="E601" display="AU2065646519525" r:id="rId600"/>
    <hyperlink xmlns:r="http://schemas.openxmlformats.org/officeDocument/2006/relationships" ref="E602" display="AU2065646519525" r:id="rId601"/>
    <hyperlink xmlns:r="http://schemas.openxmlformats.org/officeDocument/2006/relationships" ref="E603" display="AU2065646519525" r:id="rId602"/>
    <hyperlink xmlns:r="http://schemas.openxmlformats.org/officeDocument/2006/relationships" ref="E604" display="AU2065646519525" r:id="rId603"/>
    <hyperlink xmlns:r="http://schemas.openxmlformats.org/officeDocument/2006/relationships" ref="E605" display="AU2065646519525" r:id="rId604"/>
    <hyperlink xmlns:r="http://schemas.openxmlformats.org/officeDocument/2006/relationships" ref="E606" display="AU2065646519525" r:id="rId605"/>
    <hyperlink xmlns:r="http://schemas.openxmlformats.org/officeDocument/2006/relationships" ref="E607" display="AU2065646519525" r:id="rId606"/>
    <hyperlink xmlns:r="http://schemas.openxmlformats.org/officeDocument/2006/relationships" ref="E608" display="AU2065646519525" r:id="rId607"/>
    <hyperlink xmlns:r="http://schemas.openxmlformats.org/officeDocument/2006/relationships" ref="E609" display="AU2065646519525" r:id="rId608"/>
    <hyperlink xmlns:r="http://schemas.openxmlformats.org/officeDocument/2006/relationships" ref="E610" display="AU2065646519525" r:id="rId609"/>
    <hyperlink xmlns:r="http://schemas.openxmlformats.org/officeDocument/2006/relationships" ref="E611" display="AU2065646519525" r:id="rId610"/>
    <hyperlink xmlns:r="http://schemas.openxmlformats.org/officeDocument/2006/relationships" ref="E612" display="AU2065646519525" r:id="rId611"/>
    <hyperlink xmlns:r="http://schemas.openxmlformats.org/officeDocument/2006/relationships" ref="E613" display="AU2065646519525" r:id="rId612"/>
    <hyperlink xmlns:r="http://schemas.openxmlformats.org/officeDocument/2006/relationships" ref="E614" display="AU2065646519525" r:id="rId613"/>
    <hyperlink xmlns:r="http://schemas.openxmlformats.org/officeDocument/2006/relationships" ref="E615" display="AU2065646519525" r:id="rId614"/>
    <hyperlink xmlns:r="http://schemas.openxmlformats.org/officeDocument/2006/relationships" ref="E616" display="AU2065646519525" r:id="rId615"/>
    <hyperlink xmlns:r="http://schemas.openxmlformats.org/officeDocument/2006/relationships" ref="E617" display="AU2065646519525" r:id="rId616"/>
    <hyperlink xmlns:r="http://schemas.openxmlformats.org/officeDocument/2006/relationships" ref="E618" display="AU2065646519525" r:id="rId617"/>
    <hyperlink xmlns:r="http://schemas.openxmlformats.org/officeDocument/2006/relationships" ref="E619" display="AU2065646519525" r:id="rId618"/>
    <hyperlink xmlns:r="http://schemas.openxmlformats.org/officeDocument/2006/relationships" ref="E620" display="AU2065646519525" r:id="rId619"/>
    <hyperlink xmlns:r="http://schemas.openxmlformats.org/officeDocument/2006/relationships" ref="E621" display="AU2065646519525" r:id="rId620"/>
    <hyperlink xmlns:r="http://schemas.openxmlformats.org/officeDocument/2006/relationships" ref="E622" display="AU2065646519525" r:id="rId621"/>
    <hyperlink xmlns:r="http://schemas.openxmlformats.org/officeDocument/2006/relationships" ref="E623" display="AU2065646519525" r:id="rId622"/>
    <hyperlink xmlns:r="http://schemas.openxmlformats.org/officeDocument/2006/relationships" ref="E624" display="AU2065646519525" r:id="rId623"/>
    <hyperlink xmlns:r="http://schemas.openxmlformats.org/officeDocument/2006/relationships" ref="E625" display="AU2065646519525" r:id="rId624"/>
    <hyperlink xmlns:r="http://schemas.openxmlformats.org/officeDocument/2006/relationships" ref="E626" display="AU2065646519525" r:id="rId625"/>
    <hyperlink xmlns:r="http://schemas.openxmlformats.org/officeDocument/2006/relationships" ref="E627" display="AU2065646519525" r:id="rId626"/>
    <hyperlink xmlns:r="http://schemas.openxmlformats.org/officeDocument/2006/relationships" ref="E628" display="AU2065646519525" r:id="rId627"/>
    <hyperlink xmlns:r="http://schemas.openxmlformats.org/officeDocument/2006/relationships" ref="E629" display="AU2065646519525" r:id="rId628"/>
    <hyperlink xmlns:r="http://schemas.openxmlformats.org/officeDocument/2006/relationships" ref="E630" display="AU2065646519525" r:id="rId629"/>
    <hyperlink xmlns:r="http://schemas.openxmlformats.org/officeDocument/2006/relationships" ref="E631" display="AU2065646519525" r:id="rId630"/>
    <hyperlink xmlns:r="http://schemas.openxmlformats.org/officeDocument/2006/relationships" ref="E632" display="AU2065646519525" r:id="rId631"/>
    <hyperlink xmlns:r="http://schemas.openxmlformats.org/officeDocument/2006/relationships" ref="E633" display="AU2065646519525" r:id="rId632"/>
    <hyperlink xmlns:r="http://schemas.openxmlformats.org/officeDocument/2006/relationships" ref="E634" display="AU2065646519525" r:id="rId633"/>
    <hyperlink xmlns:r="http://schemas.openxmlformats.org/officeDocument/2006/relationships" ref="E635" display="AU2065646519525" r:id="rId634"/>
    <hyperlink xmlns:r="http://schemas.openxmlformats.org/officeDocument/2006/relationships" ref="E636" display="AU2065646519525" r:id="rId635"/>
    <hyperlink xmlns:r="http://schemas.openxmlformats.org/officeDocument/2006/relationships" ref="E637" display="AU2065646519525" r:id="rId636"/>
    <hyperlink xmlns:r="http://schemas.openxmlformats.org/officeDocument/2006/relationships" ref="E638" display="AU2065646519525" r:id="rId637"/>
    <hyperlink xmlns:r="http://schemas.openxmlformats.org/officeDocument/2006/relationships" ref="E639" display="AU2065646519525" r:id="rId638"/>
    <hyperlink xmlns:r="http://schemas.openxmlformats.org/officeDocument/2006/relationships" ref="E640" display="AU2065646519525" r:id="rId639"/>
    <hyperlink xmlns:r="http://schemas.openxmlformats.org/officeDocument/2006/relationships" ref="E641" display="AU2065646519525" r:id="rId640"/>
    <hyperlink xmlns:r="http://schemas.openxmlformats.org/officeDocument/2006/relationships" ref="E642" display="AU2065646519525" r:id="rId641"/>
    <hyperlink xmlns:r="http://schemas.openxmlformats.org/officeDocument/2006/relationships" ref="E643" display="AU2065646519525" r:id="rId642"/>
    <hyperlink xmlns:r="http://schemas.openxmlformats.org/officeDocument/2006/relationships" ref="E644" display="AU2065646519525" r:id="rId643"/>
    <hyperlink xmlns:r="http://schemas.openxmlformats.org/officeDocument/2006/relationships" ref="E645" display="AU2065646519525" r:id="rId644"/>
    <hyperlink xmlns:r="http://schemas.openxmlformats.org/officeDocument/2006/relationships" ref="E646" display="AU2065646519525" r:id="rId645"/>
    <hyperlink xmlns:r="http://schemas.openxmlformats.org/officeDocument/2006/relationships" ref="E647" display="AU2065646519525" r:id="rId646"/>
    <hyperlink xmlns:r="http://schemas.openxmlformats.org/officeDocument/2006/relationships" ref="E648" display="AU2065646519525" r:id="rId647"/>
    <hyperlink xmlns:r="http://schemas.openxmlformats.org/officeDocument/2006/relationships" ref="E649" display="AU2065646519525" r:id="rId648"/>
    <hyperlink xmlns:r="http://schemas.openxmlformats.org/officeDocument/2006/relationships" ref="E650" display="AU2065646519525" r:id="rId649"/>
    <hyperlink xmlns:r="http://schemas.openxmlformats.org/officeDocument/2006/relationships" ref="E651" display="AU2065646519525" r:id="rId650"/>
    <hyperlink xmlns:r="http://schemas.openxmlformats.org/officeDocument/2006/relationships" ref="E652" display="AU2065646519525" r:id="rId651"/>
    <hyperlink xmlns:r="http://schemas.openxmlformats.org/officeDocument/2006/relationships" ref="E653" display="AU2065646519525" r:id="rId652"/>
    <hyperlink xmlns:r="http://schemas.openxmlformats.org/officeDocument/2006/relationships" ref="E654" display="AU2065646519525" r:id="rId653"/>
    <hyperlink xmlns:r="http://schemas.openxmlformats.org/officeDocument/2006/relationships" ref="E655" display="AU2065646519525" r:id="rId654"/>
    <hyperlink xmlns:r="http://schemas.openxmlformats.org/officeDocument/2006/relationships" ref="E656" display="AU2065646519525" r:id="rId655"/>
    <hyperlink xmlns:r="http://schemas.openxmlformats.org/officeDocument/2006/relationships" ref="E657" display="AU2065646519525" r:id="rId656"/>
    <hyperlink xmlns:r="http://schemas.openxmlformats.org/officeDocument/2006/relationships" ref="E658" display="AU2065646519525" r:id="rId657"/>
    <hyperlink xmlns:r="http://schemas.openxmlformats.org/officeDocument/2006/relationships" ref="E659" display="AU2065646519525" r:id="rId658"/>
    <hyperlink xmlns:r="http://schemas.openxmlformats.org/officeDocument/2006/relationships" ref="E660" display="AU2065646519525" r:id="rId659"/>
    <hyperlink xmlns:r="http://schemas.openxmlformats.org/officeDocument/2006/relationships" ref="E661" display="AU2065646519525" r:id="rId660"/>
    <hyperlink xmlns:r="http://schemas.openxmlformats.org/officeDocument/2006/relationships" ref="E662" display="AU2065646519525" r:id="rId661"/>
    <hyperlink xmlns:r="http://schemas.openxmlformats.org/officeDocument/2006/relationships" ref="E663" display="AU2065646519525" r:id="rId662"/>
    <hyperlink xmlns:r="http://schemas.openxmlformats.org/officeDocument/2006/relationships" ref="E664" display="AU2065646519525" r:id="rId663"/>
    <hyperlink xmlns:r="http://schemas.openxmlformats.org/officeDocument/2006/relationships" ref="E665" display="AU2065646519525" r:id="rId664"/>
    <hyperlink xmlns:r="http://schemas.openxmlformats.org/officeDocument/2006/relationships" ref="E666" display="AU2065646519525" r:id="rId665"/>
    <hyperlink xmlns:r="http://schemas.openxmlformats.org/officeDocument/2006/relationships" ref="E667" display="AU2065646519525" r:id="rId666"/>
    <hyperlink xmlns:r="http://schemas.openxmlformats.org/officeDocument/2006/relationships" ref="E668" display="AU2065646519525" r:id="rId667"/>
    <hyperlink xmlns:r="http://schemas.openxmlformats.org/officeDocument/2006/relationships" ref="E669" display="AU2065646519525" r:id="rId668"/>
    <hyperlink xmlns:r="http://schemas.openxmlformats.org/officeDocument/2006/relationships" ref="E670" display="AU2065646519525" r:id="rId669"/>
    <hyperlink xmlns:r="http://schemas.openxmlformats.org/officeDocument/2006/relationships" ref="E671" display="AU2065646519525" r:id="rId670"/>
    <hyperlink xmlns:r="http://schemas.openxmlformats.org/officeDocument/2006/relationships" ref="E672" display="AU2065646519525" r:id="rId671"/>
    <hyperlink xmlns:r="http://schemas.openxmlformats.org/officeDocument/2006/relationships" ref="E673" display="AU2065646519525" r:id="rId672"/>
    <hyperlink xmlns:r="http://schemas.openxmlformats.org/officeDocument/2006/relationships" ref="E674" display="AU2065646519525" r:id="rId673"/>
    <hyperlink xmlns:r="http://schemas.openxmlformats.org/officeDocument/2006/relationships" ref="E675" display="AU2065646519525" r:id="rId674"/>
    <hyperlink xmlns:r="http://schemas.openxmlformats.org/officeDocument/2006/relationships" ref="E676" display="AU2065646519525" r:id="rId675"/>
    <hyperlink xmlns:r="http://schemas.openxmlformats.org/officeDocument/2006/relationships" ref="E677" display="AU2065646519525" r:id="rId676"/>
    <hyperlink xmlns:r="http://schemas.openxmlformats.org/officeDocument/2006/relationships" ref="E678" display="AU2065646519525" r:id="rId677"/>
    <hyperlink xmlns:r="http://schemas.openxmlformats.org/officeDocument/2006/relationships" ref="E679" display="AU2065646519525" r:id="rId678"/>
    <hyperlink xmlns:r="http://schemas.openxmlformats.org/officeDocument/2006/relationships" ref="E680" display="AU2065646519525" r:id="rId679"/>
    <hyperlink xmlns:r="http://schemas.openxmlformats.org/officeDocument/2006/relationships" ref="E681" display="AU2065646519525" r:id="rId680"/>
    <hyperlink xmlns:r="http://schemas.openxmlformats.org/officeDocument/2006/relationships" ref="E682" display="AU2065646519525" r:id="rId681"/>
    <hyperlink xmlns:r="http://schemas.openxmlformats.org/officeDocument/2006/relationships" ref="E683" display="AU2065646519525" r:id="rId682"/>
    <hyperlink xmlns:r="http://schemas.openxmlformats.org/officeDocument/2006/relationships" ref="E684" display="AU2065646519525" r:id="rId683"/>
    <hyperlink xmlns:r="http://schemas.openxmlformats.org/officeDocument/2006/relationships" ref="E685" display="AU2065646519525" r:id="rId684"/>
    <hyperlink xmlns:r="http://schemas.openxmlformats.org/officeDocument/2006/relationships" ref="E686" display="AU2065646519525" r:id="rId685"/>
    <hyperlink xmlns:r="http://schemas.openxmlformats.org/officeDocument/2006/relationships" ref="E687" display="AU2065646519525" r:id="rId686"/>
    <hyperlink xmlns:r="http://schemas.openxmlformats.org/officeDocument/2006/relationships" ref="E688" display="AU2065646519525" r:id="rId687"/>
    <hyperlink xmlns:r="http://schemas.openxmlformats.org/officeDocument/2006/relationships" ref="E689" display="AU2065646519525" r:id="rId688"/>
    <hyperlink xmlns:r="http://schemas.openxmlformats.org/officeDocument/2006/relationships" ref="E690" display="AU2065646519525" r:id="rId689"/>
    <hyperlink xmlns:r="http://schemas.openxmlformats.org/officeDocument/2006/relationships" ref="E691" display="AU2065646519525" r:id="rId690"/>
    <hyperlink xmlns:r="http://schemas.openxmlformats.org/officeDocument/2006/relationships" ref="E692" display="AU2065646519525" r:id="rId691"/>
    <hyperlink xmlns:r="http://schemas.openxmlformats.org/officeDocument/2006/relationships" ref="E693" display="AU2065646519525" r:id="rId692"/>
    <hyperlink xmlns:r="http://schemas.openxmlformats.org/officeDocument/2006/relationships" ref="E694" display="AU2065646519525" r:id="rId693"/>
    <hyperlink xmlns:r="http://schemas.openxmlformats.org/officeDocument/2006/relationships" ref="E695" display="AU2065646519525" r:id="rId694"/>
    <hyperlink xmlns:r="http://schemas.openxmlformats.org/officeDocument/2006/relationships" ref="E696" display="AU2065646519525" r:id="rId695"/>
    <hyperlink xmlns:r="http://schemas.openxmlformats.org/officeDocument/2006/relationships" ref="E697" display="AU2065646519525" r:id="rId696"/>
    <hyperlink xmlns:r="http://schemas.openxmlformats.org/officeDocument/2006/relationships" ref="E698" display="AU2065646519525" r:id="rId697"/>
    <hyperlink xmlns:r="http://schemas.openxmlformats.org/officeDocument/2006/relationships" ref="E699" display="AU2065646519525" r:id="rId698"/>
    <hyperlink xmlns:r="http://schemas.openxmlformats.org/officeDocument/2006/relationships" ref="E700" display="AU2065646519525" r:id="rId699"/>
    <hyperlink xmlns:r="http://schemas.openxmlformats.org/officeDocument/2006/relationships" ref="E701" display="AU2065646519525" r:id="rId700"/>
    <hyperlink xmlns:r="http://schemas.openxmlformats.org/officeDocument/2006/relationships" ref="E702" display="AU2065646519525" r:id="rId701"/>
    <hyperlink xmlns:r="http://schemas.openxmlformats.org/officeDocument/2006/relationships" ref="E703" display="AU2065646519525" r:id="rId702"/>
    <hyperlink xmlns:r="http://schemas.openxmlformats.org/officeDocument/2006/relationships" ref="E704" display="AU2065646519525" r:id="rId703"/>
    <hyperlink xmlns:r="http://schemas.openxmlformats.org/officeDocument/2006/relationships" ref="E705" display="AU2065646519525" r:id="rId704"/>
    <hyperlink xmlns:r="http://schemas.openxmlformats.org/officeDocument/2006/relationships" ref="E706" display="AU2065646519525" r:id="rId705"/>
    <hyperlink xmlns:r="http://schemas.openxmlformats.org/officeDocument/2006/relationships" ref="E707" display="AU2065646519525" r:id="rId706"/>
    <hyperlink xmlns:r="http://schemas.openxmlformats.org/officeDocument/2006/relationships" ref="E708" display="AU2065646519525" r:id="rId707"/>
    <hyperlink xmlns:r="http://schemas.openxmlformats.org/officeDocument/2006/relationships" ref="E709" display="AU2065646519525" r:id="rId708"/>
    <hyperlink xmlns:r="http://schemas.openxmlformats.org/officeDocument/2006/relationships" ref="E710" display="AU2065646519525" r:id="rId709"/>
    <hyperlink xmlns:r="http://schemas.openxmlformats.org/officeDocument/2006/relationships" ref="E711" display="AU2065646519525" r:id="rId710"/>
    <hyperlink xmlns:r="http://schemas.openxmlformats.org/officeDocument/2006/relationships" ref="E712" display="AU2065646519525" r:id="rId711"/>
    <hyperlink xmlns:r="http://schemas.openxmlformats.org/officeDocument/2006/relationships" ref="E713" display="AU2065646519525" r:id="rId712"/>
    <hyperlink xmlns:r="http://schemas.openxmlformats.org/officeDocument/2006/relationships" ref="E714" display="AU2065646519525" r:id="rId713"/>
    <hyperlink xmlns:r="http://schemas.openxmlformats.org/officeDocument/2006/relationships" ref="E715" display="AU2065646519525" r:id="rId714"/>
    <hyperlink xmlns:r="http://schemas.openxmlformats.org/officeDocument/2006/relationships" ref="E716" display="AU2065646519525" r:id="rId715"/>
    <hyperlink xmlns:r="http://schemas.openxmlformats.org/officeDocument/2006/relationships" ref="E717" display="AU2065646519525" r:id="rId716"/>
    <hyperlink xmlns:r="http://schemas.openxmlformats.org/officeDocument/2006/relationships" ref="E718" display="AU2065646519525" r:id="rId717"/>
    <hyperlink xmlns:r="http://schemas.openxmlformats.org/officeDocument/2006/relationships" ref="E719" display="AU2065646519525" r:id="rId718"/>
    <hyperlink xmlns:r="http://schemas.openxmlformats.org/officeDocument/2006/relationships" ref="E720" display="AU2065646519525" r:id="rId719"/>
    <hyperlink xmlns:r="http://schemas.openxmlformats.org/officeDocument/2006/relationships" ref="E721" display="AU2065646519525" r:id="rId720"/>
    <hyperlink xmlns:r="http://schemas.openxmlformats.org/officeDocument/2006/relationships" ref="E722" display="AU2065646519525" r:id="rId721"/>
    <hyperlink xmlns:r="http://schemas.openxmlformats.org/officeDocument/2006/relationships" ref="E723" display="AU2065646519525" r:id="rId722"/>
    <hyperlink xmlns:r="http://schemas.openxmlformats.org/officeDocument/2006/relationships" ref="E724" display="AU2065646519525" r:id="rId723"/>
    <hyperlink xmlns:r="http://schemas.openxmlformats.org/officeDocument/2006/relationships" ref="E725" display="AU2065646519525" r:id="rId724"/>
    <hyperlink xmlns:r="http://schemas.openxmlformats.org/officeDocument/2006/relationships" ref="E726" display="AU2065646519525" r:id="rId725"/>
    <hyperlink xmlns:r="http://schemas.openxmlformats.org/officeDocument/2006/relationships" ref="E727" display="AU2065646519525" r:id="rId726"/>
    <hyperlink xmlns:r="http://schemas.openxmlformats.org/officeDocument/2006/relationships" ref="E728" display="AU2065646519525" r:id="rId727"/>
    <hyperlink xmlns:r="http://schemas.openxmlformats.org/officeDocument/2006/relationships" ref="E729" display="AU2065646519525" r:id="rId728"/>
    <hyperlink xmlns:r="http://schemas.openxmlformats.org/officeDocument/2006/relationships" ref="E730" display="AU2065646519525" r:id="rId729"/>
    <hyperlink xmlns:r="http://schemas.openxmlformats.org/officeDocument/2006/relationships" ref="E731" display="AU2065646519525" r:id="rId730"/>
    <hyperlink xmlns:r="http://schemas.openxmlformats.org/officeDocument/2006/relationships" ref="E732" display="AU2065646519525" r:id="rId731"/>
    <hyperlink xmlns:r="http://schemas.openxmlformats.org/officeDocument/2006/relationships" ref="E733" display="AU2065646519525" r:id="rId732"/>
    <hyperlink xmlns:r="http://schemas.openxmlformats.org/officeDocument/2006/relationships" ref="E734" display="AU2065646519525" r:id="rId733"/>
    <hyperlink xmlns:r="http://schemas.openxmlformats.org/officeDocument/2006/relationships" ref="E735" display="AU2065646519525" r:id="rId734"/>
    <hyperlink xmlns:r="http://schemas.openxmlformats.org/officeDocument/2006/relationships" ref="E736" display="AU2065646519525" r:id="rId735"/>
    <hyperlink xmlns:r="http://schemas.openxmlformats.org/officeDocument/2006/relationships" ref="E737" display="AU2065646519525" r:id="rId736"/>
    <hyperlink xmlns:r="http://schemas.openxmlformats.org/officeDocument/2006/relationships" ref="E738" display="AU2065646519525" r:id="rId737"/>
    <hyperlink xmlns:r="http://schemas.openxmlformats.org/officeDocument/2006/relationships" ref="E739" display="AU2065646519525" r:id="rId738"/>
    <hyperlink xmlns:r="http://schemas.openxmlformats.org/officeDocument/2006/relationships" ref="E740" display="AU2065646519525" r:id="rId739"/>
    <hyperlink xmlns:r="http://schemas.openxmlformats.org/officeDocument/2006/relationships" ref="E741" display="AU2065646519525" r:id="rId740"/>
    <hyperlink xmlns:r="http://schemas.openxmlformats.org/officeDocument/2006/relationships" ref="E742" display="AU2065646519525" r:id="rId741"/>
    <hyperlink xmlns:r="http://schemas.openxmlformats.org/officeDocument/2006/relationships" ref="E743" display="AU2065646519525" r:id="rId742"/>
    <hyperlink xmlns:r="http://schemas.openxmlformats.org/officeDocument/2006/relationships" ref="E744" display="AU2065646519525" r:id="rId743"/>
    <hyperlink xmlns:r="http://schemas.openxmlformats.org/officeDocument/2006/relationships" ref="E745" display="AU2065646519525" r:id="rId744"/>
    <hyperlink xmlns:r="http://schemas.openxmlformats.org/officeDocument/2006/relationships" ref="E746" display="AU2065646519525" r:id="rId745"/>
    <hyperlink xmlns:r="http://schemas.openxmlformats.org/officeDocument/2006/relationships" ref="E747" display="AU2065646519525" r:id="rId746"/>
    <hyperlink xmlns:r="http://schemas.openxmlformats.org/officeDocument/2006/relationships" ref="E748" display="AU2065646519525" r:id="rId747"/>
    <hyperlink xmlns:r="http://schemas.openxmlformats.org/officeDocument/2006/relationships" ref="E749" display="AU2065646519525" r:id="rId748"/>
    <hyperlink xmlns:r="http://schemas.openxmlformats.org/officeDocument/2006/relationships" ref="E750" display="AU2065646519525" r:id="rId749"/>
    <hyperlink xmlns:r="http://schemas.openxmlformats.org/officeDocument/2006/relationships" ref="E751" display="AU2065646519525" r:id="rId750"/>
    <hyperlink xmlns:r="http://schemas.openxmlformats.org/officeDocument/2006/relationships" ref="E752" display="AU2065646519525" r:id="rId751"/>
    <hyperlink xmlns:r="http://schemas.openxmlformats.org/officeDocument/2006/relationships" ref="E753" display="AU2065646519525" r:id="rId752"/>
    <hyperlink xmlns:r="http://schemas.openxmlformats.org/officeDocument/2006/relationships" ref="E754" display="AU2065646519525" r:id="rId753"/>
    <hyperlink xmlns:r="http://schemas.openxmlformats.org/officeDocument/2006/relationships" ref="E755" display="AU2065646519525" r:id="rId754"/>
    <hyperlink xmlns:r="http://schemas.openxmlformats.org/officeDocument/2006/relationships" ref="E756" display="AU2065646519525" r:id="rId755"/>
    <hyperlink xmlns:r="http://schemas.openxmlformats.org/officeDocument/2006/relationships" ref="E757" display="AU2065646519525" r:id="rId756"/>
    <hyperlink xmlns:r="http://schemas.openxmlformats.org/officeDocument/2006/relationships" ref="E758" display="AU2065646519525" r:id="rId757"/>
    <hyperlink xmlns:r="http://schemas.openxmlformats.org/officeDocument/2006/relationships" ref="E759" display="AU2065646519525" r:id="rId758"/>
    <hyperlink xmlns:r="http://schemas.openxmlformats.org/officeDocument/2006/relationships" ref="E760" display="AU2065646519525" r:id="rId759"/>
    <hyperlink xmlns:r="http://schemas.openxmlformats.org/officeDocument/2006/relationships" ref="E761" display="AU2065646519525" r:id="rId760"/>
    <hyperlink xmlns:r="http://schemas.openxmlformats.org/officeDocument/2006/relationships" ref="E762" display="AU2065646519525" r:id="rId761"/>
    <hyperlink xmlns:r="http://schemas.openxmlformats.org/officeDocument/2006/relationships" ref="E763" display="AU2065646519525" r:id="rId762"/>
    <hyperlink xmlns:r="http://schemas.openxmlformats.org/officeDocument/2006/relationships" ref="E764" display="AU2065646519525" r:id="rId763"/>
    <hyperlink xmlns:r="http://schemas.openxmlformats.org/officeDocument/2006/relationships" ref="E765" display="AU2065646519525" r:id="rId764"/>
    <hyperlink xmlns:r="http://schemas.openxmlformats.org/officeDocument/2006/relationships" ref="E766" display="AU2065646519525" r:id="rId765"/>
    <hyperlink xmlns:r="http://schemas.openxmlformats.org/officeDocument/2006/relationships" ref="E767" display="AU2065646519525" r:id="rId766"/>
    <hyperlink xmlns:r="http://schemas.openxmlformats.org/officeDocument/2006/relationships" ref="E768" display="AU2065646519525" r:id="rId767"/>
    <hyperlink xmlns:r="http://schemas.openxmlformats.org/officeDocument/2006/relationships" ref="E769" display="AU2065646519525" r:id="rId768"/>
    <hyperlink xmlns:r="http://schemas.openxmlformats.org/officeDocument/2006/relationships" ref="E770" display="AU2065646519525" r:id="rId769"/>
    <hyperlink xmlns:r="http://schemas.openxmlformats.org/officeDocument/2006/relationships" ref="E771" display="AU2065646519525" r:id="rId770"/>
    <hyperlink xmlns:r="http://schemas.openxmlformats.org/officeDocument/2006/relationships" ref="E772" display="AU2065646519525" r:id="rId771"/>
    <hyperlink xmlns:r="http://schemas.openxmlformats.org/officeDocument/2006/relationships" ref="E773" display="AU2065646519525" r:id="rId772"/>
    <hyperlink xmlns:r="http://schemas.openxmlformats.org/officeDocument/2006/relationships" ref="E774" display="AU2065646519525" r:id="rId773"/>
    <hyperlink xmlns:r="http://schemas.openxmlformats.org/officeDocument/2006/relationships" ref="E775" display="AU2065646519525" r:id="rId774"/>
    <hyperlink xmlns:r="http://schemas.openxmlformats.org/officeDocument/2006/relationships" ref="E776" display="AU2065646519525" r:id="rId775"/>
    <hyperlink xmlns:r="http://schemas.openxmlformats.org/officeDocument/2006/relationships" ref="E777" display="AU2065646519525" r:id="rId776"/>
    <hyperlink xmlns:r="http://schemas.openxmlformats.org/officeDocument/2006/relationships" ref="E778" display="AU2065646519525" r:id="rId777"/>
    <hyperlink xmlns:r="http://schemas.openxmlformats.org/officeDocument/2006/relationships" ref="E779" display="AU2065646519525" r:id="rId778"/>
    <hyperlink xmlns:r="http://schemas.openxmlformats.org/officeDocument/2006/relationships" ref="E780" display="AU2065646519525" r:id="rId779"/>
    <hyperlink xmlns:r="http://schemas.openxmlformats.org/officeDocument/2006/relationships" ref="E781" display="AU2065646519525" r:id="rId780"/>
    <hyperlink xmlns:r="http://schemas.openxmlformats.org/officeDocument/2006/relationships" ref="E782" display="AU2065646519525" r:id="rId781"/>
    <hyperlink xmlns:r="http://schemas.openxmlformats.org/officeDocument/2006/relationships" ref="E783" display="AU2065646519525" r:id="rId782"/>
    <hyperlink xmlns:r="http://schemas.openxmlformats.org/officeDocument/2006/relationships" ref="E784" display="AU2065646519525" r:id="rId783"/>
    <hyperlink xmlns:r="http://schemas.openxmlformats.org/officeDocument/2006/relationships" ref="E785" display="AU2065646519525" r:id="rId784"/>
    <hyperlink xmlns:r="http://schemas.openxmlformats.org/officeDocument/2006/relationships" ref="E786" display="AU2065646519525" r:id="rId785"/>
    <hyperlink xmlns:r="http://schemas.openxmlformats.org/officeDocument/2006/relationships" ref="E787" display="AU2065646519525" r:id="rId786"/>
    <hyperlink xmlns:r="http://schemas.openxmlformats.org/officeDocument/2006/relationships" ref="E788" display="AU2065646519525" r:id="rId787"/>
    <hyperlink xmlns:r="http://schemas.openxmlformats.org/officeDocument/2006/relationships" ref="E789" display="AU2065646519525" r:id="rId788"/>
    <hyperlink xmlns:r="http://schemas.openxmlformats.org/officeDocument/2006/relationships" ref="E790" display="AU2065646519525" r:id="rId789"/>
    <hyperlink xmlns:r="http://schemas.openxmlformats.org/officeDocument/2006/relationships" ref="E791" display="AU2065646519525" r:id="rId790"/>
    <hyperlink xmlns:r="http://schemas.openxmlformats.org/officeDocument/2006/relationships" ref="E792" display="AU2065646519525" r:id="rId791"/>
    <hyperlink xmlns:r="http://schemas.openxmlformats.org/officeDocument/2006/relationships" ref="E793" display="AU2065646519525" r:id="rId792"/>
    <hyperlink xmlns:r="http://schemas.openxmlformats.org/officeDocument/2006/relationships" ref="E794" display="AU2065646519525" r:id="rId793"/>
    <hyperlink xmlns:r="http://schemas.openxmlformats.org/officeDocument/2006/relationships" ref="E795" display="AU2065646519525" r:id="rId794"/>
    <hyperlink xmlns:r="http://schemas.openxmlformats.org/officeDocument/2006/relationships" ref="E796" display="AU2065646519525" r:id="rId795"/>
    <hyperlink xmlns:r="http://schemas.openxmlformats.org/officeDocument/2006/relationships" ref="E797" display="AU2065646519525" r:id="rId796"/>
    <hyperlink xmlns:r="http://schemas.openxmlformats.org/officeDocument/2006/relationships" ref="E798" display="AU2065646519525" r:id="rId797"/>
    <hyperlink xmlns:r="http://schemas.openxmlformats.org/officeDocument/2006/relationships" ref="E799" display="AU2065646519525" r:id="rId798"/>
    <hyperlink xmlns:r="http://schemas.openxmlformats.org/officeDocument/2006/relationships" ref="E800" display="AU2065646519525" r:id="rId799"/>
    <hyperlink xmlns:r="http://schemas.openxmlformats.org/officeDocument/2006/relationships" ref="E801" display="AU2065646519525" r:id="rId800"/>
    <hyperlink xmlns:r="http://schemas.openxmlformats.org/officeDocument/2006/relationships" ref="E802" display="AU2065646519525" r:id="rId801"/>
    <hyperlink xmlns:r="http://schemas.openxmlformats.org/officeDocument/2006/relationships" ref="E803" display="AU2065646519525" r:id="rId802"/>
    <hyperlink xmlns:r="http://schemas.openxmlformats.org/officeDocument/2006/relationships" ref="E804" display="AU2065646519525" r:id="rId803"/>
    <hyperlink xmlns:r="http://schemas.openxmlformats.org/officeDocument/2006/relationships" ref="E805" display="AU2065646519525" r:id="rId804"/>
    <hyperlink xmlns:r="http://schemas.openxmlformats.org/officeDocument/2006/relationships" ref="E806" display="AU2065646519525" r:id="rId805"/>
    <hyperlink xmlns:r="http://schemas.openxmlformats.org/officeDocument/2006/relationships" ref="E807" display="AU2065646519525" r:id="rId806"/>
    <hyperlink xmlns:r="http://schemas.openxmlformats.org/officeDocument/2006/relationships" ref="E808" display="AU2065646519525" r:id="rId807"/>
    <hyperlink xmlns:r="http://schemas.openxmlformats.org/officeDocument/2006/relationships" ref="E809" display="AU2065646519525" r:id="rId808"/>
    <hyperlink xmlns:r="http://schemas.openxmlformats.org/officeDocument/2006/relationships" ref="E810" display="AU2065646519525" r:id="rId809"/>
    <hyperlink xmlns:r="http://schemas.openxmlformats.org/officeDocument/2006/relationships" ref="E811" display="AU2065646519525" r:id="rId810"/>
    <hyperlink xmlns:r="http://schemas.openxmlformats.org/officeDocument/2006/relationships" ref="E812" display="AU2065646519525" r:id="rId811"/>
    <hyperlink xmlns:r="http://schemas.openxmlformats.org/officeDocument/2006/relationships" ref="E813" display="AU2065646519525" r:id="rId812"/>
    <hyperlink xmlns:r="http://schemas.openxmlformats.org/officeDocument/2006/relationships" ref="E814" display="AU2065646519525" r:id="rId813"/>
    <hyperlink xmlns:r="http://schemas.openxmlformats.org/officeDocument/2006/relationships" ref="E815" display="AU2065646519525" r:id="rId814"/>
    <hyperlink xmlns:r="http://schemas.openxmlformats.org/officeDocument/2006/relationships" ref="E816" display="AU2065646519525" r:id="rId815"/>
    <hyperlink xmlns:r="http://schemas.openxmlformats.org/officeDocument/2006/relationships" ref="E817" display="AU2065646519525" r:id="rId816"/>
    <hyperlink xmlns:r="http://schemas.openxmlformats.org/officeDocument/2006/relationships" ref="E818" display="AU2065646519525" r:id="rId817"/>
    <hyperlink xmlns:r="http://schemas.openxmlformats.org/officeDocument/2006/relationships" ref="E819" display="AU2065646519525" r:id="rId818"/>
    <hyperlink xmlns:r="http://schemas.openxmlformats.org/officeDocument/2006/relationships" ref="E820" display="AU2065646519525" r:id="rId819"/>
    <hyperlink xmlns:r="http://schemas.openxmlformats.org/officeDocument/2006/relationships" ref="E821" display="AU2065646519525" r:id="rId820"/>
    <hyperlink xmlns:r="http://schemas.openxmlformats.org/officeDocument/2006/relationships" ref="E822" display="AU2065646519525" r:id="rId821"/>
    <hyperlink xmlns:r="http://schemas.openxmlformats.org/officeDocument/2006/relationships" ref="E823" display="AU2065646519525" r:id="rId822"/>
    <hyperlink xmlns:r="http://schemas.openxmlformats.org/officeDocument/2006/relationships" ref="E824" display="AU2065646519525" r:id="rId823"/>
    <hyperlink xmlns:r="http://schemas.openxmlformats.org/officeDocument/2006/relationships" ref="E825" display="AU2065646519525" r:id="rId824"/>
    <hyperlink xmlns:r="http://schemas.openxmlformats.org/officeDocument/2006/relationships" ref="E826" display="AU2065646519525" r:id="rId825"/>
    <hyperlink xmlns:r="http://schemas.openxmlformats.org/officeDocument/2006/relationships" ref="E827" display="AU2065646519525" r:id="rId826"/>
    <hyperlink xmlns:r="http://schemas.openxmlformats.org/officeDocument/2006/relationships" ref="E828" display="AU2065646519525" r:id="rId827"/>
    <hyperlink xmlns:r="http://schemas.openxmlformats.org/officeDocument/2006/relationships" ref="E829" display="AU2065646519525" r:id="rId828"/>
    <hyperlink xmlns:r="http://schemas.openxmlformats.org/officeDocument/2006/relationships" ref="E830" display="AU2065646519525" r:id="rId829"/>
    <hyperlink xmlns:r="http://schemas.openxmlformats.org/officeDocument/2006/relationships" ref="E831" display="AU2065646519525" r:id="rId830"/>
    <hyperlink xmlns:r="http://schemas.openxmlformats.org/officeDocument/2006/relationships" ref="E832" display="AU2065646519525" r:id="rId831"/>
    <hyperlink xmlns:r="http://schemas.openxmlformats.org/officeDocument/2006/relationships" ref="E833" display="AU2065646519525" r:id="rId832"/>
    <hyperlink xmlns:r="http://schemas.openxmlformats.org/officeDocument/2006/relationships" ref="E834" display="AU2065646519525" r:id="rId833"/>
    <hyperlink xmlns:r="http://schemas.openxmlformats.org/officeDocument/2006/relationships" ref="E835" display="AU2065646519525" r:id="rId834"/>
    <hyperlink xmlns:r="http://schemas.openxmlformats.org/officeDocument/2006/relationships" ref="E836" display="AU2065646519525" r:id="rId835"/>
    <hyperlink xmlns:r="http://schemas.openxmlformats.org/officeDocument/2006/relationships" ref="E837" display="AU2065646519525" r:id="rId836"/>
    <hyperlink xmlns:r="http://schemas.openxmlformats.org/officeDocument/2006/relationships" ref="E838" display="AU2065646519525" r:id="rId837"/>
    <hyperlink xmlns:r="http://schemas.openxmlformats.org/officeDocument/2006/relationships" ref="E839" display="AU2065646519525" r:id="rId838"/>
    <hyperlink xmlns:r="http://schemas.openxmlformats.org/officeDocument/2006/relationships" ref="E840" display="AU2065646519525" r:id="rId839"/>
    <hyperlink xmlns:r="http://schemas.openxmlformats.org/officeDocument/2006/relationships" ref="E841" display="AU2065646519525" r:id="rId840"/>
    <hyperlink xmlns:r="http://schemas.openxmlformats.org/officeDocument/2006/relationships" ref="E842" display="AU2065646519525" r:id="rId841"/>
    <hyperlink xmlns:r="http://schemas.openxmlformats.org/officeDocument/2006/relationships" ref="E843" display="AU2065646519525" r:id="rId842"/>
    <hyperlink xmlns:r="http://schemas.openxmlformats.org/officeDocument/2006/relationships" ref="E844" display="AU2065646519525" r:id="rId843"/>
    <hyperlink xmlns:r="http://schemas.openxmlformats.org/officeDocument/2006/relationships" ref="E845" display="AU2065646519525" r:id="rId844"/>
    <hyperlink xmlns:r="http://schemas.openxmlformats.org/officeDocument/2006/relationships" ref="E846" display="AU2065646519525" r:id="rId845"/>
    <hyperlink xmlns:r="http://schemas.openxmlformats.org/officeDocument/2006/relationships" ref="E847" display="AU2065646519525" r:id="rId846"/>
    <hyperlink xmlns:r="http://schemas.openxmlformats.org/officeDocument/2006/relationships" ref="E848" display="AU2065646519525" r:id="rId847"/>
    <hyperlink xmlns:r="http://schemas.openxmlformats.org/officeDocument/2006/relationships" ref="E849" display="AU2065646519525" r:id="rId848"/>
    <hyperlink xmlns:r="http://schemas.openxmlformats.org/officeDocument/2006/relationships" ref="E850" display="AU2065646519525" r:id="rId849"/>
    <hyperlink xmlns:r="http://schemas.openxmlformats.org/officeDocument/2006/relationships" ref="E851" display="AU2065646519525" r:id="rId850"/>
    <hyperlink xmlns:r="http://schemas.openxmlformats.org/officeDocument/2006/relationships" ref="E852" display="AU2065646519525" r:id="rId851"/>
    <hyperlink xmlns:r="http://schemas.openxmlformats.org/officeDocument/2006/relationships" ref="E853" display="AU2065646519525" r:id="rId852"/>
    <hyperlink xmlns:r="http://schemas.openxmlformats.org/officeDocument/2006/relationships" ref="E854" display="AU2065646519525" r:id="rId853"/>
    <hyperlink xmlns:r="http://schemas.openxmlformats.org/officeDocument/2006/relationships" ref="E855" display="AU2065646519525" r:id="rId854"/>
    <hyperlink xmlns:r="http://schemas.openxmlformats.org/officeDocument/2006/relationships" ref="E856" display="AU2065646519525" r:id="rId855"/>
    <hyperlink xmlns:r="http://schemas.openxmlformats.org/officeDocument/2006/relationships" ref="E857" display="AU2065646519525" r:id="rId856"/>
    <hyperlink xmlns:r="http://schemas.openxmlformats.org/officeDocument/2006/relationships" ref="E858" display="AU2065646519525" r:id="rId857"/>
    <hyperlink xmlns:r="http://schemas.openxmlformats.org/officeDocument/2006/relationships" ref="E859" display="AU2065646519525" r:id="rId858"/>
    <hyperlink xmlns:r="http://schemas.openxmlformats.org/officeDocument/2006/relationships" ref="E860" display="AU2065646519525" r:id="rId859"/>
    <hyperlink xmlns:r="http://schemas.openxmlformats.org/officeDocument/2006/relationships" ref="E861" display="AU2065646519525" r:id="rId860"/>
    <hyperlink xmlns:r="http://schemas.openxmlformats.org/officeDocument/2006/relationships" ref="E862" display="AU2065646519525" r:id="rId861"/>
    <hyperlink xmlns:r="http://schemas.openxmlformats.org/officeDocument/2006/relationships" ref="E863" display="AU2065646519525" r:id="rId862"/>
    <hyperlink xmlns:r="http://schemas.openxmlformats.org/officeDocument/2006/relationships" ref="E864" display="AU2065646519525" r:id="rId863"/>
    <hyperlink xmlns:r="http://schemas.openxmlformats.org/officeDocument/2006/relationships" ref="E865" display="AU2065646519525" r:id="rId864"/>
    <hyperlink xmlns:r="http://schemas.openxmlformats.org/officeDocument/2006/relationships" ref="E866" display="AU2065646519525" r:id="rId865"/>
    <hyperlink xmlns:r="http://schemas.openxmlformats.org/officeDocument/2006/relationships" ref="E867" display="AU2065646519525" r:id="rId866"/>
    <hyperlink xmlns:r="http://schemas.openxmlformats.org/officeDocument/2006/relationships" ref="E868" display="AU2065646519525" r:id="rId867"/>
    <hyperlink xmlns:r="http://schemas.openxmlformats.org/officeDocument/2006/relationships" ref="E869" display="AU2065646519525" r:id="rId868"/>
    <hyperlink xmlns:r="http://schemas.openxmlformats.org/officeDocument/2006/relationships" ref="E870" display="AU2065646519525" r:id="rId869"/>
    <hyperlink xmlns:r="http://schemas.openxmlformats.org/officeDocument/2006/relationships" ref="E871" display="AU2065646519525" r:id="rId870"/>
    <hyperlink xmlns:r="http://schemas.openxmlformats.org/officeDocument/2006/relationships" ref="E872" display="AU2065646519525" r:id="rId871"/>
    <hyperlink xmlns:r="http://schemas.openxmlformats.org/officeDocument/2006/relationships" ref="E873" display="AU2065646519525" r:id="rId872"/>
    <hyperlink xmlns:r="http://schemas.openxmlformats.org/officeDocument/2006/relationships" ref="E874" display="AU2065646519525" r:id="rId873"/>
    <hyperlink xmlns:r="http://schemas.openxmlformats.org/officeDocument/2006/relationships" ref="E875" display="AU2065646519525" r:id="rId874"/>
    <hyperlink xmlns:r="http://schemas.openxmlformats.org/officeDocument/2006/relationships" ref="E876" display="AU2065646519525" r:id="rId875"/>
    <hyperlink xmlns:r="http://schemas.openxmlformats.org/officeDocument/2006/relationships" ref="E877" display="AU2065646519525" r:id="rId876"/>
    <hyperlink xmlns:r="http://schemas.openxmlformats.org/officeDocument/2006/relationships" ref="E878" display="AU2065646519525" r:id="rId877"/>
    <hyperlink xmlns:r="http://schemas.openxmlformats.org/officeDocument/2006/relationships" ref="E879" display="AU2065646519525" r:id="rId878"/>
    <hyperlink xmlns:r="http://schemas.openxmlformats.org/officeDocument/2006/relationships" ref="E880" display="AU2065646519525" r:id="rId879"/>
    <hyperlink xmlns:r="http://schemas.openxmlformats.org/officeDocument/2006/relationships" ref="E881" display="AU2065646519525" r:id="rId880"/>
    <hyperlink xmlns:r="http://schemas.openxmlformats.org/officeDocument/2006/relationships" ref="E882" display="AU2065646519525" r:id="rId881"/>
    <hyperlink xmlns:r="http://schemas.openxmlformats.org/officeDocument/2006/relationships" ref="E883" display="AU2065646519525" r:id="rId882"/>
    <hyperlink xmlns:r="http://schemas.openxmlformats.org/officeDocument/2006/relationships" ref="E884" display="AU2065646519525" r:id="rId883"/>
    <hyperlink xmlns:r="http://schemas.openxmlformats.org/officeDocument/2006/relationships" ref="E885" display="AU2065646519525" r:id="rId884"/>
    <hyperlink xmlns:r="http://schemas.openxmlformats.org/officeDocument/2006/relationships" ref="E886" display="AU2065646519525" r:id="rId885"/>
    <hyperlink xmlns:r="http://schemas.openxmlformats.org/officeDocument/2006/relationships" ref="E887" display="AU2065646519525" r:id="rId886"/>
    <hyperlink xmlns:r="http://schemas.openxmlformats.org/officeDocument/2006/relationships" ref="E888" display="AU2065646519525" r:id="rId887"/>
    <hyperlink xmlns:r="http://schemas.openxmlformats.org/officeDocument/2006/relationships" ref="E889" display="AU2065646519525" r:id="rId888"/>
    <hyperlink xmlns:r="http://schemas.openxmlformats.org/officeDocument/2006/relationships" ref="E890" display="AU2065646519525" r:id="rId889"/>
    <hyperlink xmlns:r="http://schemas.openxmlformats.org/officeDocument/2006/relationships" ref="E891" display="AU2065646519525" r:id="rId890"/>
    <hyperlink xmlns:r="http://schemas.openxmlformats.org/officeDocument/2006/relationships" ref="E892" display="AU2065646519525" r:id="rId891"/>
    <hyperlink xmlns:r="http://schemas.openxmlformats.org/officeDocument/2006/relationships" ref="E893" display="AU2065646519525" r:id="rId892"/>
    <hyperlink xmlns:r="http://schemas.openxmlformats.org/officeDocument/2006/relationships" ref="E894" display="AU2065646519525" r:id="rId893"/>
    <hyperlink xmlns:r="http://schemas.openxmlformats.org/officeDocument/2006/relationships" ref="E895" display="AU2065646519525" r:id="rId894"/>
    <hyperlink xmlns:r="http://schemas.openxmlformats.org/officeDocument/2006/relationships" ref="E896" display="AU2065646519525" r:id="rId895"/>
    <hyperlink xmlns:r="http://schemas.openxmlformats.org/officeDocument/2006/relationships" ref="E897" display="AU2065646519525" r:id="rId896"/>
    <hyperlink xmlns:r="http://schemas.openxmlformats.org/officeDocument/2006/relationships" ref="E898" display="AU2065646519525" r:id="rId897"/>
    <hyperlink xmlns:r="http://schemas.openxmlformats.org/officeDocument/2006/relationships" ref="E899" display="AU2065646519525" r:id="rId898"/>
    <hyperlink xmlns:r="http://schemas.openxmlformats.org/officeDocument/2006/relationships" ref="E900" display="AU2065646519525" r:id="rId899"/>
    <hyperlink xmlns:r="http://schemas.openxmlformats.org/officeDocument/2006/relationships" ref="E901" display="AU2065646519525" r:id="rId900"/>
    <hyperlink xmlns:r="http://schemas.openxmlformats.org/officeDocument/2006/relationships" ref="E902" display="AU2065646519525" r:id="rId901"/>
    <hyperlink xmlns:r="http://schemas.openxmlformats.org/officeDocument/2006/relationships" ref="E903" display="AU2065646519525" r:id="rId902"/>
    <hyperlink xmlns:r="http://schemas.openxmlformats.org/officeDocument/2006/relationships" ref="E904" display="AU2065646519525" r:id="rId903"/>
    <hyperlink xmlns:r="http://schemas.openxmlformats.org/officeDocument/2006/relationships" ref="E905" display="AU2065646519525" r:id="rId904"/>
    <hyperlink xmlns:r="http://schemas.openxmlformats.org/officeDocument/2006/relationships" ref="E906" display="AU2065646519525" r:id="rId905"/>
    <hyperlink xmlns:r="http://schemas.openxmlformats.org/officeDocument/2006/relationships" ref="E907" display="AU2065646519525" r:id="rId906"/>
    <hyperlink xmlns:r="http://schemas.openxmlformats.org/officeDocument/2006/relationships" ref="E908" display="AU2065646519525" r:id="rId907"/>
    <hyperlink xmlns:r="http://schemas.openxmlformats.org/officeDocument/2006/relationships" ref="E909" display="AU2065646519525" r:id="rId908"/>
    <hyperlink xmlns:r="http://schemas.openxmlformats.org/officeDocument/2006/relationships" ref="E910" display="AU2065646519525" r:id="rId909"/>
    <hyperlink xmlns:r="http://schemas.openxmlformats.org/officeDocument/2006/relationships" ref="E911" display="AU2065646519525" r:id="rId910"/>
    <hyperlink xmlns:r="http://schemas.openxmlformats.org/officeDocument/2006/relationships" ref="E912" display="AU2065646519525" r:id="rId911"/>
    <hyperlink xmlns:r="http://schemas.openxmlformats.org/officeDocument/2006/relationships" ref="E913" display="AU2065646519525" r:id="rId912"/>
    <hyperlink xmlns:r="http://schemas.openxmlformats.org/officeDocument/2006/relationships" ref="E914" display="AU2065646519525" r:id="rId913"/>
    <hyperlink xmlns:r="http://schemas.openxmlformats.org/officeDocument/2006/relationships" ref="E915" display="AU2065646519525" r:id="rId914"/>
    <hyperlink xmlns:r="http://schemas.openxmlformats.org/officeDocument/2006/relationships" ref="E916" display="AU2065646519525" r:id="rId915"/>
    <hyperlink xmlns:r="http://schemas.openxmlformats.org/officeDocument/2006/relationships" ref="E917" display="AU2065646519525" r:id="rId916"/>
    <hyperlink xmlns:r="http://schemas.openxmlformats.org/officeDocument/2006/relationships" ref="E918" display="AU2065646519525" r:id="rId917"/>
    <hyperlink xmlns:r="http://schemas.openxmlformats.org/officeDocument/2006/relationships" ref="E919" display="AU2065646519525" r:id="rId918"/>
    <hyperlink xmlns:r="http://schemas.openxmlformats.org/officeDocument/2006/relationships" ref="E920" display="AU2065646519525" r:id="rId919"/>
    <hyperlink xmlns:r="http://schemas.openxmlformats.org/officeDocument/2006/relationships" ref="E921" display="AU2065646519525" r:id="rId920"/>
    <hyperlink xmlns:r="http://schemas.openxmlformats.org/officeDocument/2006/relationships" ref="E922" display="AU2065646519525" r:id="rId921"/>
    <hyperlink xmlns:r="http://schemas.openxmlformats.org/officeDocument/2006/relationships" ref="E923" display="AU2065646519525" r:id="rId922"/>
    <hyperlink xmlns:r="http://schemas.openxmlformats.org/officeDocument/2006/relationships" ref="E924" display="AU2065646519525" r:id="rId923"/>
    <hyperlink xmlns:r="http://schemas.openxmlformats.org/officeDocument/2006/relationships" ref="E925" display="AU2065646519525" r:id="rId924"/>
    <hyperlink xmlns:r="http://schemas.openxmlformats.org/officeDocument/2006/relationships" ref="E926" display="AU2065646519525" r:id="rId925"/>
    <hyperlink xmlns:r="http://schemas.openxmlformats.org/officeDocument/2006/relationships" ref="E927" display="AU2065646519525" r:id="rId926"/>
    <hyperlink xmlns:r="http://schemas.openxmlformats.org/officeDocument/2006/relationships" ref="E928" display="AU2065646519525" r:id="rId927"/>
    <hyperlink xmlns:r="http://schemas.openxmlformats.org/officeDocument/2006/relationships" ref="E929" display="AU2065646519525" r:id="rId928"/>
    <hyperlink xmlns:r="http://schemas.openxmlformats.org/officeDocument/2006/relationships" ref="E930" display="AU2065646519525" r:id="rId929"/>
    <hyperlink xmlns:r="http://schemas.openxmlformats.org/officeDocument/2006/relationships" ref="E931" display="AU2065646519525" r:id="rId930"/>
    <hyperlink xmlns:r="http://schemas.openxmlformats.org/officeDocument/2006/relationships" ref="E932" display="AU2065646519525" r:id="rId931"/>
    <hyperlink xmlns:r="http://schemas.openxmlformats.org/officeDocument/2006/relationships" ref="E933" display="AU2065646519525" r:id="rId932"/>
    <hyperlink xmlns:r="http://schemas.openxmlformats.org/officeDocument/2006/relationships" ref="E934" display="AU2065646519525" r:id="rId933"/>
    <hyperlink xmlns:r="http://schemas.openxmlformats.org/officeDocument/2006/relationships" ref="E935" display="AU2065646519525" r:id="rId934"/>
    <hyperlink xmlns:r="http://schemas.openxmlformats.org/officeDocument/2006/relationships" ref="E936" display="AU2065646519525" r:id="rId935"/>
    <hyperlink xmlns:r="http://schemas.openxmlformats.org/officeDocument/2006/relationships" ref="E937" display="AU2065646519525" r:id="rId936"/>
    <hyperlink xmlns:r="http://schemas.openxmlformats.org/officeDocument/2006/relationships" ref="E938" display="AU2065646519525" r:id="rId937"/>
    <hyperlink xmlns:r="http://schemas.openxmlformats.org/officeDocument/2006/relationships" ref="E939" display="AU2065646519525" r:id="rId938"/>
    <hyperlink xmlns:r="http://schemas.openxmlformats.org/officeDocument/2006/relationships" ref="E940" display="AU2065646519525" r:id="rId939"/>
    <hyperlink xmlns:r="http://schemas.openxmlformats.org/officeDocument/2006/relationships" ref="E941" display="AU2065646519525" r:id="rId940"/>
    <hyperlink xmlns:r="http://schemas.openxmlformats.org/officeDocument/2006/relationships" ref="E942" display="AU2065646519525" r:id="rId941"/>
    <hyperlink xmlns:r="http://schemas.openxmlformats.org/officeDocument/2006/relationships" ref="E943" display="AU2065646519525" r:id="rId942"/>
    <hyperlink xmlns:r="http://schemas.openxmlformats.org/officeDocument/2006/relationships" ref="E944" display="AU2065646519525" r:id="rId943"/>
    <hyperlink xmlns:r="http://schemas.openxmlformats.org/officeDocument/2006/relationships" ref="E945" display="AU2065646519525" r:id="rId944"/>
    <hyperlink xmlns:r="http://schemas.openxmlformats.org/officeDocument/2006/relationships" ref="E946" display="AU2065646519525" r:id="rId945"/>
    <hyperlink xmlns:r="http://schemas.openxmlformats.org/officeDocument/2006/relationships" ref="E947" display="AU2065646519525" r:id="rId946"/>
    <hyperlink xmlns:r="http://schemas.openxmlformats.org/officeDocument/2006/relationships" ref="E948" display="AU2065646519525" r:id="rId947"/>
    <hyperlink xmlns:r="http://schemas.openxmlformats.org/officeDocument/2006/relationships" ref="E949" display="AU2065646519525" r:id="rId948"/>
    <hyperlink xmlns:r="http://schemas.openxmlformats.org/officeDocument/2006/relationships" ref="E950" display="AU2065646519525" r:id="rId949"/>
    <hyperlink xmlns:r="http://schemas.openxmlformats.org/officeDocument/2006/relationships" ref="E951" display="AU2065646519525" r:id="rId950"/>
    <hyperlink xmlns:r="http://schemas.openxmlformats.org/officeDocument/2006/relationships" ref="E952" display="AU2065646519525" r:id="rId951"/>
    <hyperlink xmlns:r="http://schemas.openxmlformats.org/officeDocument/2006/relationships" ref="E953" display="AU2065646519525" r:id="rId952"/>
    <hyperlink xmlns:r="http://schemas.openxmlformats.org/officeDocument/2006/relationships" ref="E954" display="AU2065646519525" r:id="rId953"/>
    <hyperlink xmlns:r="http://schemas.openxmlformats.org/officeDocument/2006/relationships" ref="E955" display="AU2065646519525" r:id="rId954"/>
    <hyperlink xmlns:r="http://schemas.openxmlformats.org/officeDocument/2006/relationships" ref="E956" display="AU2065646519525" r:id="rId955"/>
    <hyperlink xmlns:r="http://schemas.openxmlformats.org/officeDocument/2006/relationships" ref="E957" display="AU2065646519525" r:id="rId956"/>
    <hyperlink xmlns:r="http://schemas.openxmlformats.org/officeDocument/2006/relationships" ref="E958" display="AU2065646519525" r:id="rId957"/>
    <hyperlink xmlns:r="http://schemas.openxmlformats.org/officeDocument/2006/relationships" ref="E959" display="AU2065646519525" r:id="rId958"/>
    <hyperlink xmlns:r="http://schemas.openxmlformats.org/officeDocument/2006/relationships" ref="E960" display="AU2065646519525" r:id="rId959"/>
    <hyperlink xmlns:r="http://schemas.openxmlformats.org/officeDocument/2006/relationships" ref="E961" display="AU2065646519525" r:id="rId960"/>
    <hyperlink xmlns:r="http://schemas.openxmlformats.org/officeDocument/2006/relationships" ref="E962" display="AU2065646519525" r:id="rId961"/>
    <hyperlink xmlns:r="http://schemas.openxmlformats.org/officeDocument/2006/relationships" ref="E963" display="AU2065646519525" r:id="rId962"/>
    <hyperlink xmlns:r="http://schemas.openxmlformats.org/officeDocument/2006/relationships" ref="E964" display="AU2065646519525" r:id="rId963"/>
    <hyperlink xmlns:r="http://schemas.openxmlformats.org/officeDocument/2006/relationships" ref="E965" display="AU2065646519525" r:id="rId964"/>
    <hyperlink xmlns:r="http://schemas.openxmlformats.org/officeDocument/2006/relationships" ref="E966" display="AU2065646519525" r:id="rId965"/>
    <hyperlink xmlns:r="http://schemas.openxmlformats.org/officeDocument/2006/relationships" ref="E967" display="AU2065646519525" r:id="rId966"/>
    <hyperlink xmlns:r="http://schemas.openxmlformats.org/officeDocument/2006/relationships" ref="E968" display="AU2065646519525" r:id="rId967"/>
    <hyperlink xmlns:r="http://schemas.openxmlformats.org/officeDocument/2006/relationships" ref="E969" display="AU2065646519525" r:id="rId968"/>
    <hyperlink xmlns:r="http://schemas.openxmlformats.org/officeDocument/2006/relationships" ref="E970" display="AU2065646519525" r:id="rId969"/>
    <hyperlink xmlns:r="http://schemas.openxmlformats.org/officeDocument/2006/relationships" ref="E971" display="AU2065646519525" r:id="rId970"/>
    <hyperlink xmlns:r="http://schemas.openxmlformats.org/officeDocument/2006/relationships" ref="E972" display="AU2065646519525" r:id="rId971"/>
    <hyperlink xmlns:r="http://schemas.openxmlformats.org/officeDocument/2006/relationships" ref="E973" display="AU2065646519525" r:id="rId972"/>
    <hyperlink xmlns:r="http://schemas.openxmlformats.org/officeDocument/2006/relationships" ref="E974" display="AU2065646519525" r:id="rId973"/>
    <hyperlink xmlns:r="http://schemas.openxmlformats.org/officeDocument/2006/relationships" ref="E975" display="AU2065646519525" r:id="rId974"/>
    <hyperlink xmlns:r="http://schemas.openxmlformats.org/officeDocument/2006/relationships" ref="E976" display="AU2065646519525" r:id="rId975"/>
    <hyperlink xmlns:r="http://schemas.openxmlformats.org/officeDocument/2006/relationships" ref="E977" display="AU2065646519525" r:id="rId976"/>
    <hyperlink xmlns:r="http://schemas.openxmlformats.org/officeDocument/2006/relationships" ref="E978" display="AU2065646519525" r:id="rId977"/>
    <hyperlink xmlns:r="http://schemas.openxmlformats.org/officeDocument/2006/relationships" ref="E979" display="AU2065646519525" r:id="rId978"/>
    <hyperlink xmlns:r="http://schemas.openxmlformats.org/officeDocument/2006/relationships" ref="E980" display="AU2065646519525" r:id="rId979"/>
    <hyperlink xmlns:r="http://schemas.openxmlformats.org/officeDocument/2006/relationships" ref="E981" display="AU2065646519525" r:id="rId980"/>
    <hyperlink xmlns:r="http://schemas.openxmlformats.org/officeDocument/2006/relationships" ref="E982" display="AU2065646519525" r:id="rId981"/>
    <hyperlink xmlns:r="http://schemas.openxmlformats.org/officeDocument/2006/relationships" ref="E983" display="AU2065646519525" r:id="rId982"/>
    <hyperlink xmlns:r="http://schemas.openxmlformats.org/officeDocument/2006/relationships" ref="E984" display="AU2065646519525" r:id="rId983"/>
    <hyperlink xmlns:r="http://schemas.openxmlformats.org/officeDocument/2006/relationships" ref="E985" display="AU2065646519525" r:id="rId984"/>
    <hyperlink xmlns:r="http://schemas.openxmlformats.org/officeDocument/2006/relationships" ref="E986" display="AU2065646519525" r:id="rId985"/>
    <hyperlink xmlns:r="http://schemas.openxmlformats.org/officeDocument/2006/relationships" ref="E987" display="AU2065646519525" r:id="rId986"/>
    <hyperlink xmlns:r="http://schemas.openxmlformats.org/officeDocument/2006/relationships" ref="E988" display="AU2065646519525" r:id="rId987"/>
    <hyperlink xmlns:r="http://schemas.openxmlformats.org/officeDocument/2006/relationships" ref="E989" display="AU2065646519525" r:id="rId988"/>
    <hyperlink xmlns:r="http://schemas.openxmlformats.org/officeDocument/2006/relationships" ref="E990" display="AU2065646519525" r:id="rId989"/>
    <hyperlink xmlns:r="http://schemas.openxmlformats.org/officeDocument/2006/relationships" ref="E991" display="AU2065646519525" r:id="rId990"/>
    <hyperlink xmlns:r="http://schemas.openxmlformats.org/officeDocument/2006/relationships" ref="E992" display="AU2065646519525" r:id="rId991"/>
    <hyperlink xmlns:r="http://schemas.openxmlformats.org/officeDocument/2006/relationships" ref="E993" display="AU2065646519525" r:id="rId992"/>
    <hyperlink xmlns:r="http://schemas.openxmlformats.org/officeDocument/2006/relationships" ref="E994" display="AU2065646519525" r:id="rId993"/>
    <hyperlink xmlns:r="http://schemas.openxmlformats.org/officeDocument/2006/relationships" ref="E995" display="AU2065646519525" r:id="rId994"/>
    <hyperlink xmlns:r="http://schemas.openxmlformats.org/officeDocument/2006/relationships" ref="E996" display="AU2065646519525" r:id="rId995"/>
    <hyperlink xmlns:r="http://schemas.openxmlformats.org/officeDocument/2006/relationships" ref="E997" display="AU2065646519525" r:id="rId996"/>
    <hyperlink xmlns:r="http://schemas.openxmlformats.org/officeDocument/2006/relationships" ref="E998" display="AU2065646519525" r:id="rId997"/>
    <hyperlink xmlns:r="http://schemas.openxmlformats.org/officeDocument/2006/relationships" ref="E999" display="AU2065646519525" r:id="rId998"/>
    <hyperlink xmlns:r="http://schemas.openxmlformats.org/officeDocument/2006/relationships" ref="E1000" display="AU2065646519525" r:id="rId999"/>
    <hyperlink xmlns:r="http://schemas.openxmlformats.org/officeDocument/2006/relationships" ref="E1001" display="AU2065646519525" r:id="rId1000"/>
    <hyperlink xmlns:r="http://schemas.openxmlformats.org/officeDocument/2006/relationships" ref="E1002" display="AU2065646519525" r:id="rId1001"/>
    <hyperlink xmlns:r="http://schemas.openxmlformats.org/officeDocument/2006/relationships" ref="E1003" display="AU2065646519525" r:id="rId1002"/>
    <hyperlink xmlns:r="http://schemas.openxmlformats.org/officeDocument/2006/relationships" ref="E1004" display="AU2065646519525" r:id="rId1003"/>
    <hyperlink xmlns:r="http://schemas.openxmlformats.org/officeDocument/2006/relationships" ref="E1005" display="AU2065646519525" r:id="rId1004"/>
    <hyperlink xmlns:r="http://schemas.openxmlformats.org/officeDocument/2006/relationships" ref="E1006" display="AU2065646519525" r:id="rId1005"/>
    <hyperlink xmlns:r="http://schemas.openxmlformats.org/officeDocument/2006/relationships" ref="E1007" display="AU2065646519525" r:id="rId1006"/>
    <hyperlink xmlns:r="http://schemas.openxmlformats.org/officeDocument/2006/relationships" ref="E1008" display="AU2065646519525" r:id="rId1007"/>
    <hyperlink xmlns:r="http://schemas.openxmlformats.org/officeDocument/2006/relationships" ref="E1009" display="AU2065646519525" r:id="rId1008"/>
    <hyperlink xmlns:r="http://schemas.openxmlformats.org/officeDocument/2006/relationships" ref="E1010" display="AU2065646519525" r:id="rId1009"/>
    <hyperlink xmlns:r="http://schemas.openxmlformats.org/officeDocument/2006/relationships" ref="E1011" display="AU2065646519525" r:id="rId1010"/>
    <hyperlink xmlns:r="http://schemas.openxmlformats.org/officeDocument/2006/relationships" ref="E1012" display="AU2065646519525" r:id="rId1011"/>
    <hyperlink xmlns:r="http://schemas.openxmlformats.org/officeDocument/2006/relationships" ref="E1013" display="AU2065646519525" r:id="rId1012"/>
    <hyperlink xmlns:r="http://schemas.openxmlformats.org/officeDocument/2006/relationships" ref="E1014" display="AU2065646519525" r:id="rId1013"/>
    <hyperlink xmlns:r="http://schemas.openxmlformats.org/officeDocument/2006/relationships" ref="E1015" display="AU2065646519525" r:id="rId1014"/>
    <hyperlink xmlns:r="http://schemas.openxmlformats.org/officeDocument/2006/relationships" ref="E1016" display="AU2065646519525" r:id="rId1015"/>
    <hyperlink xmlns:r="http://schemas.openxmlformats.org/officeDocument/2006/relationships" ref="E1017" display="AU2065646519525" r:id="rId1016"/>
    <hyperlink xmlns:r="http://schemas.openxmlformats.org/officeDocument/2006/relationships" ref="E1018" display="AU2065646519525" r:id="rId1017"/>
    <hyperlink xmlns:r="http://schemas.openxmlformats.org/officeDocument/2006/relationships" ref="E1019" display="AU2065646519525" r:id="rId1018"/>
    <hyperlink xmlns:r="http://schemas.openxmlformats.org/officeDocument/2006/relationships" ref="E1020" display="AU2065646519525" r:id="rId1019"/>
    <hyperlink xmlns:r="http://schemas.openxmlformats.org/officeDocument/2006/relationships" ref="E1021" display="AU2065646519525" r:id="rId1020"/>
    <hyperlink xmlns:r="http://schemas.openxmlformats.org/officeDocument/2006/relationships" ref="E1022" display="AU2065646519525" r:id="rId1021"/>
    <hyperlink xmlns:r="http://schemas.openxmlformats.org/officeDocument/2006/relationships" ref="E1023" display="AU2065646519525" r:id="rId1022"/>
    <hyperlink xmlns:r="http://schemas.openxmlformats.org/officeDocument/2006/relationships" ref="E1024" display="AU2065646519525" r:id="rId1023"/>
    <hyperlink xmlns:r="http://schemas.openxmlformats.org/officeDocument/2006/relationships" ref="E1025" display="AU2065646519525" r:id="rId1024"/>
    <hyperlink xmlns:r="http://schemas.openxmlformats.org/officeDocument/2006/relationships" ref="E1026" display="AU2065646519525" r:id="rId1025"/>
    <hyperlink xmlns:r="http://schemas.openxmlformats.org/officeDocument/2006/relationships" ref="E1027" display="AU2065646519525" r:id="rId1026"/>
    <hyperlink xmlns:r="http://schemas.openxmlformats.org/officeDocument/2006/relationships" ref="E1028" display="AU2065646519525" r:id="rId1027"/>
    <hyperlink xmlns:r="http://schemas.openxmlformats.org/officeDocument/2006/relationships" ref="E1029" display="AU2065646519525" r:id="rId1028"/>
    <hyperlink xmlns:r="http://schemas.openxmlformats.org/officeDocument/2006/relationships" ref="E1030" display="AU2065646519525" r:id="rId1029"/>
    <hyperlink xmlns:r="http://schemas.openxmlformats.org/officeDocument/2006/relationships" ref="E1031" display="AU2065646519525" r:id="rId1030"/>
    <hyperlink xmlns:r="http://schemas.openxmlformats.org/officeDocument/2006/relationships" ref="E1032" display="AU2065646519525" r:id="rId1031"/>
    <hyperlink xmlns:r="http://schemas.openxmlformats.org/officeDocument/2006/relationships" ref="E1033" display="AU2065646519525" r:id="rId1032"/>
    <hyperlink xmlns:r="http://schemas.openxmlformats.org/officeDocument/2006/relationships" ref="E1034" display="AU2065646519525" r:id="rId1033"/>
    <hyperlink xmlns:r="http://schemas.openxmlformats.org/officeDocument/2006/relationships" ref="E1035" display="AU2065646519525" r:id="rId1034"/>
    <hyperlink xmlns:r="http://schemas.openxmlformats.org/officeDocument/2006/relationships" ref="E1036" display="AU2065646519525" r:id="rId1035"/>
    <hyperlink xmlns:r="http://schemas.openxmlformats.org/officeDocument/2006/relationships" ref="E1037" display="AU2065646519525" r:id="rId1036"/>
    <hyperlink xmlns:r="http://schemas.openxmlformats.org/officeDocument/2006/relationships" ref="E1038" display="AU2065646519525" r:id="rId1037"/>
    <hyperlink xmlns:r="http://schemas.openxmlformats.org/officeDocument/2006/relationships" ref="E1039" display="AU2065646519525" r:id="rId1038"/>
    <hyperlink xmlns:r="http://schemas.openxmlformats.org/officeDocument/2006/relationships" ref="E1040" display="AU2065646519525" r:id="rId1039"/>
    <hyperlink xmlns:r="http://schemas.openxmlformats.org/officeDocument/2006/relationships" ref="E1041" display="AU2065646519525" r:id="rId1040"/>
    <hyperlink xmlns:r="http://schemas.openxmlformats.org/officeDocument/2006/relationships" ref="E1042" display="AU2065646519525" r:id="rId1041"/>
    <hyperlink xmlns:r="http://schemas.openxmlformats.org/officeDocument/2006/relationships" ref="E1043" display="AU2065646519525" r:id="rId1042"/>
    <hyperlink xmlns:r="http://schemas.openxmlformats.org/officeDocument/2006/relationships" ref="E1044" display="AU2065646519525" r:id="rId1043"/>
    <hyperlink xmlns:r="http://schemas.openxmlformats.org/officeDocument/2006/relationships" ref="E1045" display="AU2065646519525" r:id="rId1044"/>
    <hyperlink xmlns:r="http://schemas.openxmlformats.org/officeDocument/2006/relationships" ref="E1046" display="AU2065646519525" r:id="rId1045"/>
    <hyperlink xmlns:r="http://schemas.openxmlformats.org/officeDocument/2006/relationships" ref="E1047" display="AU2065646519525" r:id="rId1046"/>
    <hyperlink xmlns:r="http://schemas.openxmlformats.org/officeDocument/2006/relationships" ref="E1048" display="AU2065646519525" r:id="rId1047"/>
    <hyperlink xmlns:r="http://schemas.openxmlformats.org/officeDocument/2006/relationships" ref="E1049" display="AU2065646519525" r:id="rId1048"/>
    <hyperlink xmlns:r="http://schemas.openxmlformats.org/officeDocument/2006/relationships" ref="E1050" display="AU2065646519525" r:id="rId1049"/>
    <hyperlink xmlns:r="http://schemas.openxmlformats.org/officeDocument/2006/relationships" ref="E1051" display="AU2065646519525" r:id="rId1050"/>
    <hyperlink xmlns:r="http://schemas.openxmlformats.org/officeDocument/2006/relationships" ref="E1052" display="AU2065646519525" r:id="rId1051"/>
    <hyperlink xmlns:r="http://schemas.openxmlformats.org/officeDocument/2006/relationships" ref="E1053" display="AU2065646519525" r:id="rId1052"/>
    <hyperlink xmlns:r="http://schemas.openxmlformats.org/officeDocument/2006/relationships" ref="E1054" display="AU2065646519525" r:id="rId1053"/>
    <hyperlink xmlns:r="http://schemas.openxmlformats.org/officeDocument/2006/relationships" ref="E1055" display="AU2065646519525" r:id="rId1054"/>
    <hyperlink xmlns:r="http://schemas.openxmlformats.org/officeDocument/2006/relationships" ref="E1056" display="AU2065646519525" r:id="rId1055"/>
    <hyperlink xmlns:r="http://schemas.openxmlformats.org/officeDocument/2006/relationships" ref="E1057" display="AU2065646519525" r:id="rId1056"/>
    <hyperlink xmlns:r="http://schemas.openxmlformats.org/officeDocument/2006/relationships" ref="E1058" display="AU2065646519525" r:id="rId1057"/>
    <hyperlink xmlns:r="http://schemas.openxmlformats.org/officeDocument/2006/relationships" ref="E1059" display="AU2065646519525" r:id="rId1058"/>
    <hyperlink xmlns:r="http://schemas.openxmlformats.org/officeDocument/2006/relationships" ref="E1060" display="AU2065646519525" r:id="rId1059"/>
    <hyperlink xmlns:r="http://schemas.openxmlformats.org/officeDocument/2006/relationships" ref="E1061" display="AU2065646519525" r:id="rId1060"/>
    <hyperlink xmlns:r="http://schemas.openxmlformats.org/officeDocument/2006/relationships" ref="E1062" display="AU2065646519525" r:id="rId1061"/>
    <hyperlink xmlns:r="http://schemas.openxmlformats.org/officeDocument/2006/relationships" ref="E1063" display="AU2065646519525" r:id="rId1062"/>
    <hyperlink xmlns:r="http://schemas.openxmlformats.org/officeDocument/2006/relationships" ref="E1064" display="AU2065646519525" r:id="rId1063"/>
    <hyperlink xmlns:r="http://schemas.openxmlformats.org/officeDocument/2006/relationships" ref="E1065" display="AU2065646519525" r:id="rId1064"/>
    <hyperlink xmlns:r="http://schemas.openxmlformats.org/officeDocument/2006/relationships" ref="E1066" display="AU2065646519525" r:id="rId1065"/>
    <hyperlink xmlns:r="http://schemas.openxmlformats.org/officeDocument/2006/relationships" ref="E1067" display="AU2065646519525" r:id="rId1066"/>
    <hyperlink xmlns:r="http://schemas.openxmlformats.org/officeDocument/2006/relationships" ref="E1068" display="AU2065646519525" r:id="rId1067"/>
    <hyperlink xmlns:r="http://schemas.openxmlformats.org/officeDocument/2006/relationships" ref="E1069" display="AU2065646519525" r:id="rId1068"/>
    <hyperlink xmlns:r="http://schemas.openxmlformats.org/officeDocument/2006/relationships" ref="E1070" display="AU2065646519525" r:id="rId1069"/>
    <hyperlink xmlns:r="http://schemas.openxmlformats.org/officeDocument/2006/relationships" ref="E1071" display="AU2065646519525" r:id="rId1070"/>
    <hyperlink xmlns:r="http://schemas.openxmlformats.org/officeDocument/2006/relationships" ref="E1072" display="AU2065646519525" r:id="rId1071"/>
    <hyperlink xmlns:r="http://schemas.openxmlformats.org/officeDocument/2006/relationships" ref="E1073" display="AU2065646519525" r:id="rId1072"/>
    <hyperlink xmlns:r="http://schemas.openxmlformats.org/officeDocument/2006/relationships" ref="E1074" display="AU2065646519525" r:id="rId1073"/>
    <hyperlink xmlns:r="http://schemas.openxmlformats.org/officeDocument/2006/relationships" ref="E1075" display="AU2065646519525" r:id="rId1074"/>
    <hyperlink xmlns:r="http://schemas.openxmlformats.org/officeDocument/2006/relationships" ref="E1076" display="AU2065646519525" r:id="rId1075"/>
    <hyperlink xmlns:r="http://schemas.openxmlformats.org/officeDocument/2006/relationships" ref="E1077" display="AU2065646519525" r:id="rId1076"/>
    <hyperlink xmlns:r="http://schemas.openxmlformats.org/officeDocument/2006/relationships" ref="E1078" display="AU2065646519525" r:id="rId1077"/>
    <hyperlink xmlns:r="http://schemas.openxmlformats.org/officeDocument/2006/relationships" ref="E1079" display="AU2065646519525" r:id="rId1078"/>
    <hyperlink xmlns:r="http://schemas.openxmlformats.org/officeDocument/2006/relationships" ref="E1080" display="AU2065646519525" r:id="rId1079"/>
    <hyperlink xmlns:r="http://schemas.openxmlformats.org/officeDocument/2006/relationships" ref="E1081" display="AU2065646519525" r:id="rId1080"/>
    <hyperlink xmlns:r="http://schemas.openxmlformats.org/officeDocument/2006/relationships" ref="E1082" display="AU2065646519525" r:id="rId1081"/>
    <hyperlink xmlns:r="http://schemas.openxmlformats.org/officeDocument/2006/relationships" ref="E1083" display="AU2065646519525" r:id="rId1082"/>
    <hyperlink xmlns:r="http://schemas.openxmlformats.org/officeDocument/2006/relationships" ref="E1084" display="AU2065646519525" r:id="rId1083"/>
    <hyperlink xmlns:r="http://schemas.openxmlformats.org/officeDocument/2006/relationships" ref="E1085" display="AU2065646519525" r:id="rId1084"/>
    <hyperlink xmlns:r="http://schemas.openxmlformats.org/officeDocument/2006/relationships" ref="E1086" display="AU2065646519525" r:id="rId1085"/>
    <hyperlink xmlns:r="http://schemas.openxmlformats.org/officeDocument/2006/relationships" ref="E1087" display="AU2065646519525" r:id="rId1086"/>
    <hyperlink xmlns:r="http://schemas.openxmlformats.org/officeDocument/2006/relationships" ref="E1088" display="AU2065646519525" r:id="rId1087"/>
    <hyperlink xmlns:r="http://schemas.openxmlformats.org/officeDocument/2006/relationships" ref="E1089" display="AU2065646519525" r:id="rId1088"/>
    <hyperlink xmlns:r="http://schemas.openxmlformats.org/officeDocument/2006/relationships" ref="E1090" display="AU2065646519525" r:id="rId1089"/>
    <hyperlink xmlns:r="http://schemas.openxmlformats.org/officeDocument/2006/relationships" ref="E1091" display="AU2065646519525" r:id="rId1090"/>
    <hyperlink xmlns:r="http://schemas.openxmlformats.org/officeDocument/2006/relationships" ref="E1092" display="AU2065646519525" r:id="rId1091"/>
    <hyperlink xmlns:r="http://schemas.openxmlformats.org/officeDocument/2006/relationships" ref="E1093" display="AU2065646519525" r:id="rId1092"/>
    <hyperlink xmlns:r="http://schemas.openxmlformats.org/officeDocument/2006/relationships" ref="E1094" display="AU2065646519525" r:id="rId1093"/>
    <hyperlink xmlns:r="http://schemas.openxmlformats.org/officeDocument/2006/relationships" ref="E1095" display="AU2065646519525" r:id="rId1094"/>
    <hyperlink xmlns:r="http://schemas.openxmlformats.org/officeDocument/2006/relationships" ref="E1096" display="AU2065646519525" r:id="rId1095"/>
    <hyperlink xmlns:r="http://schemas.openxmlformats.org/officeDocument/2006/relationships" ref="E1097" display="AU2065646519525" r:id="rId1096"/>
    <hyperlink xmlns:r="http://schemas.openxmlformats.org/officeDocument/2006/relationships" ref="E1098" display="AU2065646519525" r:id="rId1097"/>
    <hyperlink xmlns:r="http://schemas.openxmlformats.org/officeDocument/2006/relationships" ref="E1099" display="AU2065646519525" r:id="rId1098"/>
    <hyperlink xmlns:r="http://schemas.openxmlformats.org/officeDocument/2006/relationships" ref="E1100" display="AU2065646519525" r:id="rId1099"/>
    <hyperlink xmlns:r="http://schemas.openxmlformats.org/officeDocument/2006/relationships" ref="E1101" display="AU2065646519525" r:id="rId1100"/>
    <hyperlink xmlns:r="http://schemas.openxmlformats.org/officeDocument/2006/relationships" ref="E1102" display="AU2065646519525" r:id="rId1101"/>
    <hyperlink xmlns:r="http://schemas.openxmlformats.org/officeDocument/2006/relationships" ref="E1103" display="AU2065646519525" r:id="rId1102"/>
    <hyperlink xmlns:r="http://schemas.openxmlformats.org/officeDocument/2006/relationships" ref="E1104" display="AU2065646519525" r:id="rId1103"/>
    <hyperlink xmlns:r="http://schemas.openxmlformats.org/officeDocument/2006/relationships" ref="E1105" display="AU2065646519525" r:id="rId1104"/>
    <hyperlink xmlns:r="http://schemas.openxmlformats.org/officeDocument/2006/relationships" ref="E1106" display="AU2065646519525" r:id="rId1105"/>
    <hyperlink xmlns:r="http://schemas.openxmlformats.org/officeDocument/2006/relationships" ref="E1107" display="AU2065646519525" r:id="rId1106"/>
    <hyperlink xmlns:r="http://schemas.openxmlformats.org/officeDocument/2006/relationships" ref="E1108" display="AU2065646519525" r:id="rId1107"/>
    <hyperlink xmlns:r="http://schemas.openxmlformats.org/officeDocument/2006/relationships" ref="E1109" display="AU2065646519525" r:id="rId1108"/>
    <hyperlink xmlns:r="http://schemas.openxmlformats.org/officeDocument/2006/relationships" ref="E1110" display="AU2065646519525" r:id="rId1109"/>
    <hyperlink xmlns:r="http://schemas.openxmlformats.org/officeDocument/2006/relationships" ref="E1111" display="AU2065646519525" r:id="rId1110"/>
    <hyperlink xmlns:r="http://schemas.openxmlformats.org/officeDocument/2006/relationships" ref="E1112" display="AU2065646519525" r:id="rId1111"/>
    <hyperlink xmlns:r="http://schemas.openxmlformats.org/officeDocument/2006/relationships" ref="E1113" display="AU2065646519525" r:id="rId1112"/>
    <hyperlink xmlns:r="http://schemas.openxmlformats.org/officeDocument/2006/relationships" ref="E1114" display="AU2065646519525" r:id="rId1113"/>
    <hyperlink xmlns:r="http://schemas.openxmlformats.org/officeDocument/2006/relationships" ref="E1115" display="AU2065646519525" r:id="rId1114"/>
    <hyperlink xmlns:r="http://schemas.openxmlformats.org/officeDocument/2006/relationships" ref="E1116" display="AU2065646519525" r:id="rId1115"/>
    <hyperlink xmlns:r="http://schemas.openxmlformats.org/officeDocument/2006/relationships" ref="E1117" display="AU2065646519525" r:id="rId1116"/>
    <hyperlink xmlns:r="http://schemas.openxmlformats.org/officeDocument/2006/relationships" ref="E1118" display="AU2065646519525" r:id="rId1117"/>
    <hyperlink xmlns:r="http://schemas.openxmlformats.org/officeDocument/2006/relationships" ref="E1119" display="AU2065646519525" r:id="rId1118"/>
    <hyperlink xmlns:r="http://schemas.openxmlformats.org/officeDocument/2006/relationships" ref="E1120" display="AU2065646519525" r:id="rId1119"/>
    <hyperlink xmlns:r="http://schemas.openxmlformats.org/officeDocument/2006/relationships" ref="E1121" display="AU2065646519525" r:id="rId1120"/>
    <hyperlink xmlns:r="http://schemas.openxmlformats.org/officeDocument/2006/relationships" ref="E1122" display="AU2065646519525" r:id="rId1121"/>
    <hyperlink xmlns:r="http://schemas.openxmlformats.org/officeDocument/2006/relationships" ref="E1123" display="AU2065646519525" r:id="rId1122"/>
    <hyperlink xmlns:r="http://schemas.openxmlformats.org/officeDocument/2006/relationships" ref="E1124" display="AU2065646519525" r:id="rId1123"/>
    <hyperlink xmlns:r="http://schemas.openxmlformats.org/officeDocument/2006/relationships" ref="E1125" display="AU2065646519525" r:id="rId1124"/>
    <hyperlink xmlns:r="http://schemas.openxmlformats.org/officeDocument/2006/relationships" ref="E1126" display="AU2065646519525" r:id="rId1125"/>
    <hyperlink xmlns:r="http://schemas.openxmlformats.org/officeDocument/2006/relationships" ref="E1127" display="AU2065646519525" r:id="rId1126"/>
    <hyperlink xmlns:r="http://schemas.openxmlformats.org/officeDocument/2006/relationships" ref="E1128" display="AU2065646519525" r:id="rId1127"/>
    <hyperlink xmlns:r="http://schemas.openxmlformats.org/officeDocument/2006/relationships" ref="E1129" display="AU2065646519525" r:id="rId1128"/>
    <hyperlink xmlns:r="http://schemas.openxmlformats.org/officeDocument/2006/relationships" ref="E1130" display="AU2065646519525" r:id="rId1129"/>
    <hyperlink xmlns:r="http://schemas.openxmlformats.org/officeDocument/2006/relationships" ref="E1131" display="AU2065646519525" r:id="rId1130"/>
    <hyperlink xmlns:r="http://schemas.openxmlformats.org/officeDocument/2006/relationships" ref="E1132" display="AU2065646519525" r:id="rId1131"/>
    <hyperlink xmlns:r="http://schemas.openxmlformats.org/officeDocument/2006/relationships" ref="E1133" display="AU2065646519525" r:id="rId1132"/>
    <hyperlink xmlns:r="http://schemas.openxmlformats.org/officeDocument/2006/relationships" ref="E1134" display="AU2065646519525" r:id="rId1133"/>
    <hyperlink xmlns:r="http://schemas.openxmlformats.org/officeDocument/2006/relationships" ref="E1135" display="AU2065646519525" r:id="rId1134"/>
    <hyperlink xmlns:r="http://schemas.openxmlformats.org/officeDocument/2006/relationships" ref="E1136" display="AU2065646519525" r:id="rId1135"/>
    <hyperlink xmlns:r="http://schemas.openxmlformats.org/officeDocument/2006/relationships" ref="E1137" display="AU2065646519525" r:id="rId1136"/>
    <hyperlink xmlns:r="http://schemas.openxmlformats.org/officeDocument/2006/relationships" ref="E1138" display="AU2065646519525" r:id="rId1137"/>
    <hyperlink xmlns:r="http://schemas.openxmlformats.org/officeDocument/2006/relationships" ref="E1139" display="AU2065646519525" r:id="rId1138"/>
    <hyperlink xmlns:r="http://schemas.openxmlformats.org/officeDocument/2006/relationships" ref="E1140" display="AU2065646519525" r:id="rId1139"/>
    <hyperlink xmlns:r="http://schemas.openxmlformats.org/officeDocument/2006/relationships" ref="E1141" display="AU2065646519525" r:id="rId1140"/>
    <hyperlink xmlns:r="http://schemas.openxmlformats.org/officeDocument/2006/relationships" ref="E1142" display="AU2065646519525" r:id="rId1141"/>
    <hyperlink xmlns:r="http://schemas.openxmlformats.org/officeDocument/2006/relationships" ref="E1143" display="AU2065646519525" r:id="rId1142"/>
    <hyperlink xmlns:r="http://schemas.openxmlformats.org/officeDocument/2006/relationships" ref="E1144" display="AU2065646519525" r:id="rId1143"/>
    <hyperlink xmlns:r="http://schemas.openxmlformats.org/officeDocument/2006/relationships" ref="E1145" display="AU2065646519525" r:id="rId1144"/>
    <hyperlink xmlns:r="http://schemas.openxmlformats.org/officeDocument/2006/relationships" ref="E1146" display="AU2065646519525" r:id="rId1145"/>
    <hyperlink xmlns:r="http://schemas.openxmlformats.org/officeDocument/2006/relationships" ref="E1147" display="AU2065646519525" r:id="rId1146"/>
    <hyperlink xmlns:r="http://schemas.openxmlformats.org/officeDocument/2006/relationships" ref="E1148" display="AU2065646519525" r:id="rId1147"/>
    <hyperlink xmlns:r="http://schemas.openxmlformats.org/officeDocument/2006/relationships" ref="E1149" display="AU2065646519525" r:id="rId1148"/>
    <hyperlink xmlns:r="http://schemas.openxmlformats.org/officeDocument/2006/relationships" ref="E1150" display="AU2065646519525" r:id="rId1149"/>
    <hyperlink xmlns:r="http://schemas.openxmlformats.org/officeDocument/2006/relationships" ref="E1151" display="AU2065646519525" r:id="rId1150"/>
    <hyperlink xmlns:r="http://schemas.openxmlformats.org/officeDocument/2006/relationships" ref="E1152" display="AU2065646519525" r:id="rId1151"/>
    <hyperlink xmlns:r="http://schemas.openxmlformats.org/officeDocument/2006/relationships" ref="E1153" display="AU2065646519525" r:id="rId1152"/>
    <hyperlink xmlns:r="http://schemas.openxmlformats.org/officeDocument/2006/relationships" ref="E1154" display="AU2065646519525" r:id="rId1153"/>
    <hyperlink xmlns:r="http://schemas.openxmlformats.org/officeDocument/2006/relationships" ref="E1155" display="AU2065646519525" r:id="rId1154"/>
    <hyperlink xmlns:r="http://schemas.openxmlformats.org/officeDocument/2006/relationships" ref="E1156" display="AU2065646519525" r:id="rId1155"/>
    <hyperlink xmlns:r="http://schemas.openxmlformats.org/officeDocument/2006/relationships" ref="E1157" display="AU2065646519525" r:id="rId1156"/>
    <hyperlink xmlns:r="http://schemas.openxmlformats.org/officeDocument/2006/relationships" ref="E1158" display="AU2065646519525" r:id="rId1157"/>
    <hyperlink xmlns:r="http://schemas.openxmlformats.org/officeDocument/2006/relationships" ref="E1159" display="AU2065646519525" r:id="rId1158"/>
    <hyperlink xmlns:r="http://schemas.openxmlformats.org/officeDocument/2006/relationships" ref="E1160" display="AU2065646519525" r:id="rId1159"/>
    <hyperlink xmlns:r="http://schemas.openxmlformats.org/officeDocument/2006/relationships" ref="E1161" display="AU2065646519525" r:id="rId1160"/>
    <hyperlink xmlns:r="http://schemas.openxmlformats.org/officeDocument/2006/relationships" ref="E1162" display="AU2065646519525" r:id="rId1161"/>
    <hyperlink xmlns:r="http://schemas.openxmlformats.org/officeDocument/2006/relationships" ref="E1163" display="AU2065646519525" r:id="rId1162"/>
    <hyperlink xmlns:r="http://schemas.openxmlformats.org/officeDocument/2006/relationships" ref="E1164" display="AU2065646519525" r:id="rId1163"/>
    <hyperlink xmlns:r="http://schemas.openxmlformats.org/officeDocument/2006/relationships" ref="E1165" display="AU2065646519525" r:id="rId1164"/>
    <hyperlink xmlns:r="http://schemas.openxmlformats.org/officeDocument/2006/relationships" ref="E1166" display="AU2065646519525" r:id="rId1165"/>
    <hyperlink xmlns:r="http://schemas.openxmlformats.org/officeDocument/2006/relationships" ref="E1167" display="AU2065646519525" r:id="rId1166"/>
    <hyperlink xmlns:r="http://schemas.openxmlformats.org/officeDocument/2006/relationships" ref="E1168" display="AU2065646519525" r:id="rId1167"/>
    <hyperlink xmlns:r="http://schemas.openxmlformats.org/officeDocument/2006/relationships" ref="E1169" display="AU2065646519525" r:id="rId1168"/>
    <hyperlink xmlns:r="http://schemas.openxmlformats.org/officeDocument/2006/relationships" ref="E1170" display="AU2065646519525" r:id="rId1169"/>
    <hyperlink xmlns:r="http://schemas.openxmlformats.org/officeDocument/2006/relationships" ref="E1171" display="AU2065646519525" r:id="rId1170"/>
    <hyperlink xmlns:r="http://schemas.openxmlformats.org/officeDocument/2006/relationships" ref="E1172" display="AU2065646519525" r:id="rId1171"/>
    <hyperlink xmlns:r="http://schemas.openxmlformats.org/officeDocument/2006/relationships" ref="E1173" display="AU2065646519525" r:id="rId1172"/>
    <hyperlink xmlns:r="http://schemas.openxmlformats.org/officeDocument/2006/relationships" ref="E1174" display="AU2065646519525" r:id="rId1173"/>
    <hyperlink xmlns:r="http://schemas.openxmlformats.org/officeDocument/2006/relationships" ref="E1175" display="AU2065646519525" r:id="rId1174"/>
    <hyperlink xmlns:r="http://schemas.openxmlformats.org/officeDocument/2006/relationships" ref="E1176" display="AU2065646519525" r:id="rId1175"/>
    <hyperlink xmlns:r="http://schemas.openxmlformats.org/officeDocument/2006/relationships" ref="E1177" display="AU2065646519525" r:id="rId1176"/>
    <hyperlink xmlns:r="http://schemas.openxmlformats.org/officeDocument/2006/relationships" ref="E1178" display="AU2065646519525" r:id="rId1177"/>
    <hyperlink xmlns:r="http://schemas.openxmlformats.org/officeDocument/2006/relationships" ref="E1179" display="AU2065646519525" r:id="rId1178"/>
    <hyperlink xmlns:r="http://schemas.openxmlformats.org/officeDocument/2006/relationships" ref="E1180" display="AU2065646519525" r:id="rId1179"/>
    <hyperlink xmlns:r="http://schemas.openxmlformats.org/officeDocument/2006/relationships" ref="E1181" display="AU2065646519525" r:id="rId1180"/>
    <hyperlink xmlns:r="http://schemas.openxmlformats.org/officeDocument/2006/relationships" ref="E1182" display="AU2065646519525" r:id="rId1181"/>
    <hyperlink xmlns:r="http://schemas.openxmlformats.org/officeDocument/2006/relationships" ref="E1183" display="AU2065646519525" r:id="rId1182"/>
    <hyperlink xmlns:r="http://schemas.openxmlformats.org/officeDocument/2006/relationships" ref="E1184" display="AU2065646519525" r:id="rId1183"/>
    <hyperlink xmlns:r="http://schemas.openxmlformats.org/officeDocument/2006/relationships" ref="E1185" display="AU2065646519525" r:id="rId1184"/>
    <hyperlink xmlns:r="http://schemas.openxmlformats.org/officeDocument/2006/relationships" ref="E1186" display="AU2065646519525" r:id="rId1185"/>
    <hyperlink xmlns:r="http://schemas.openxmlformats.org/officeDocument/2006/relationships" ref="E1187" display="AU2065646519525" r:id="rId1186"/>
    <hyperlink xmlns:r="http://schemas.openxmlformats.org/officeDocument/2006/relationships" ref="E1188" display="AU2065646519525" r:id="rId1187"/>
    <hyperlink xmlns:r="http://schemas.openxmlformats.org/officeDocument/2006/relationships" ref="E1189" display="AU2065646519525" r:id="rId1188"/>
    <hyperlink xmlns:r="http://schemas.openxmlformats.org/officeDocument/2006/relationships" ref="E1190" display="AU2065646519525" r:id="rId1189"/>
    <hyperlink xmlns:r="http://schemas.openxmlformats.org/officeDocument/2006/relationships" ref="E1191" display="AU2065646519525" r:id="rId1190"/>
    <hyperlink xmlns:r="http://schemas.openxmlformats.org/officeDocument/2006/relationships" ref="E1192" display="AU2065646519525" r:id="rId1191"/>
    <hyperlink xmlns:r="http://schemas.openxmlformats.org/officeDocument/2006/relationships" ref="E1193" display="AU2065646519525" r:id="rId1192"/>
    <hyperlink xmlns:r="http://schemas.openxmlformats.org/officeDocument/2006/relationships" ref="E1194" display="AU2065646519525" r:id="rId1193"/>
    <hyperlink xmlns:r="http://schemas.openxmlformats.org/officeDocument/2006/relationships" ref="E1195" display="AU2065646519525" r:id="rId1194"/>
    <hyperlink xmlns:r="http://schemas.openxmlformats.org/officeDocument/2006/relationships" ref="E1196" display="AU2065646519525" r:id="rId1195"/>
    <hyperlink xmlns:r="http://schemas.openxmlformats.org/officeDocument/2006/relationships" ref="E1197" display="AU2065646519525" r:id="rId1196"/>
    <hyperlink xmlns:r="http://schemas.openxmlformats.org/officeDocument/2006/relationships" ref="E1198" display="AU2065646519525" r:id="rId1197"/>
    <hyperlink xmlns:r="http://schemas.openxmlformats.org/officeDocument/2006/relationships" ref="E1199" display="AU2065646519525" r:id="rId1198"/>
    <hyperlink xmlns:r="http://schemas.openxmlformats.org/officeDocument/2006/relationships" ref="E1200" display="AU2065646519525" r:id="rId1199"/>
    <hyperlink xmlns:r="http://schemas.openxmlformats.org/officeDocument/2006/relationships" ref="E1201" display="AU2065646519525" r:id="rId1200"/>
    <hyperlink xmlns:r="http://schemas.openxmlformats.org/officeDocument/2006/relationships" ref="E1202" display="AU2065646519525" r:id="rId1201"/>
    <hyperlink xmlns:r="http://schemas.openxmlformats.org/officeDocument/2006/relationships" ref="E1203" display="AU2065646519525" r:id="rId1202"/>
    <hyperlink xmlns:r="http://schemas.openxmlformats.org/officeDocument/2006/relationships" ref="E1204" display="AU2065646519525" r:id="rId1203"/>
    <hyperlink xmlns:r="http://schemas.openxmlformats.org/officeDocument/2006/relationships" ref="E1205" display="AU2065646519525" r:id="rId1204"/>
    <hyperlink xmlns:r="http://schemas.openxmlformats.org/officeDocument/2006/relationships" ref="E1206" display="AU2065646519525" r:id="rId1205"/>
    <hyperlink xmlns:r="http://schemas.openxmlformats.org/officeDocument/2006/relationships" ref="E1207" display="AU2065646519525" r:id="rId1206"/>
    <hyperlink xmlns:r="http://schemas.openxmlformats.org/officeDocument/2006/relationships" ref="E1208" display="AU2065646519525" r:id="rId1207"/>
    <hyperlink xmlns:r="http://schemas.openxmlformats.org/officeDocument/2006/relationships" ref="E1209" display="AU2065646519525" r:id="rId1208"/>
    <hyperlink xmlns:r="http://schemas.openxmlformats.org/officeDocument/2006/relationships" ref="E1210" display="AU2065646519525" r:id="rId1209"/>
    <hyperlink xmlns:r="http://schemas.openxmlformats.org/officeDocument/2006/relationships" ref="E1211" display="AU2065646519525" r:id="rId1210"/>
    <hyperlink xmlns:r="http://schemas.openxmlformats.org/officeDocument/2006/relationships" ref="E1212" display="AU2065646519525" r:id="rId1211"/>
    <hyperlink xmlns:r="http://schemas.openxmlformats.org/officeDocument/2006/relationships" ref="E1213" display="AU2065646519525" r:id="rId1212"/>
    <hyperlink xmlns:r="http://schemas.openxmlformats.org/officeDocument/2006/relationships" ref="E1214" display="AU2065646519525" r:id="rId1213"/>
    <hyperlink xmlns:r="http://schemas.openxmlformats.org/officeDocument/2006/relationships" ref="E1215" display="AU2065646519525" r:id="rId1214"/>
    <hyperlink xmlns:r="http://schemas.openxmlformats.org/officeDocument/2006/relationships" ref="E1216" display="AU2065646519525" r:id="rId1215"/>
    <hyperlink xmlns:r="http://schemas.openxmlformats.org/officeDocument/2006/relationships" ref="E1217" display="AU2065646519525" r:id="rId1216"/>
    <hyperlink xmlns:r="http://schemas.openxmlformats.org/officeDocument/2006/relationships" ref="E1218" display="AU2065646519525" r:id="rId1217"/>
    <hyperlink xmlns:r="http://schemas.openxmlformats.org/officeDocument/2006/relationships" ref="E1219" display="AU2065646519525" r:id="rId1218"/>
    <hyperlink xmlns:r="http://schemas.openxmlformats.org/officeDocument/2006/relationships" ref="E1220" display="AU2065646519525" r:id="rId1219"/>
    <hyperlink xmlns:r="http://schemas.openxmlformats.org/officeDocument/2006/relationships" ref="E1221" display="AU2065646519525" r:id="rId1220"/>
    <hyperlink xmlns:r="http://schemas.openxmlformats.org/officeDocument/2006/relationships" ref="E1222" display="AU2065646519525" r:id="rId1221"/>
    <hyperlink xmlns:r="http://schemas.openxmlformats.org/officeDocument/2006/relationships" ref="E1223" display="AU2065646519525" r:id="rId1222"/>
    <hyperlink xmlns:r="http://schemas.openxmlformats.org/officeDocument/2006/relationships" ref="E1224" display="AU2065646519525" r:id="rId1223"/>
    <hyperlink xmlns:r="http://schemas.openxmlformats.org/officeDocument/2006/relationships" ref="E1225" display="AU2065646519525" r:id="rId1224"/>
    <hyperlink xmlns:r="http://schemas.openxmlformats.org/officeDocument/2006/relationships" ref="E1226" display="AU2065646519525" r:id="rId1225"/>
    <hyperlink xmlns:r="http://schemas.openxmlformats.org/officeDocument/2006/relationships" ref="E1227" display="AU2065646519525" r:id="rId1226"/>
    <hyperlink xmlns:r="http://schemas.openxmlformats.org/officeDocument/2006/relationships" ref="E1228" display="AU2065646519525" r:id="rId1227"/>
    <hyperlink xmlns:r="http://schemas.openxmlformats.org/officeDocument/2006/relationships" ref="E1229" display="AU2065646519525" r:id="rId1228"/>
    <hyperlink xmlns:r="http://schemas.openxmlformats.org/officeDocument/2006/relationships" ref="E1230" display="AU2065646519525" r:id="rId1229"/>
    <hyperlink xmlns:r="http://schemas.openxmlformats.org/officeDocument/2006/relationships" ref="E1231" display="AU2065646519525" r:id="rId1230"/>
    <hyperlink xmlns:r="http://schemas.openxmlformats.org/officeDocument/2006/relationships" ref="E1232" display="AU2065646519525" r:id="rId1231"/>
    <hyperlink xmlns:r="http://schemas.openxmlformats.org/officeDocument/2006/relationships" ref="E1233" display="AU2065646519525" r:id="rId1232"/>
    <hyperlink xmlns:r="http://schemas.openxmlformats.org/officeDocument/2006/relationships" ref="E1234" display="AU2065646519525" r:id="rId1233"/>
    <hyperlink xmlns:r="http://schemas.openxmlformats.org/officeDocument/2006/relationships" ref="E1235" display="AU2065646519525" r:id="rId1234"/>
    <hyperlink xmlns:r="http://schemas.openxmlformats.org/officeDocument/2006/relationships" ref="E1236" display="AU2065646519525" r:id="rId1235"/>
    <hyperlink xmlns:r="http://schemas.openxmlformats.org/officeDocument/2006/relationships" ref="E1237" display="AU2065646519525" r:id="rId1236"/>
    <hyperlink xmlns:r="http://schemas.openxmlformats.org/officeDocument/2006/relationships" ref="E1238" display="AU2065646519525" r:id="rId1237"/>
    <hyperlink xmlns:r="http://schemas.openxmlformats.org/officeDocument/2006/relationships" ref="E1239" display="AU2065646519525" r:id="rId1238"/>
    <hyperlink xmlns:r="http://schemas.openxmlformats.org/officeDocument/2006/relationships" ref="E1240" display="AU2065646519525" r:id="rId1239"/>
    <hyperlink xmlns:r="http://schemas.openxmlformats.org/officeDocument/2006/relationships" ref="E1241" display="AU2065646519525" r:id="rId1240"/>
    <hyperlink xmlns:r="http://schemas.openxmlformats.org/officeDocument/2006/relationships" ref="E1242" display="AU2065646519525" r:id="rId1241"/>
    <hyperlink xmlns:r="http://schemas.openxmlformats.org/officeDocument/2006/relationships" ref="E1243" display="AU2065646519525" r:id="rId1242"/>
    <hyperlink xmlns:r="http://schemas.openxmlformats.org/officeDocument/2006/relationships" ref="E1244" display="AU2065646519525" r:id="rId1243"/>
    <hyperlink xmlns:r="http://schemas.openxmlformats.org/officeDocument/2006/relationships" ref="E1245" display="AU2065646519525" r:id="rId1244"/>
    <hyperlink xmlns:r="http://schemas.openxmlformats.org/officeDocument/2006/relationships" ref="E1246" display="AU2065646519525" r:id="rId1245"/>
    <hyperlink xmlns:r="http://schemas.openxmlformats.org/officeDocument/2006/relationships" ref="E1247" display="AU2065646519525" r:id="rId1246"/>
    <hyperlink xmlns:r="http://schemas.openxmlformats.org/officeDocument/2006/relationships" ref="E1248" display="AU2065646519525" r:id="rId1247"/>
    <hyperlink xmlns:r="http://schemas.openxmlformats.org/officeDocument/2006/relationships" ref="E1249" display="AU2065646519525" r:id="rId1248"/>
    <hyperlink xmlns:r="http://schemas.openxmlformats.org/officeDocument/2006/relationships" ref="E1250" display="AU2065646519525" r:id="rId1249"/>
    <hyperlink xmlns:r="http://schemas.openxmlformats.org/officeDocument/2006/relationships" ref="E1251" display="AU2065646519525" r:id="rId1250"/>
    <hyperlink xmlns:r="http://schemas.openxmlformats.org/officeDocument/2006/relationships" ref="E1252" display="AU2065646519525" r:id="rId1251"/>
    <hyperlink xmlns:r="http://schemas.openxmlformats.org/officeDocument/2006/relationships" ref="E1253" display="AU2065646519525" r:id="rId1252"/>
    <hyperlink xmlns:r="http://schemas.openxmlformats.org/officeDocument/2006/relationships" ref="E1254" display="AU2065646519525" r:id="rId1253"/>
    <hyperlink xmlns:r="http://schemas.openxmlformats.org/officeDocument/2006/relationships" ref="E1255" display="AU2065646519525" r:id="rId1254"/>
    <hyperlink xmlns:r="http://schemas.openxmlformats.org/officeDocument/2006/relationships" ref="E1256" display="AU2065646519525" r:id="rId1255"/>
    <hyperlink xmlns:r="http://schemas.openxmlformats.org/officeDocument/2006/relationships" ref="E1257" display="AU2065646519525" r:id="rId1256"/>
    <hyperlink xmlns:r="http://schemas.openxmlformats.org/officeDocument/2006/relationships" ref="E1258" display="AU2065646519525" r:id="rId1257"/>
    <hyperlink xmlns:r="http://schemas.openxmlformats.org/officeDocument/2006/relationships" ref="E1259" display="AU2065646519525" r:id="rId1258"/>
    <hyperlink xmlns:r="http://schemas.openxmlformats.org/officeDocument/2006/relationships" ref="E1260" display="AU2065646519525" r:id="rId1259"/>
    <hyperlink xmlns:r="http://schemas.openxmlformats.org/officeDocument/2006/relationships" ref="E1261" display="AU2065646519525" r:id="rId1260"/>
    <hyperlink xmlns:r="http://schemas.openxmlformats.org/officeDocument/2006/relationships" ref="E1262" display="AU2065646519525" r:id="rId1261"/>
    <hyperlink xmlns:r="http://schemas.openxmlformats.org/officeDocument/2006/relationships" ref="E1263" display="AU2065646519525" r:id="rId1262"/>
    <hyperlink xmlns:r="http://schemas.openxmlformats.org/officeDocument/2006/relationships" ref="E1264" display="AU2065646519525" r:id="rId1263"/>
    <hyperlink xmlns:r="http://schemas.openxmlformats.org/officeDocument/2006/relationships" ref="E1265" display="AU2065646519525" r:id="rId1264"/>
    <hyperlink xmlns:r="http://schemas.openxmlformats.org/officeDocument/2006/relationships" ref="E1266" display="AU2065646519525" r:id="rId1265"/>
    <hyperlink xmlns:r="http://schemas.openxmlformats.org/officeDocument/2006/relationships" ref="E1267" display="AU2065646519525" r:id="rId1266"/>
    <hyperlink xmlns:r="http://schemas.openxmlformats.org/officeDocument/2006/relationships" ref="E1268" display="AU2065646519525" r:id="rId1267"/>
    <hyperlink xmlns:r="http://schemas.openxmlformats.org/officeDocument/2006/relationships" ref="E1269" display="AU2065646519525" r:id="rId1268"/>
    <hyperlink xmlns:r="http://schemas.openxmlformats.org/officeDocument/2006/relationships" ref="E1270" display="AU2065646519525" r:id="rId1269"/>
    <hyperlink xmlns:r="http://schemas.openxmlformats.org/officeDocument/2006/relationships" ref="E1271" display="AU2065646519525" r:id="rId1270"/>
    <hyperlink xmlns:r="http://schemas.openxmlformats.org/officeDocument/2006/relationships" ref="E1272" display="AU2065646519525" r:id="rId1271"/>
    <hyperlink xmlns:r="http://schemas.openxmlformats.org/officeDocument/2006/relationships" ref="E1273" display="AU2065646519525" r:id="rId1272"/>
    <hyperlink xmlns:r="http://schemas.openxmlformats.org/officeDocument/2006/relationships" ref="E1274" display="AU2065646519525" r:id="rId1273"/>
    <hyperlink xmlns:r="http://schemas.openxmlformats.org/officeDocument/2006/relationships" ref="E1275" display="AU2065646519525" r:id="rId1274"/>
    <hyperlink xmlns:r="http://schemas.openxmlformats.org/officeDocument/2006/relationships" ref="E1276" display="AU2065646519525" r:id="rId1275"/>
    <hyperlink xmlns:r="http://schemas.openxmlformats.org/officeDocument/2006/relationships" ref="E1277" display="AU2065646519525" r:id="rId1276"/>
    <hyperlink xmlns:r="http://schemas.openxmlformats.org/officeDocument/2006/relationships" ref="E1278" display="AU2065646519525" r:id="rId1277"/>
    <hyperlink xmlns:r="http://schemas.openxmlformats.org/officeDocument/2006/relationships" ref="E1279" display="AU2065646519525" r:id="rId1278"/>
    <hyperlink xmlns:r="http://schemas.openxmlformats.org/officeDocument/2006/relationships" ref="E1280" display="AU2065646519525" r:id="rId1279"/>
    <hyperlink xmlns:r="http://schemas.openxmlformats.org/officeDocument/2006/relationships" ref="E1281" display="AU2065646519525" r:id="rId1280"/>
    <hyperlink xmlns:r="http://schemas.openxmlformats.org/officeDocument/2006/relationships" ref="E1282" display="AU2065646519525" r:id="rId1281"/>
    <hyperlink xmlns:r="http://schemas.openxmlformats.org/officeDocument/2006/relationships" ref="E1283" display="AU2065646519525" r:id="rId1282"/>
    <hyperlink xmlns:r="http://schemas.openxmlformats.org/officeDocument/2006/relationships" ref="E1284" display="AU2065646519525" r:id="rId1283"/>
    <hyperlink xmlns:r="http://schemas.openxmlformats.org/officeDocument/2006/relationships" ref="E1285" display="AU2065646519525" r:id="rId1284"/>
    <hyperlink xmlns:r="http://schemas.openxmlformats.org/officeDocument/2006/relationships" ref="E1286" display="AU2065646519525" r:id="rId1285"/>
    <hyperlink xmlns:r="http://schemas.openxmlformats.org/officeDocument/2006/relationships" ref="E1287" display="AU2065646519525" r:id="rId1286"/>
    <hyperlink xmlns:r="http://schemas.openxmlformats.org/officeDocument/2006/relationships" ref="E1288" display="AU2065646519525" r:id="rId1287"/>
    <hyperlink xmlns:r="http://schemas.openxmlformats.org/officeDocument/2006/relationships" ref="E1289" display="AU2065646519525" r:id="rId1288"/>
    <hyperlink xmlns:r="http://schemas.openxmlformats.org/officeDocument/2006/relationships" ref="E1290" display="AU2065646519525" r:id="rId1289"/>
    <hyperlink xmlns:r="http://schemas.openxmlformats.org/officeDocument/2006/relationships" ref="E1291" display="AU2065646519525" r:id="rId1290"/>
    <hyperlink xmlns:r="http://schemas.openxmlformats.org/officeDocument/2006/relationships" ref="E1292" display="AU2065646519525" r:id="rId1291"/>
    <hyperlink xmlns:r="http://schemas.openxmlformats.org/officeDocument/2006/relationships" ref="E1293" display="AU2065646519525" r:id="rId1292"/>
    <hyperlink xmlns:r="http://schemas.openxmlformats.org/officeDocument/2006/relationships" ref="E1294" display="AU2065646519525" r:id="rId1293"/>
    <hyperlink xmlns:r="http://schemas.openxmlformats.org/officeDocument/2006/relationships" ref="E1295" display="AU2065646519525" r:id="rId1294"/>
    <hyperlink xmlns:r="http://schemas.openxmlformats.org/officeDocument/2006/relationships" ref="E1296" display="AU2065646519525" r:id="rId1295"/>
    <hyperlink xmlns:r="http://schemas.openxmlformats.org/officeDocument/2006/relationships" ref="E1297" display="AU2065646519525" r:id="rId1296"/>
    <hyperlink xmlns:r="http://schemas.openxmlformats.org/officeDocument/2006/relationships" ref="E1298" display="AU2065646519525" r:id="rId1297"/>
    <hyperlink xmlns:r="http://schemas.openxmlformats.org/officeDocument/2006/relationships" ref="E1299" display="AU2065646519525" r:id="rId1298"/>
    <hyperlink xmlns:r="http://schemas.openxmlformats.org/officeDocument/2006/relationships" ref="E1300" display="AU2065646519525" r:id="rId1299"/>
    <hyperlink xmlns:r="http://schemas.openxmlformats.org/officeDocument/2006/relationships" ref="E1301" display="AU2065646519525" r:id="rId1300"/>
    <hyperlink xmlns:r="http://schemas.openxmlformats.org/officeDocument/2006/relationships" ref="E1302" display="AU2065646519525" r:id="rId1301"/>
    <hyperlink xmlns:r="http://schemas.openxmlformats.org/officeDocument/2006/relationships" ref="E1303" display="AU2065646519525" r:id="rId1302"/>
    <hyperlink xmlns:r="http://schemas.openxmlformats.org/officeDocument/2006/relationships" ref="E1304" display="AU2065646519525" r:id="rId1303"/>
    <hyperlink xmlns:r="http://schemas.openxmlformats.org/officeDocument/2006/relationships" ref="E1305" display="AU2065646519525" r:id="rId1304"/>
    <hyperlink xmlns:r="http://schemas.openxmlformats.org/officeDocument/2006/relationships" ref="E1306" display="AU2065646519525" r:id="rId1305"/>
    <hyperlink xmlns:r="http://schemas.openxmlformats.org/officeDocument/2006/relationships" ref="E1307" display="AU2065646519525" r:id="rId1306"/>
    <hyperlink xmlns:r="http://schemas.openxmlformats.org/officeDocument/2006/relationships" ref="E1308" display="AU2065646519525" r:id="rId1307"/>
    <hyperlink xmlns:r="http://schemas.openxmlformats.org/officeDocument/2006/relationships" ref="E1309" display="AU2065646519525" r:id="rId1308"/>
    <hyperlink xmlns:r="http://schemas.openxmlformats.org/officeDocument/2006/relationships" ref="E1310" display="AU2065646519525" r:id="rId1309"/>
    <hyperlink xmlns:r="http://schemas.openxmlformats.org/officeDocument/2006/relationships" ref="E1311" display="AU2065646519525" r:id="rId1310"/>
    <hyperlink xmlns:r="http://schemas.openxmlformats.org/officeDocument/2006/relationships" ref="E1312" display="AU2065646519525" r:id="rId1311"/>
    <hyperlink xmlns:r="http://schemas.openxmlformats.org/officeDocument/2006/relationships" ref="E1313" display="AU2065646519525" r:id="rId1312"/>
    <hyperlink xmlns:r="http://schemas.openxmlformats.org/officeDocument/2006/relationships" ref="E1314" display="AU2065646519525" r:id="rId1313"/>
    <hyperlink xmlns:r="http://schemas.openxmlformats.org/officeDocument/2006/relationships" ref="E1315" display="AU2065646519525" r:id="rId1314"/>
    <hyperlink xmlns:r="http://schemas.openxmlformats.org/officeDocument/2006/relationships" ref="E1316" display="AU2065646519525" r:id="rId1315"/>
    <hyperlink xmlns:r="http://schemas.openxmlformats.org/officeDocument/2006/relationships" ref="E1317" display="AU2065646519525" r:id="rId1316"/>
    <hyperlink xmlns:r="http://schemas.openxmlformats.org/officeDocument/2006/relationships" ref="E1318" display="AU2065646519525" r:id="rId1317"/>
    <hyperlink xmlns:r="http://schemas.openxmlformats.org/officeDocument/2006/relationships" ref="E1319" display="AU2065646519525" r:id="rId1318"/>
    <hyperlink xmlns:r="http://schemas.openxmlformats.org/officeDocument/2006/relationships" ref="E1320" display="AU2065646519525" r:id="rId1319"/>
    <hyperlink xmlns:r="http://schemas.openxmlformats.org/officeDocument/2006/relationships" ref="E1321" display="AU2065646519525" r:id="rId1320"/>
    <hyperlink xmlns:r="http://schemas.openxmlformats.org/officeDocument/2006/relationships" ref="E1322" display="AU2065646519525" r:id="rId1321"/>
    <hyperlink xmlns:r="http://schemas.openxmlformats.org/officeDocument/2006/relationships" ref="E1323" display="AU2065646519525" r:id="rId1322"/>
    <hyperlink xmlns:r="http://schemas.openxmlformats.org/officeDocument/2006/relationships" ref="E1324" display="AU2065646519525" r:id="rId1323"/>
    <hyperlink xmlns:r="http://schemas.openxmlformats.org/officeDocument/2006/relationships" ref="E1325" display="AU2065646519525" r:id="rId1324"/>
    <hyperlink xmlns:r="http://schemas.openxmlformats.org/officeDocument/2006/relationships" ref="E1326" display="AU2065646519525" r:id="rId1325"/>
    <hyperlink xmlns:r="http://schemas.openxmlformats.org/officeDocument/2006/relationships" ref="E1327" display="AU2065646519525" r:id="rId1326"/>
    <hyperlink xmlns:r="http://schemas.openxmlformats.org/officeDocument/2006/relationships" ref="E1328" display="AU2065646519525" r:id="rId1327"/>
    <hyperlink xmlns:r="http://schemas.openxmlformats.org/officeDocument/2006/relationships" ref="E1329" display="AU2065646519525" r:id="rId1328"/>
    <hyperlink xmlns:r="http://schemas.openxmlformats.org/officeDocument/2006/relationships" ref="E1330" display="AU2065646519525" r:id="rId1329"/>
    <hyperlink xmlns:r="http://schemas.openxmlformats.org/officeDocument/2006/relationships" ref="E1331" display="AU2065646519525" r:id="rId1330"/>
    <hyperlink xmlns:r="http://schemas.openxmlformats.org/officeDocument/2006/relationships" ref="E1332" display="AU2065646519525" r:id="rId1331"/>
    <hyperlink xmlns:r="http://schemas.openxmlformats.org/officeDocument/2006/relationships" ref="E1333" display="AU2065646519525" r:id="rId1332"/>
    <hyperlink xmlns:r="http://schemas.openxmlformats.org/officeDocument/2006/relationships" ref="E1334" display="AU2065646519525" r:id="rId1333"/>
    <hyperlink xmlns:r="http://schemas.openxmlformats.org/officeDocument/2006/relationships" ref="E1335" display="AU2065646519525" r:id="rId1334"/>
    <hyperlink xmlns:r="http://schemas.openxmlformats.org/officeDocument/2006/relationships" ref="E1336" display="AU2065646519525" r:id="rId1335"/>
    <hyperlink xmlns:r="http://schemas.openxmlformats.org/officeDocument/2006/relationships" ref="E1337" display="AU2065646519525" r:id="rId1336"/>
    <hyperlink xmlns:r="http://schemas.openxmlformats.org/officeDocument/2006/relationships" ref="E1338" display="AU2065646519525" r:id="rId1337"/>
    <hyperlink xmlns:r="http://schemas.openxmlformats.org/officeDocument/2006/relationships" ref="E1339" display="AU2065646519525" r:id="rId1338"/>
    <hyperlink xmlns:r="http://schemas.openxmlformats.org/officeDocument/2006/relationships" ref="E1340" display="AU2065646519525" r:id="rId1339"/>
    <hyperlink xmlns:r="http://schemas.openxmlformats.org/officeDocument/2006/relationships" ref="E1341" display="AU2065646519525" r:id="rId1340"/>
    <hyperlink xmlns:r="http://schemas.openxmlformats.org/officeDocument/2006/relationships" ref="E1342" display="AU2065646519525" r:id="rId1341"/>
    <hyperlink xmlns:r="http://schemas.openxmlformats.org/officeDocument/2006/relationships" ref="E1343" display="AU2065646519525" r:id="rId1342"/>
    <hyperlink xmlns:r="http://schemas.openxmlformats.org/officeDocument/2006/relationships" ref="E1344" display="AU2065646519525" r:id="rId1343"/>
    <hyperlink xmlns:r="http://schemas.openxmlformats.org/officeDocument/2006/relationships" ref="E1345" display="AU2065646519525" r:id="rId1344"/>
    <hyperlink xmlns:r="http://schemas.openxmlformats.org/officeDocument/2006/relationships" ref="E1346" display="AU2065646519525" r:id="rId1345"/>
    <hyperlink xmlns:r="http://schemas.openxmlformats.org/officeDocument/2006/relationships" ref="E1347" display="AU2065646519525" r:id="rId1346"/>
    <hyperlink xmlns:r="http://schemas.openxmlformats.org/officeDocument/2006/relationships" ref="E1348" display="AU2065646519525" r:id="rId1347"/>
    <hyperlink xmlns:r="http://schemas.openxmlformats.org/officeDocument/2006/relationships" ref="E1349" display="AU2065646519525" r:id="rId1348"/>
    <hyperlink xmlns:r="http://schemas.openxmlformats.org/officeDocument/2006/relationships" ref="E1350" display="AU2065646519525" r:id="rId1349"/>
    <hyperlink xmlns:r="http://schemas.openxmlformats.org/officeDocument/2006/relationships" ref="E1351" display="AU2065646519525" r:id="rId1350"/>
    <hyperlink xmlns:r="http://schemas.openxmlformats.org/officeDocument/2006/relationships" ref="E1352" display="AU2065646519525" r:id="rId1351"/>
    <hyperlink xmlns:r="http://schemas.openxmlformats.org/officeDocument/2006/relationships" ref="E1353" display="AU2065646519525" r:id="rId1352"/>
    <hyperlink xmlns:r="http://schemas.openxmlformats.org/officeDocument/2006/relationships" ref="E1354" display="AU2065646519525" r:id="rId1353"/>
    <hyperlink xmlns:r="http://schemas.openxmlformats.org/officeDocument/2006/relationships" ref="E1355" display="AU2065646519525" r:id="rId1354"/>
    <hyperlink xmlns:r="http://schemas.openxmlformats.org/officeDocument/2006/relationships" ref="E1356" display="AU2065646519525" r:id="rId1355"/>
    <hyperlink xmlns:r="http://schemas.openxmlformats.org/officeDocument/2006/relationships" ref="E1357" display="AU2065646519525" r:id="rId1356"/>
    <hyperlink xmlns:r="http://schemas.openxmlformats.org/officeDocument/2006/relationships" ref="E1358" display="AU2065646519525" r:id="rId1357"/>
    <hyperlink xmlns:r="http://schemas.openxmlformats.org/officeDocument/2006/relationships" ref="E1359" display="AU2065646519525" r:id="rId1358"/>
    <hyperlink xmlns:r="http://schemas.openxmlformats.org/officeDocument/2006/relationships" ref="E1360" display="AU2065646519525" r:id="rId1359"/>
    <hyperlink xmlns:r="http://schemas.openxmlformats.org/officeDocument/2006/relationships" ref="E1361" display="AU2065646519525" r:id="rId1360"/>
    <hyperlink xmlns:r="http://schemas.openxmlformats.org/officeDocument/2006/relationships" ref="E1362" display="AU2065646519525" r:id="rId1361"/>
    <hyperlink xmlns:r="http://schemas.openxmlformats.org/officeDocument/2006/relationships" ref="E1363" display="AU2065646519525" r:id="rId1362"/>
    <hyperlink xmlns:r="http://schemas.openxmlformats.org/officeDocument/2006/relationships" ref="E1364" display="AU2065646519525" r:id="rId1363"/>
    <hyperlink xmlns:r="http://schemas.openxmlformats.org/officeDocument/2006/relationships" ref="E1365" display="AU2065646519525" r:id="rId1364"/>
    <hyperlink xmlns:r="http://schemas.openxmlformats.org/officeDocument/2006/relationships" ref="E1366" display="AU2065646519525" r:id="rId1365"/>
    <hyperlink xmlns:r="http://schemas.openxmlformats.org/officeDocument/2006/relationships" ref="E1367" display="AU2065646519525" r:id="rId1366"/>
    <hyperlink xmlns:r="http://schemas.openxmlformats.org/officeDocument/2006/relationships" ref="E1368" display="AU2065646519525" r:id="rId1367"/>
    <hyperlink xmlns:r="http://schemas.openxmlformats.org/officeDocument/2006/relationships" ref="E1369" display="AU2065646519525" r:id="rId1368"/>
    <hyperlink xmlns:r="http://schemas.openxmlformats.org/officeDocument/2006/relationships" ref="E1370" display="AU2065646519525" r:id="rId1369"/>
    <hyperlink xmlns:r="http://schemas.openxmlformats.org/officeDocument/2006/relationships" ref="E1371" display="AU2065646519525" r:id="rId1370"/>
    <hyperlink xmlns:r="http://schemas.openxmlformats.org/officeDocument/2006/relationships" ref="E1372" display="AU2065646519525" r:id="rId1371"/>
    <hyperlink xmlns:r="http://schemas.openxmlformats.org/officeDocument/2006/relationships" ref="E1373" display="AU2065646519525" r:id="rId1372"/>
    <hyperlink xmlns:r="http://schemas.openxmlformats.org/officeDocument/2006/relationships" ref="E1374" display="AU2065646519525" r:id="rId1373"/>
    <hyperlink xmlns:r="http://schemas.openxmlformats.org/officeDocument/2006/relationships" ref="E1375" display="AU2065646519525" r:id="rId1374"/>
    <hyperlink xmlns:r="http://schemas.openxmlformats.org/officeDocument/2006/relationships" ref="E1376" display="AU2065646519525" r:id="rId1375"/>
    <hyperlink xmlns:r="http://schemas.openxmlformats.org/officeDocument/2006/relationships" ref="E1377" display="AU2065646519525" r:id="rId1376"/>
    <hyperlink xmlns:r="http://schemas.openxmlformats.org/officeDocument/2006/relationships" ref="E1378" display="AU2065646519525" r:id="rId1377"/>
    <hyperlink xmlns:r="http://schemas.openxmlformats.org/officeDocument/2006/relationships" ref="E1379" display="AU2065646519525" r:id="rId1378"/>
    <hyperlink xmlns:r="http://schemas.openxmlformats.org/officeDocument/2006/relationships" ref="E1380" display="AU2065646519525" r:id="rId1379"/>
    <hyperlink xmlns:r="http://schemas.openxmlformats.org/officeDocument/2006/relationships" ref="E1381" display="AU2065646519525" r:id="rId1380"/>
    <hyperlink xmlns:r="http://schemas.openxmlformats.org/officeDocument/2006/relationships" ref="E1382" display="AU2065646519525" r:id="rId1381"/>
    <hyperlink xmlns:r="http://schemas.openxmlformats.org/officeDocument/2006/relationships" ref="E1383" display="AU2065646519525" r:id="rId1382"/>
    <hyperlink xmlns:r="http://schemas.openxmlformats.org/officeDocument/2006/relationships" ref="E1384" display="AU2065646519525" r:id="rId1383"/>
    <hyperlink xmlns:r="http://schemas.openxmlformats.org/officeDocument/2006/relationships" ref="E1385" display="AU2065646519525" r:id="rId1384"/>
    <hyperlink xmlns:r="http://schemas.openxmlformats.org/officeDocument/2006/relationships" ref="E1386" display="AU2065646519525" r:id="rId1385"/>
    <hyperlink xmlns:r="http://schemas.openxmlformats.org/officeDocument/2006/relationships" ref="E1387" display="AU2065646519525" r:id="rId1386"/>
    <hyperlink xmlns:r="http://schemas.openxmlformats.org/officeDocument/2006/relationships" ref="E1388" display="AU2065646519525" r:id="rId1387"/>
    <hyperlink xmlns:r="http://schemas.openxmlformats.org/officeDocument/2006/relationships" ref="E1389" display="AU2065646519525" r:id="rId1388"/>
    <hyperlink xmlns:r="http://schemas.openxmlformats.org/officeDocument/2006/relationships" ref="E1390" display="AU2065646519525" r:id="rId1389"/>
    <hyperlink xmlns:r="http://schemas.openxmlformats.org/officeDocument/2006/relationships" ref="E1391" display="AU2065646519525" r:id="rId1390"/>
    <hyperlink xmlns:r="http://schemas.openxmlformats.org/officeDocument/2006/relationships" ref="E1392" display="AU2065646519525" r:id="rId1391"/>
    <hyperlink xmlns:r="http://schemas.openxmlformats.org/officeDocument/2006/relationships" ref="E1393" display="AU2065646519525" r:id="rId1392"/>
    <hyperlink xmlns:r="http://schemas.openxmlformats.org/officeDocument/2006/relationships" ref="E1394" display="AU2065646519525" r:id="rId1393"/>
    <hyperlink xmlns:r="http://schemas.openxmlformats.org/officeDocument/2006/relationships" ref="E1395" display="AU2065646519525" r:id="rId1394"/>
    <hyperlink xmlns:r="http://schemas.openxmlformats.org/officeDocument/2006/relationships" ref="E1396" display="AU2065646519525" r:id="rId1395"/>
    <hyperlink xmlns:r="http://schemas.openxmlformats.org/officeDocument/2006/relationships" ref="E1397" display="AU2065646519525" r:id="rId1396"/>
    <hyperlink xmlns:r="http://schemas.openxmlformats.org/officeDocument/2006/relationships" ref="E1398" display="AU2065646519525" r:id="rId1397"/>
    <hyperlink xmlns:r="http://schemas.openxmlformats.org/officeDocument/2006/relationships" ref="E1399" display="AU2065646519525" r:id="rId1398"/>
    <hyperlink xmlns:r="http://schemas.openxmlformats.org/officeDocument/2006/relationships" ref="E1400" display="AU2065646519525" r:id="rId1399"/>
    <hyperlink xmlns:r="http://schemas.openxmlformats.org/officeDocument/2006/relationships" ref="E1401" display="AU2065646519525" r:id="rId1400"/>
    <hyperlink xmlns:r="http://schemas.openxmlformats.org/officeDocument/2006/relationships" ref="E1402" display="AU2065646519525" r:id="rId1401"/>
    <hyperlink xmlns:r="http://schemas.openxmlformats.org/officeDocument/2006/relationships" ref="E1403" display="AU2065646519525" r:id="rId1402"/>
    <hyperlink xmlns:r="http://schemas.openxmlformats.org/officeDocument/2006/relationships" ref="E1404" display="AU2065646519525" r:id="rId1403"/>
    <hyperlink xmlns:r="http://schemas.openxmlformats.org/officeDocument/2006/relationships" ref="E1405" display="AU2065646519525" r:id="rId1404"/>
    <hyperlink xmlns:r="http://schemas.openxmlformats.org/officeDocument/2006/relationships" ref="E1406" display="AU2065646519525" r:id="rId1405"/>
    <hyperlink xmlns:r="http://schemas.openxmlformats.org/officeDocument/2006/relationships" ref="E1407" display="AU2065646519525" r:id="rId1406"/>
    <hyperlink xmlns:r="http://schemas.openxmlformats.org/officeDocument/2006/relationships" ref="E1408" display="AU2065646519525" r:id="rId1407"/>
    <hyperlink xmlns:r="http://schemas.openxmlformats.org/officeDocument/2006/relationships" ref="E1409" display="AU2065646519525" r:id="rId1408"/>
    <hyperlink xmlns:r="http://schemas.openxmlformats.org/officeDocument/2006/relationships" ref="E1410" display="AU2065646519525" r:id="rId1409"/>
    <hyperlink xmlns:r="http://schemas.openxmlformats.org/officeDocument/2006/relationships" ref="E1411" display="AU2065646519525" r:id="rId1410"/>
    <hyperlink xmlns:r="http://schemas.openxmlformats.org/officeDocument/2006/relationships" ref="E1412" display="AU2065646519525" r:id="rId1411"/>
    <hyperlink xmlns:r="http://schemas.openxmlformats.org/officeDocument/2006/relationships" ref="E1413" display="AU2065646519525" r:id="rId1412"/>
    <hyperlink xmlns:r="http://schemas.openxmlformats.org/officeDocument/2006/relationships" ref="E1414" display="AU2065646519525" r:id="rId1413"/>
    <hyperlink xmlns:r="http://schemas.openxmlformats.org/officeDocument/2006/relationships" ref="E1415" display="AU2065646519525" r:id="rId1414"/>
    <hyperlink xmlns:r="http://schemas.openxmlformats.org/officeDocument/2006/relationships" ref="E1416" display="AU2065646519525" r:id="rId1415"/>
    <hyperlink xmlns:r="http://schemas.openxmlformats.org/officeDocument/2006/relationships" ref="E1417" display="AU2065646519525" r:id="rId1416"/>
    <hyperlink xmlns:r="http://schemas.openxmlformats.org/officeDocument/2006/relationships" ref="E1418" display="AU2065646519525" r:id="rId1417"/>
    <hyperlink xmlns:r="http://schemas.openxmlformats.org/officeDocument/2006/relationships" ref="E1419" display="AU2065646519525" r:id="rId1418"/>
    <hyperlink xmlns:r="http://schemas.openxmlformats.org/officeDocument/2006/relationships" ref="E1420" display="AU2065646519525" r:id="rId1419"/>
    <hyperlink xmlns:r="http://schemas.openxmlformats.org/officeDocument/2006/relationships" ref="E1421" display="AU2065646519525" r:id="rId1420"/>
    <hyperlink xmlns:r="http://schemas.openxmlformats.org/officeDocument/2006/relationships" ref="E1422" display="AU2065646519525" r:id="rId1421"/>
    <hyperlink xmlns:r="http://schemas.openxmlformats.org/officeDocument/2006/relationships" ref="E1423" display="AU2065646519525" r:id="rId1422"/>
    <hyperlink xmlns:r="http://schemas.openxmlformats.org/officeDocument/2006/relationships" ref="E1424" display="AU2065646519525" r:id="rId1423"/>
    <hyperlink xmlns:r="http://schemas.openxmlformats.org/officeDocument/2006/relationships" ref="E1425" display="AU2065646519525" r:id="rId1424"/>
    <hyperlink xmlns:r="http://schemas.openxmlformats.org/officeDocument/2006/relationships" ref="E1426" display="AU2065646519525" r:id="rId1425"/>
    <hyperlink xmlns:r="http://schemas.openxmlformats.org/officeDocument/2006/relationships" ref="E1427" display="AU2065646519525" r:id="rId1426"/>
    <hyperlink xmlns:r="http://schemas.openxmlformats.org/officeDocument/2006/relationships" ref="E1428" display="AU2065646519525" r:id="rId1427"/>
    <hyperlink xmlns:r="http://schemas.openxmlformats.org/officeDocument/2006/relationships" ref="E1429" display="AU2065646519525" r:id="rId1428"/>
    <hyperlink xmlns:r="http://schemas.openxmlformats.org/officeDocument/2006/relationships" ref="E1430" display="AU2065646519525" r:id="rId1429"/>
    <hyperlink xmlns:r="http://schemas.openxmlformats.org/officeDocument/2006/relationships" ref="E1431" display="AU2065646519525" r:id="rId1430"/>
    <hyperlink xmlns:r="http://schemas.openxmlformats.org/officeDocument/2006/relationships" ref="E1432" display="AU2065646519525" r:id="rId1431"/>
    <hyperlink xmlns:r="http://schemas.openxmlformats.org/officeDocument/2006/relationships" ref="E1433" display="AU2065646519525" r:id="rId1432"/>
    <hyperlink xmlns:r="http://schemas.openxmlformats.org/officeDocument/2006/relationships" ref="E1434" display="AU2065646519525" r:id="rId1433"/>
    <hyperlink xmlns:r="http://schemas.openxmlformats.org/officeDocument/2006/relationships" ref="E1435" display="AU2065646519525" r:id="rId1434"/>
    <hyperlink xmlns:r="http://schemas.openxmlformats.org/officeDocument/2006/relationships" ref="E1436" display="AU2065646519525" r:id="rId1435"/>
    <hyperlink xmlns:r="http://schemas.openxmlformats.org/officeDocument/2006/relationships" ref="E1437" display="AU2065646519525" r:id="rId1436"/>
    <hyperlink xmlns:r="http://schemas.openxmlformats.org/officeDocument/2006/relationships" ref="E1438" display="AU2065646519525" r:id="rId1437"/>
    <hyperlink xmlns:r="http://schemas.openxmlformats.org/officeDocument/2006/relationships" ref="E1439" display="AU2065646519525" r:id="rId1438"/>
    <hyperlink xmlns:r="http://schemas.openxmlformats.org/officeDocument/2006/relationships" ref="E1440" display="AU2065646519525" r:id="rId1439"/>
    <hyperlink xmlns:r="http://schemas.openxmlformats.org/officeDocument/2006/relationships" ref="E1441" display="AU2065646519525" r:id="rId1440"/>
  </hyperlinks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441"/>
  <sheetViews>
    <sheetView tabSelected="1" topLeftCell="H1" workbookViewId="0">
      <selection activeCell="K2" sqref="K2:K25"/>
    </sheetView>
  </sheetViews>
  <sheetFormatPr baseColWidth="8" defaultRowHeight="14.5"/>
  <cols>
    <col width="11" bestFit="1" customWidth="1" style="1" min="1" max="1"/>
    <col width="15.81640625" bestFit="1" customWidth="1" style="5" min="2" max="2"/>
    <col width="28.453125" bestFit="1" customWidth="1" style="1" min="3" max="3"/>
    <col width="8.453125" bestFit="1" customWidth="1" style="1" min="4" max="4"/>
    <col width="29.7265625" bestFit="1" customWidth="1" style="1" min="5" max="5"/>
    <col width="26.1796875" bestFit="1" customWidth="1" style="1" min="6" max="6"/>
    <col width="39.26953125" bestFit="1" customWidth="1" style="1" min="7" max="7"/>
    <col width="63.81640625" bestFit="1" customWidth="1" style="1" min="8" max="8"/>
    <col width="36.7265625" bestFit="1" customWidth="1" style="1" min="9" max="9"/>
    <col width="26" bestFit="1" customWidth="1" style="1" min="10" max="10"/>
    <col width="12.7265625" bestFit="1" customWidth="1" style="1" min="11" max="11"/>
    <col width="10.453125" bestFit="1" customWidth="1" style="30" min="12" max="12"/>
    <col width="31" bestFit="1" customWidth="1" style="30" min="13" max="13"/>
    <col width="50" bestFit="1" customWidth="1" style="1" min="17" max="17"/>
    <col width="134.7265625" bestFit="1" customWidth="1" style="1" min="18" max="18"/>
  </cols>
  <sheetData>
    <row r="1">
      <c r="A1" s="1" t="inlineStr">
        <is>
          <t>Serial</t>
        </is>
      </c>
      <c r="B1" s="5" t="inlineStr">
        <is>
          <t>File_Number</t>
        </is>
      </c>
      <c r="C1" s="1" t="inlineStr">
        <is>
          <t>Name</t>
        </is>
      </c>
      <c r="D1" s="1" t="inlineStr">
        <is>
          <t>Sex</t>
        </is>
      </c>
      <c r="E1" s="1" t="inlineStr">
        <is>
          <t>Name_of_the_Father</t>
        </is>
      </c>
      <c r="F1" s="1" t="inlineStr">
        <is>
          <t>Name_of_the_Mother</t>
        </is>
      </c>
      <c r="G1" s="1" t="inlineStr">
        <is>
          <t>When_and_where_born</t>
        </is>
      </c>
      <c r="H1" s="1" t="inlineStr">
        <is>
          <t>Description_and_residence_of_informant</t>
        </is>
      </c>
      <c r="I1" s="1" t="inlineStr">
        <is>
          <t>Registration_date</t>
        </is>
      </c>
      <c r="J1" s="1" t="inlineStr">
        <is>
          <t>MHA_File_And_date</t>
        </is>
      </c>
      <c r="K1" s="5" t="inlineStr">
        <is>
          <t>STATUS</t>
        </is>
      </c>
      <c r="L1" s="30" t="inlineStr">
        <is>
          <t>Date_Printed</t>
        </is>
      </c>
      <c r="M1" s="30" t="inlineStr">
        <is>
          <t>Signing_Authority_Name</t>
        </is>
      </c>
      <c r="N1" s="30" t="inlineStr">
        <is>
          <t>Date_Issued</t>
        </is>
      </c>
    </row>
    <row r="2">
      <c r="A2" s="4">
        <f>Sheet1!A2 &amp; "/" &amp; "2025"</f>
        <v/>
      </c>
      <c r="B2" s="5">
        <f>Sheet1!E2</f>
        <v/>
      </c>
      <c r="C2" s="6">
        <f>UPPER(Sheet1!B2)</f>
        <v/>
      </c>
      <c r="D2" s="7">
        <f>IF(Sheet1!F2="F","FEMALE","MALE")</f>
        <v/>
      </c>
      <c r="E2" s="6">
        <f>UPPER(Sheet1!G2)</f>
        <v/>
      </c>
      <c r="F2" s="6">
        <f>UPPER(Sheet1!H2)</f>
        <v/>
      </c>
      <c r="G2" s="5">
        <f>TEXT(Sheet1!C2,"dd/mm/yyyy") &amp; "," &amp; Sheet1!D2</f>
        <v/>
      </c>
      <c r="H2" s="38">
        <f>UPPER(Sheet1!J2 &amp; "," &amp; Sheet1!K2 &amp; "," &amp; Sheet1!L2)</f>
        <v/>
      </c>
      <c r="I2" s="45">
        <f>Sheet1!I2</f>
        <v/>
      </c>
      <c r="J2" s="5">
        <f>Sheet1!M2 &amp; "," &amp; TEXT(Sheet1!N2,"dd/mm/yy")</f>
        <v/>
      </c>
      <c r="K2" s="5" t="inlineStr">
        <is>
          <t>PRINTED</t>
        </is>
      </c>
      <c r="L2" s="30" t="inlineStr">
        <is>
          <t>13/09/2026</t>
        </is>
      </c>
      <c r="M2" s="30" t="inlineStr">
        <is>
          <t>MANISH KATARIA, VICE CONSUL</t>
        </is>
      </c>
      <c r="N2" s="30" t="inlineStr">
        <is>
          <t>26/02/2026</t>
        </is>
      </c>
    </row>
    <row r="3">
      <c r="A3" s="4">
        <f>Sheet1!A3 &amp; "/" &amp; "2025"</f>
        <v/>
      </c>
      <c r="B3" s="5">
        <f>Sheet1!E3</f>
        <v/>
      </c>
      <c r="C3" s="6">
        <f>UPPER(Sheet1!B3)</f>
        <v/>
      </c>
      <c r="D3" s="7">
        <f>IF(Sheet1!F3="F","FEMALE","MALE")</f>
        <v/>
      </c>
      <c r="E3" s="6">
        <f>UPPER(Sheet1!G3)</f>
        <v/>
      </c>
      <c r="F3" s="6">
        <f>UPPER(Sheet1!H3)</f>
        <v/>
      </c>
      <c r="G3" s="5">
        <f>TEXT(Sheet1!C3,"dd/mm/yyyy") &amp; "," &amp; Sheet1!D3</f>
        <v/>
      </c>
      <c r="H3" s="38">
        <f>UPPER(Sheet1!J3 &amp; "," &amp; Sheet1!K3 &amp; "," &amp; Sheet1!L3)</f>
        <v/>
      </c>
      <c r="I3" s="45">
        <f>Sheet1!I3</f>
        <v/>
      </c>
      <c r="J3" s="5">
        <f>Sheet1!M3 &amp; "," &amp; TEXT(Sheet1!N3,"dd/mm/yy")</f>
        <v/>
      </c>
      <c r="K3" s="5" t="inlineStr">
        <is>
          <t>PRINTED</t>
        </is>
      </c>
      <c r="L3" s="30" t="inlineStr">
        <is>
          <t>13/09/2026</t>
        </is>
      </c>
      <c r="M3" s="30" t="inlineStr">
        <is>
          <t>MANISH KATARIA, VICE CONSUL</t>
        </is>
      </c>
      <c r="N3" s="30" t="inlineStr">
        <is>
          <t>26/02/2026</t>
        </is>
      </c>
    </row>
    <row r="4">
      <c r="A4" s="4">
        <f>Sheet1!A4 &amp; "/" &amp; "2025"</f>
        <v/>
      </c>
      <c r="B4" s="5">
        <f>Sheet1!E4</f>
        <v/>
      </c>
      <c r="C4" s="6">
        <f>UPPER(Sheet1!B4)</f>
        <v/>
      </c>
      <c r="D4" s="7">
        <f>IF(Sheet1!F4="F","FEMALE","MALE")</f>
        <v/>
      </c>
      <c r="E4" s="6">
        <f>UPPER(Sheet1!G4)</f>
        <v/>
      </c>
      <c r="F4" s="6">
        <f>UPPER(Sheet1!H4)</f>
        <v/>
      </c>
      <c r="G4" s="5">
        <f>TEXT(Sheet1!C4,"dd/mm/yyyy") &amp; "," &amp; Sheet1!D4</f>
        <v/>
      </c>
      <c r="H4" s="38">
        <f>UPPER(Sheet1!J4 &amp; "," &amp; Sheet1!K4 &amp; "," &amp; Sheet1!L4)</f>
        <v/>
      </c>
      <c r="I4" s="45">
        <f>Sheet1!I4</f>
        <v/>
      </c>
      <c r="J4" s="5">
        <f>Sheet1!M4 &amp; "," &amp; TEXT(Sheet1!N4,"dd/mm/yy")</f>
        <v/>
      </c>
      <c r="K4" s="5" t="inlineStr">
        <is>
          <t>PRINTED</t>
        </is>
      </c>
      <c r="L4" s="30" t="inlineStr">
        <is>
          <t>13/09/2026</t>
        </is>
      </c>
      <c r="M4" s="30" t="inlineStr">
        <is>
          <t>MANISH KATARIA, VICE CONSUL</t>
        </is>
      </c>
      <c r="N4" s="30" t="inlineStr">
        <is>
          <t>26/02/2026</t>
        </is>
      </c>
    </row>
    <row r="5">
      <c r="A5" s="4">
        <f>Sheet1!A5 &amp; "/" &amp; "2025"</f>
        <v/>
      </c>
      <c r="B5" s="5">
        <f>Sheet1!E5</f>
        <v/>
      </c>
      <c r="C5" s="6">
        <f>UPPER(Sheet1!B5)</f>
        <v/>
      </c>
      <c r="D5" s="7">
        <f>IF(Sheet1!F5="F","FEMALE","MALE")</f>
        <v/>
      </c>
      <c r="E5" s="6">
        <f>UPPER(Sheet1!G5)</f>
        <v/>
      </c>
      <c r="F5" s="6">
        <f>UPPER(Sheet1!H5)</f>
        <v/>
      </c>
      <c r="G5" s="5">
        <f>TEXT(Sheet1!C5,"dd/mm/yyyy") &amp; "," &amp; Sheet1!D5</f>
        <v/>
      </c>
      <c r="H5" s="38">
        <f>UPPER(Sheet1!J5 &amp; "," &amp; Sheet1!K5 &amp; "," &amp; Sheet1!L5)</f>
        <v/>
      </c>
      <c r="I5" s="45">
        <f>Sheet1!I5</f>
        <v/>
      </c>
      <c r="J5" s="5">
        <f>Sheet1!M5 &amp; "," &amp; TEXT(Sheet1!N5,"dd/mm/yy")</f>
        <v/>
      </c>
      <c r="K5" s="5" t="inlineStr">
        <is>
          <t>PRINTED</t>
        </is>
      </c>
      <c r="L5" s="30" t="inlineStr">
        <is>
          <t>13/09/2026</t>
        </is>
      </c>
      <c r="M5" s="30" t="inlineStr">
        <is>
          <t>MANISH KATARIA, VICE CONSUL</t>
        </is>
      </c>
      <c r="N5" s="30" t="inlineStr">
        <is>
          <t>26/02/2026</t>
        </is>
      </c>
    </row>
    <row r="6">
      <c r="A6" s="4">
        <f>Sheet1!A6 &amp; "/" &amp; "2025"</f>
        <v/>
      </c>
      <c r="B6" s="5">
        <f>Sheet1!E6</f>
        <v/>
      </c>
      <c r="C6" s="6">
        <f>UPPER(Sheet1!B6)</f>
        <v/>
      </c>
      <c r="D6" s="7">
        <f>IF(Sheet1!F6="F","FEMALE","MALE")</f>
        <v/>
      </c>
      <c r="E6" s="6">
        <f>UPPER(Sheet1!G6)</f>
        <v/>
      </c>
      <c r="F6" s="6">
        <f>UPPER(Sheet1!H6)</f>
        <v/>
      </c>
      <c r="G6" s="5">
        <f>TEXT(Sheet1!C6,"dd/mm/yyyy") &amp; "," &amp; Sheet1!D6</f>
        <v/>
      </c>
      <c r="H6" s="38">
        <f>UPPER(Sheet1!J6 &amp; "," &amp; Sheet1!K6 &amp; "," &amp; Sheet1!L6)</f>
        <v/>
      </c>
      <c r="I6" s="45">
        <f>Sheet1!I6</f>
        <v/>
      </c>
      <c r="J6" s="5">
        <f>Sheet1!M6 &amp; "," &amp; TEXT(Sheet1!N6,"dd/mm/yy")</f>
        <v/>
      </c>
      <c r="K6" s="5" t="inlineStr">
        <is>
          <t>PRINTED</t>
        </is>
      </c>
      <c r="L6" s="30" t="inlineStr">
        <is>
          <t>13/09/2026</t>
        </is>
      </c>
      <c r="M6" s="30" t="inlineStr">
        <is>
          <t>MANISH KATARIA, VICE CONSUL</t>
        </is>
      </c>
      <c r="N6" s="30" t="inlineStr">
        <is>
          <t>26/02/2026</t>
        </is>
      </c>
    </row>
    <row r="7" ht="30" customHeight="1">
      <c r="A7" s="4">
        <f>Sheet1!A7 &amp; "/" &amp; "2025"</f>
        <v/>
      </c>
      <c r="B7" s="5">
        <f>Sheet1!E7</f>
        <v/>
      </c>
      <c r="C7" s="6">
        <f>UPPER(Sheet1!B7)</f>
        <v/>
      </c>
      <c r="D7" s="7">
        <f>IF(Sheet1!F7="F","FEMALE","MALE")</f>
        <v/>
      </c>
      <c r="E7" s="6">
        <f>UPPER(Sheet1!G7)</f>
        <v/>
      </c>
      <c r="F7" s="6">
        <f>UPPER(Sheet1!H7)</f>
        <v/>
      </c>
      <c r="G7" s="5">
        <f>TEXT(Sheet1!C7,"dd/mm/yyyy") &amp; "," &amp; Sheet1!D7</f>
        <v/>
      </c>
      <c r="H7" s="38">
        <f>UPPER(Sheet1!J7 &amp; "," &amp; Sheet1!K7 &amp; "," &amp; Sheet1!L7)</f>
        <v/>
      </c>
      <c r="I7" s="45">
        <f>Sheet1!I7</f>
        <v/>
      </c>
      <c r="J7" s="5">
        <f>Sheet1!M7 &amp; "," &amp; TEXT(Sheet1!N7,"dd/mm/yy")</f>
        <v/>
      </c>
      <c r="K7" s="5" t="inlineStr">
        <is>
          <t>PRINTED</t>
        </is>
      </c>
      <c r="L7" s="30" t="inlineStr">
        <is>
          <t>13/09/2026</t>
        </is>
      </c>
      <c r="M7" s="30" t="inlineStr">
        <is>
          <t>MANISH KATARIA, VICE CONSUL</t>
        </is>
      </c>
      <c r="N7" s="30" t="inlineStr">
        <is>
          <t>26/02/2026</t>
        </is>
      </c>
    </row>
    <row r="8">
      <c r="A8" s="4">
        <f>Sheet1!A8 &amp; "/" &amp; "2025"</f>
        <v/>
      </c>
      <c r="B8" s="5">
        <f>Sheet1!E8</f>
        <v/>
      </c>
      <c r="C8" s="6">
        <f>UPPER(Sheet1!B8)</f>
        <v/>
      </c>
      <c r="D8" s="7">
        <f>IF(Sheet1!F8="F","FEMALE","MALE")</f>
        <v/>
      </c>
      <c r="E8" s="6">
        <f>UPPER(Sheet1!G8)</f>
        <v/>
      </c>
      <c r="F8" s="6">
        <f>UPPER(Sheet1!H8)</f>
        <v/>
      </c>
      <c r="G8" s="5">
        <f>TEXT(Sheet1!C8,"dd/mm/yyyy") &amp; "," &amp; Sheet1!D8</f>
        <v/>
      </c>
      <c r="H8" s="38">
        <f>UPPER(Sheet1!J8 &amp; "," &amp; Sheet1!K8 &amp; "," &amp; Sheet1!L8)</f>
        <v/>
      </c>
      <c r="I8" s="45">
        <f>Sheet1!I8</f>
        <v/>
      </c>
      <c r="J8" s="5">
        <f>Sheet1!M8 &amp; "," &amp; TEXT(Sheet1!N8,"dd/mm/yy")</f>
        <v/>
      </c>
      <c r="K8" s="5" t="inlineStr">
        <is>
          <t>PRINTED</t>
        </is>
      </c>
      <c r="L8" s="30" t="inlineStr">
        <is>
          <t>13/09/2026</t>
        </is>
      </c>
      <c r="M8" s="30" t="inlineStr">
        <is>
          <t>MANISH KATARIA, VICE CONSUL</t>
        </is>
      </c>
      <c r="N8" s="30" t="inlineStr">
        <is>
          <t>26/02/2026</t>
        </is>
      </c>
    </row>
    <row r="9">
      <c r="A9" s="4">
        <f>Sheet1!A9 &amp; "/" &amp; "2025"</f>
        <v/>
      </c>
      <c r="B9" s="5">
        <f>Sheet1!E9</f>
        <v/>
      </c>
      <c r="C9" s="6">
        <f>UPPER(Sheet1!B9)</f>
        <v/>
      </c>
      <c r="D9" s="7">
        <f>IF(Sheet1!F9="F","FEMALE","MALE")</f>
        <v/>
      </c>
      <c r="E9" s="6">
        <f>UPPER(Sheet1!G9)</f>
        <v/>
      </c>
      <c r="F9" s="6">
        <f>UPPER(Sheet1!H9)</f>
        <v/>
      </c>
      <c r="G9" s="5">
        <f>TEXT(Sheet1!C9,"dd/mm/yyyy") &amp; "," &amp; Sheet1!D9</f>
        <v/>
      </c>
      <c r="H9" s="38">
        <f>UPPER(Sheet1!J9 &amp; "," &amp; Sheet1!K9 &amp; "," &amp; Sheet1!L9)</f>
        <v/>
      </c>
      <c r="I9" s="45">
        <f>Sheet1!I9</f>
        <v/>
      </c>
      <c r="J9" s="5">
        <f>Sheet1!M9 &amp; "," &amp; TEXT(Sheet1!N9,"dd/mm/yy")</f>
        <v/>
      </c>
      <c r="K9" s="5" t="inlineStr">
        <is>
          <t>PRINTED</t>
        </is>
      </c>
      <c r="L9" s="30" t="inlineStr">
        <is>
          <t>13/09/2026</t>
        </is>
      </c>
      <c r="M9" s="30" t="inlineStr">
        <is>
          <t>MANISH KATARIA, VICE CONSUL</t>
        </is>
      </c>
      <c r="N9" s="30" t="inlineStr">
        <is>
          <t>26/02/2026</t>
        </is>
      </c>
    </row>
    <row r="10">
      <c r="A10" s="4">
        <f>Sheet1!A10 &amp; "/" &amp; "2025"</f>
        <v/>
      </c>
      <c r="B10" s="5">
        <f>Sheet1!E10</f>
        <v/>
      </c>
      <c r="C10" s="6">
        <f>UPPER(Sheet1!B10)</f>
        <v/>
      </c>
      <c r="D10" s="7">
        <f>IF(Sheet1!F10="F","FEMALE","MALE")</f>
        <v/>
      </c>
      <c r="E10" s="6">
        <f>UPPER(Sheet1!G10)</f>
        <v/>
      </c>
      <c r="F10" s="6">
        <f>UPPER(Sheet1!H10)</f>
        <v/>
      </c>
      <c r="G10" s="5">
        <f>TEXT(Sheet1!C10,"dd/mm/yyyy") &amp; "," &amp; Sheet1!D10</f>
        <v/>
      </c>
      <c r="H10" s="38">
        <f>UPPER(Sheet1!J10 &amp; "," &amp; Sheet1!K10 &amp; "," &amp; Sheet1!L10)</f>
        <v/>
      </c>
      <c r="I10" s="45">
        <f>Sheet1!I10</f>
        <v/>
      </c>
      <c r="J10" s="5">
        <f>Sheet1!M10 &amp; "," &amp; TEXT(Sheet1!N10,"dd/mm/yy")</f>
        <v/>
      </c>
      <c r="K10" s="5" t="inlineStr">
        <is>
          <t>PRINTED</t>
        </is>
      </c>
      <c r="L10" s="30" t="inlineStr">
        <is>
          <t>13/09/2026</t>
        </is>
      </c>
      <c r="M10" s="30" t="inlineStr">
        <is>
          <t>MANISH KATARIA, VICE CONSUL</t>
        </is>
      </c>
      <c r="N10" s="30" t="inlineStr">
        <is>
          <t>26/02/2026</t>
        </is>
      </c>
    </row>
    <row r="11">
      <c r="A11" s="4">
        <f>Sheet1!A11 &amp; "/" &amp; "2025"</f>
        <v/>
      </c>
      <c r="B11" s="5">
        <f>Sheet1!E11</f>
        <v/>
      </c>
      <c r="C11" s="6">
        <f>UPPER(Sheet1!B11)</f>
        <v/>
      </c>
      <c r="D11" s="7">
        <f>IF(Sheet1!F11="F","FEMALE","MALE")</f>
        <v/>
      </c>
      <c r="E11" s="6">
        <f>UPPER(Sheet1!G11)</f>
        <v/>
      </c>
      <c r="F11" s="6">
        <f>UPPER(Sheet1!H11)</f>
        <v/>
      </c>
      <c r="G11" s="5">
        <f>TEXT(Sheet1!C11,"dd/mm/yyyy") &amp; "," &amp; Sheet1!D11</f>
        <v/>
      </c>
      <c r="H11" s="38">
        <f>UPPER(Sheet1!J11 &amp; "," &amp; Sheet1!K11 &amp; "," &amp; Sheet1!L11)</f>
        <v/>
      </c>
      <c r="I11" s="45">
        <f>Sheet1!I11</f>
        <v/>
      </c>
      <c r="J11" s="5">
        <f>Sheet1!M11 &amp; "," &amp; TEXT(Sheet1!N11,"dd/mm/yy")</f>
        <v/>
      </c>
      <c r="K11" s="5" t="inlineStr">
        <is>
          <t>PRINTED</t>
        </is>
      </c>
      <c r="L11" s="30" t="inlineStr">
        <is>
          <t>13/09/2026</t>
        </is>
      </c>
      <c r="M11" s="30" t="inlineStr">
        <is>
          <t>MANISH KATARIA, VICE CONSUL</t>
        </is>
      </c>
      <c r="N11" s="30" t="inlineStr">
        <is>
          <t>26/02/2026</t>
        </is>
      </c>
    </row>
    <row r="12">
      <c r="A12" s="4">
        <f>Sheet1!A12 &amp; "/" &amp; "2025"</f>
        <v/>
      </c>
      <c r="B12" s="5">
        <f>Sheet1!E12</f>
        <v/>
      </c>
      <c r="C12" s="6">
        <f>UPPER(Sheet1!B12)</f>
        <v/>
      </c>
      <c r="D12" s="7">
        <f>IF(Sheet1!F12="F","FEMALE","MALE")</f>
        <v/>
      </c>
      <c r="E12" s="6">
        <f>UPPER(Sheet1!G12)</f>
        <v/>
      </c>
      <c r="F12" s="6">
        <f>UPPER(Sheet1!H12)</f>
        <v/>
      </c>
      <c r="G12" s="5">
        <f>TEXT(Sheet1!C12,"dd/mm/yyyy") &amp; "," &amp; Sheet1!D12</f>
        <v/>
      </c>
      <c r="H12" s="38">
        <f>UPPER(Sheet1!J12 &amp; "," &amp; Sheet1!K12 &amp; "," &amp; Sheet1!L12)</f>
        <v/>
      </c>
      <c r="I12" s="45">
        <f>Sheet1!I12</f>
        <v/>
      </c>
      <c r="J12" s="5">
        <f>Sheet1!M12 &amp; "," &amp; TEXT(Sheet1!N12,"dd/mm/yy")</f>
        <v/>
      </c>
      <c r="K12" s="5" t="inlineStr">
        <is>
          <t>PRINTED</t>
        </is>
      </c>
      <c r="L12" s="30" t="inlineStr">
        <is>
          <t>13/09/2026</t>
        </is>
      </c>
      <c r="M12" s="30" t="inlineStr">
        <is>
          <t>MANISH KATARIA, VICE CONSUL</t>
        </is>
      </c>
      <c r="N12" s="30" t="inlineStr">
        <is>
          <t>26/02/2026</t>
        </is>
      </c>
    </row>
    <row r="13">
      <c r="A13" s="4">
        <f>Sheet1!A13 &amp; "/" &amp; "2025"</f>
        <v/>
      </c>
      <c r="B13" s="5">
        <f>Sheet1!E13</f>
        <v/>
      </c>
      <c r="C13" s="6">
        <f>UPPER(Sheet1!B13)</f>
        <v/>
      </c>
      <c r="D13" s="7">
        <f>IF(Sheet1!F13="F","FEMALE","MALE")</f>
        <v/>
      </c>
      <c r="E13" s="6">
        <f>UPPER(Sheet1!G13)</f>
        <v/>
      </c>
      <c r="F13" s="6">
        <f>UPPER(Sheet1!H13)</f>
        <v/>
      </c>
      <c r="G13" s="5">
        <f>TEXT(Sheet1!C13,"dd/mm/yyyy") &amp; "," &amp; Sheet1!D13</f>
        <v/>
      </c>
      <c r="H13" s="38">
        <f>UPPER(Sheet1!J13 &amp; "," &amp; Sheet1!K13 &amp; "," &amp; Sheet1!L13)</f>
        <v/>
      </c>
      <c r="I13" s="45">
        <f>Sheet1!I13</f>
        <v/>
      </c>
      <c r="J13" s="5">
        <f>Sheet1!M13 &amp; "," &amp; TEXT(Sheet1!N13,"dd/mm/yy")</f>
        <v/>
      </c>
      <c r="K13" s="5" t="inlineStr">
        <is>
          <t>PRINTED</t>
        </is>
      </c>
      <c r="L13" s="30" t="inlineStr">
        <is>
          <t>13/09/2026</t>
        </is>
      </c>
      <c r="M13" s="30" t="inlineStr">
        <is>
          <t>MANISH KATARIA, VICE CONSUL</t>
        </is>
      </c>
      <c r="N13" s="30" t="inlineStr">
        <is>
          <t>26/02/2026</t>
        </is>
      </c>
    </row>
    <row r="14">
      <c r="A14" s="4">
        <f>Sheet1!A14 &amp; "/" &amp; "2025"</f>
        <v/>
      </c>
      <c r="B14" s="5">
        <f>Sheet1!E14</f>
        <v/>
      </c>
      <c r="C14" s="6">
        <f>UPPER(Sheet1!B14)</f>
        <v/>
      </c>
      <c r="D14" s="7">
        <f>IF(Sheet1!F14="F","FEMALE","MALE")</f>
        <v/>
      </c>
      <c r="E14" s="6">
        <f>UPPER(Sheet1!G14)</f>
        <v/>
      </c>
      <c r="F14" s="6">
        <f>UPPER(Sheet1!H14)</f>
        <v/>
      </c>
      <c r="G14" s="5">
        <f>TEXT(Sheet1!C14,"dd/mm/yyyy") &amp; "," &amp; Sheet1!D14</f>
        <v/>
      </c>
      <c r="H14" s="38">
        <f>UPPER(Sheet1!J14 &amp; "," &amp; Sheet1!K14 &amp; "," &amp; Sheet1!L14)</f>
        <v/>
      </c>
      <c r="I14" s="45">
        <f>Sheet1!I14</f>
        <v/>
      </c>
      <c r="J14" s="5">
        <f>Sheet1!M14 &amp; "," &amp; TEXT(Sheet1!N14,"dd/mm/yy")</f>
        <v/>
      </c>
      <c r="K14" s="5" t="inlineStr">
        <is>
          <t>PRINTED</t>
        </is>
      </c>
      <c r="L14" s="30" t="inlineStr">
        <is>
          <t>13/09/2026</t>
        </is>
      </c>
      <c r="M14" s="30" t="inlineStr">
        <is>
          <t>MANISH KATARIA, VICE CONSUL</t>
        </is>
      </c>
      <c r="N14" s="30" t="inlineStr">
        <is>
          <t>26/02/2026</t>
        </is>
      </c>
    </row>
    <row r="15">
      <c r="A15" s="4">
        <f>Sheet1!A15 &amp; "/" &amp; "2025"</f>
        <v/>
      </c>
      <c r="B15" s="5">
        <f>Sheet1!E15</f>
        <v/>
      </c>
      <c r="C15" s="6">
        <f>UPPER(Sheet1!B15)</f>
        <v/>
      </c>
      <c r="D15" s="7">
        <f>IF(Sheet1!F15="F","FEMALE","MALE")</f>
        <v/>
      </c>
      <c r="E15" s="6">
        <f>UPPER(Sheet1!G15)</f>
        <v/>
      </c>
      <c r="F15" s="6">
        <f>UPPER(Sheet1!H15)</f>
        <v/>
      </c>
      <c r="G15" s="5">
        <f>TEXT(Sheet1!C15,"dd/mm/yyyy") &amp; "," &amp; Sheet1!D15</f>
        <v/>
      </c>
      <c r="H15" s="38">
        <f>UPPER(Sheet1!J15 &amp; "," &amp; Sheet1!K15 &amp; "," &amp; Sheet1!L15)</f>
        <v/>
      </c>
      <c r="I15" s="45">
        <f>Sheet1!I15</f>
        <v/>
      </c>
      <c r="J15" s="5">
        <f>Sheet1!M15 &amp; "," &amp; TEXT(Sheet1!N15,"dd/mm/yy")</f>
        <v/>
      </c>
      <c r="K15" s="5" t="inlineStr">
        <is>
          <t>PRINTED</t>
        </is>
      </c>
      <c r="L15" s="30" t="inlineStr">
        <is>
          <t>13/09/2026</t>
        </is>
      </c>
      <c r="M15" s="30" t="inlineStr">
        <is>
          <t>MANISH KATARIA, VICE CONSUL</t>
        </is>
      </c>
      <c r="N15" s="30" t="inlineStr">
        <is>
          <t>26/02/2026</t>
        </is>
      </c>
    </row>
    <row r="16">
      <c r="A16" s="4">
        <f>Sheet1!A16 &amp; "/" &amp; "2025"</f>
        <v/>
      </c>
      <c r="B16" s="5">
        <f>Sheet1!E16</f>
        <v/>
      </c>
      <c r="C16" s="6">
        <f>UPPER(Sheet1!B16)</f>
        <v/>
      </c>
      <c r="D16" s="7">
        <f>IF(Sheet1!F16="F","FEMALE","MALE")</f>
        <v/>
      </c>
      <c r="E16" s="6">
        <f>UPPER(Sheet1!G16)</f>
        <v/>
      </c>
      <c r="F16" s="6">
        <f>UPPER(Sheet1!H16)</f>
        <v/>
      </c>
      <c r="G16" s="5">
        <f>TEXT(Sheet1!C16,"dd/mm/yyyy") &amp; "," &amp; Sheet1!D16</f>
        <v/>
      </c>
      <c r="H16" s="38">
        <f>UPPER(Sheet1!J16 &amp; "," &amp; Sheet1!K16 &amp; "," &amp; Sheet1!L16)</f>
        <v/>
      </c>
      <c r="I16" s="45">
        <f>Sheet1!I16</f>
        <v/>
      </c>
      <c r="J16" s="5">
        <f>Sheet1!M16 &amp; "," &amp; TEXT(Sheet1!N16,"dd/mm/yy")</f>
        <v/>
      </c>
      <c r="K16" s="5" t="inlineStr">
        <is>
          <t>PRINTED</t>
        </is>
      </c>
      <c r="L16" s="30" t="inlineStr">
        <is>
          <t>13/09/2026</t>
        </is>
      </c>
      <c r="M16" s="30" t="inlineStr">
        <is>
          <t>MANISH KATARIA, VICE CONSUL</t>
        </is>
      </c>
      <c r="N16" s="30" t="inlineStr">
        <is>
          <t>26/02/2026</t>
        </is>
      </c>
    </row>
    <row r="17">
      <c r="A17" s="4">
        <f>Sheet1!A17 &amp; "/" &amp; "2025"</f>
        <v/>
      </c>
      <c r="B17" s="5">
        <f>Sheet1!E17</f>
        <v/>
      </c>
      <c r="C17" s="6">
        <f>UPPER(Sheet1!B17)</f>
        <v/>
      </c>
      <c r="D17" s="7">
        <f>IF(Sheet1!F17="F","FEMALE","MALE")</f>
        <v/>
      </c>
      <c r="E17" s="6">
        <f>UPPER(Sheet1!G17)</f>
        <v/>
      </c>
      <c r="F17" s="6">
        <f>UPPER(Sheet1!H17)</f>
        <v/>
      </c>
      <c r="G17" s="5">
        <f>TEXT(Sheet1!C17,"dd/mm/yyyy") &amp; "," &amp; Sheet1!D17</f>
        <v/>
      </c>
      <c r="H17" s="38">
        <f>UPPER(Sheet1!J17 &amp; "," &amp; Sheet1!K17 &amp; "," &amp; Sheet1!L17)</f>
        <v/>
      </c>
      <c r="I17" s="45">
        <f>Sheet1!I17</f>
        <v/>
      </c>
      <c r="J17" s="5">
        <f>Sheet1!M17 &amp; "," &amp; TEXT(Sheet1!N17,"dd/mm/yy")</f>
        <v/>
      </c>
      <c r="K17" s="5" t="inlineStr">
        <is>
          <t>PRINTED</t>
        </is>
      </c>
      <c r="L17" s="30" t="inlineStr">
        <is>
          <t>13/09/2026</t>
        </is>
      </c>
      <c r="M17" s="30" t="inlineStr">
        <is>
          <t>MANISH KATARIA, VICE CONSUL</t>
        </is>
      </c>
      <c r="N17" s="30" t="inlineStr">
        <is>
          <t>26/02/2026</t>
        </is>
      </c>
    </row>
    <row r="18">
      <c r="A18" s="4">
        <f>Sheet1!A18 &amp; "/" &amp; "2025"</f>
        <v/>
      </c>
      <c r="B18" s="5">
        <f>Sheet1!E18</f>
        <v/>
      </c>
      <c r="C18" s="6">
        <f>UPPER(Sheet1!B18)</f>
        <v/>
      </c>
      <c r="D18" s="7">
        <f>IF(Sheet1!F18="F","FEMALE","MALE")</f>
        <v/>
      </c>
      <c r="E18" s="6">
        <f>UPPER(Sheet1!G18)</f>
        <v/>
      </c>
      <c r="F18" s="6">
        <f>UPPER(Sheet1!H18)</f>
        <v/>
      </c>
      <c r="G18" s="5">
        <f>TEXT(Sheet1!C18,"dd/mm/yyyy") &amp; "," &amp; Sheet1!D18</f>
        <v/>
      </c>
      <c r="H18" s="38">
        <f>UPPER(Sheet1!J18 &amp; "," &amp; Sheet1!K18 &amp; "," &amp; Sheet1!L18)</f>
        <v/>
      </c>
      <c r="I18" s="45">
        <f>Sheet1!I18</f>
        <v/>
      </c>
      <c r="J18" s="5">
        <f>Sheet1!M18 &amp; "," &amp; TEXT(Sheet1!N18,"dd/mm/yy")</f>
        <v/>
      </c>
      <c r="K18" s="5" t="inlineStr">
        <is>
          <t>PRINTED</t>
        </is>
      </c>
      <c r="L18" s="30" t="inlineStr">
        <is>
          <t>13/09/2026</t>
        </is>
      </c>
      <c r="M18" s="30" t="inlineStr">
        <is>
          <t>MANISH KATARIA, VICE CONSUL</t>
        </is>
      </c>
      <c r="N18" s="30" t="inlineStr">
        <is>
          <t>26/02/2026</t>
        </is>
      </c>
    </row>
    <row r="19">
      <c r="A19" s="4">
        <f>Sheet1!A19 &amp; "/" &amp; "2025"</f>
        <v/>
      </c>
      <c r="B19" s="5">
        <f>Sheet1!E19</f>
        <v/>
      </c>
      <c r="C19" s="6">
        <f>UPPER(Sheet1!B19)</f>
        <v/>
      </c>
      <c r="D19" s="7">
        <f>IF(Sheet1!F19="F","FEMALE","MALE")</f>
        <v/>
      </c>
      <c r="E19" s="6">
        <f>UPPER(Sheet1!G19)</f>
        <v/>
      </c>
      <c r="F19" s="6">
        <f>UPPER(Sheet1!H19)</f>
        <v/>
      </c>
      <c r="G19" s="5">
        <f>TEXT(Sheet1!C19,"dd/mm/yyyy") &amp; "," &amp; Sheet1!D19</f>
        <v/>
      </c>
      <c r="H19" s="38">
        <f>UPPER(Sheet1!J19 &amp; "," &amp; Sheet1!K19 &amp; "," &amp; Sheet1!L19)</f>
        <v/>
      </c>
      <c r="I19" s="45">
        <f>Sheet1!I19</f>
        <v/>
      </c>
      <c r="J19" s="5">
        <f>Sheet1!M19 &amp; "," &amp; TEXT(Sheet1!N19,"dd/mm/yy")</f>
        <v/>
      </c>
      <c r="K19" s="5" t="inlineStr">
        <is>
          <t>PRINTED</t>
        </is>
      </c>
      <c r="L19" s="30" t="inlineStr">
        <is>
          <t>13/09/2026</t>
        </is>
      </c>
      <c r="M19" s="30" t="inlineStr">
        <is>
          <t>MANISH KATARIA, VICE CONSUL</t>
        </is>
      </c>
      <c r="N19" s="30" t="inlineStr">
        <is>
          <t>26/02/2026</t>
        </is>
      </c>
    </row>
    <row r="20">
      <c r="A20" s="4">
        <f>Sheet1!A20 &amp; "/" &amp; "2025"</f>
        <v/>
      </c>
      <c r="B20" s="5">
        <f>Sheet1!E20</f>
        <v/>
      </c>
      <c r="C20" s="6">
        <f>UPPER(Sheet1!B20)</f>
        <v/>
      </c>
      <c r="D20" s="7">
        <f>IF(Sheet1!F20="F","FEMALE","MALE")</f>
        <v/>
      </c>
      <c r="E20" s="6">
        <f>UPPER(Sheet1!G20)</f>
        <v/>
      </c>
      <c r="F20" s="6">
        <f>UPPER(Sheet1!H20)</f>
        <v/>
      </c>
      <c r="G20" s="5">
        <f>TEXT(Sheet1!C20,"dd/mm/yyyy") &amp; "," &amp; Sheet1!D20</f>
        <v/>
      </c>
      <c r="H20" s="38">
        <f>UPPER(Sheet1!J20 &amp; "," &amp; Sheet1!K20 &amp; "," &amp; Sheet1!L20)</f>
        <v/>
      </c>
      <c r="I20" s="45">
        <f>Sheet1!I20</f>
        <v/>
      </c>
      <c r="J20" s="5">
        <f>Sheet1!M20 &amp; "," &amp; TEXT(Sheet1!N20,"dd/mm/yy")</f>
        <v/>
      </c>
      <c r="K20" s="5" t="inlineStr">
        <is>
          <t>PRINTED</t>
        </is>
      </c>
      <c r="L20" s="30" t="inlineStr">
        <is>
          <t>13/09/2026</t>
        </is>
      </c>
      <c r="M20" s="30" t="inlineStr">
        <is>
          <t>MANISH KATARIA, VICE CONSUL</t>
        </is>
      </c>
      <c r="N20" s="30" t="inlineStr">
        <is>
          <t>26/02/2026</t>
        </is>
      </c>
    </row>
    <row r="21">
      <c r="A21" s="4">
        <f>Sheet1!A21 &amp; "/" &amp; "2025"</f>
        <v/>
      </c>
      <c r="B21" s="5">
        <f>Sheet1!E21</f>
        <v/>
      </c>
      <c r="C21" s="6">
        <f>UPPER(Sheet1!B21)</f>
        <v/>
      </c>
      <c r="D21" s="7">
        <f>IF(Sheet1!F21="F","FEMALE","MALE")</f>
        <v/>
      </c>
      <c r="E21" s="6">
        <f>UPPER(Sheet1!G21)</f>
        <v/>
      </c>
      <c r="F21" s="6">
        <f>UPPER(Sheet1!H21)</f>
        <v/>
      </c>
      <c r="G21" s="5">
        <f>TEXT(Sheet1!C21,"dd/mm/yyyy") &amp; "," &amp; Sheet1!D21</f>
        <v/>
      </c>
      <c r="H21" s="38">
        <f>UPPER(Sheet1!J21 &amp; "," &amp; Sheet1!K21 &amp; "," &amp; Sheet1!L21)</f>
        <v/>
      </c>
      <c r="I21" s="45">
        <f>Sheet1!I21</f>
        <v/>
      </c>
      <c r="J21" s="5">
        <f>Sheet1!M21 &amp; "," &amp; TEXT(Sheet1!N21,"dd/mm/yy")</f>
        <v/>
      </c>
      <c r="K21" s="5" t="inlineStr">
        <is>
          <t>PRINTED</t>
        </is>
      </c>
      <c r="L21" s="30" t="inlineStr">
        <is>
          <t>13/09/2026</t>
        </is>
      </c>
      <c r="M21" s="30" t="inlineStr">
        <is>
          <t>MANISH KATARIA, VICE CONSUL</t>
        </is>
      </c>
      <c r="N21" s="30" t="inlineStr">
        <is>
          <t>26/02/2026</t>
        </is>
      </c>
    </row>
    <row r="22">
      <c r="A22" s="4">
        <f>Sheet1!A22 &amp; "/" &amp; "2025"</f>
        <v/>
      </c>
      <c r="B22" s="5">
        <f>Sheet1!E22</f>
        <v/>
      </c>
      <c r="C22" s="6">
        <f>UPPER(Sheet1!B22)</f>
        <v/>
      </c>
      <c r="D22" s="7">
        <f>IF(Sheet1!F22="F","FEMALE","MALE")</f>
        <v/>
      </c>
      <c r="E22" s="6">
        <f>UPPER(Sheet1!G22)</f>
        <v/>
      </c>
      <c r="F22" s="6">
        <f>UPPER(Sheet1!H22)</f>
        <v/>
      </c>
      <c r="G22" s="5">
        <f>TEXT(Sheet1!C22,"dd/mm/yyyy") &amp; "," &amp; Sheet1!D22</f>
        <v/>
      </c>
      <c r="H22" s="38">
        <f>UPPER(Sheet1!J22 &amp; "," &amp; Sheet1!K22 &amp; "," &amp; Sheet1!L22)</f>
        <v/>
      </c>
      <c r="I22" s="45">
        <f>Sheet1!I22</f>
        <v/>
      </c>
      <c r="J22" s="5">
        <f>Sheet1!M22 &amp; "," &amp; TEXT(Sheet1!N22,"dd/mm/yy")</f>
        <v/>
      </c>
      <c r="K22" s="5" t="inlineStr">
        <is>
          <t>PRINTED</t>
        </is>
      </c>
      <c r="L22" s="30" t="inlineStr">
        <is>
          <t>13/09/2026</t>
        </is>
      </c>
      <c r="M22" s="30" t="inlineStr">
        <is>
          <t>MANISH KATARIA, VICE CONSUL</t>
        </is>
      </c>
      <c r="N22" s="30" t="inlineStr">
        <is>
          <t>26/02/2026</t>
        </is>
      </c>
    </row>
    <row r="23">
      <c r="A23" s="4">
        <f>Sheet1!A23 &amp; "/" &amp; "2025"</f>
        <v/>
      </c>
      <c r="B23" s="5">
        <f>Sheet1!E23</f>
        <v/>
      </c>
      <c r="C23" s="6">
        <f>UPPER(Sheet1!B23)</f>
        <v/>
      </c>
      <c r="D23" s="7">
        <f>IF(Sheet1!F23="F","FEMALE","MALE")</f>
        <v/>
      </c>
      <c r="E23" s="6">
        <f>UPPER(Sheet1!G23)</f>
        <v/>
      </c>
      <c r="F23" s="6">
        <f>UPPER(Sheet1!H23)</f>
        <v/>
      </c>
      <c r="G23" s="5">
        <f>TEXT(Sheet1!C23,"dd/mm/yyyy") &amp; "," &amp; Sheet1!D23</f>
        <v/>
      </c>
      <c r="H23" s="38">
        <f>UPPER(Sheet1!J23 &amp; "," &amp; Sheet1!K23 &amp; "," &amp; Sheet1!L23)</f>
        <v/>
      </c>
      <c r="I23" s="45">
        <f>Sheet1!I23</f>
        <v/>
      </c>
      <c r="J23" s="5">
        <f>Sheet1!M23 &amp; "," &amp; TEXT(Sheet1!N23,"dd/mm/yy")</f>
        <v/>
      </c>
      <c r="K23" s="5" t="inlineStr">
        <is>
          <t>PRINTED</t>
        </is>
      </c>
      <c r="L23" s="30" t="inlineStr">
        <is>
          <t>13/09/2026</t>
        </is>
      </c>
      <c r="M23" s="30" t="inlineStr">
        <is>
          <t>MANISH KATARIA, VICE CONSUL</t>
        </is>
      </c>
      <c r="N23" s="30" t="inlineStr">
        <is>
          <t>26/02/2026</t>
        </is>
      </c>
    </row>
    <row r="24">
      <c r="A24" s="4">
        <f>Sheet1!A24 &amp; "/" &amp; "2025"</f>
        <v/>
      </c>
      <c r="B24" s="5">
        <f>Sheet1!E24</f>
        <v/>
      </c>
      <c r="C24" s="6">
        <f>UPPER(Sheet1!B24)</f>
        <v/>
      </c>
      <c r="D24" s="7">
        <f>IF(Sheet1!F24="F","FEMALE","MALE")</f>
        <v/>
      </c>
      <c r="E24" s="6">
        <f>UPPER(Sheet1!G24)</f>
        <v/>
      </c>
      <c r="F24" s="6">
        <f>UPPER(Sheet1!H24)</f>
        <v/>
      </c>
      <c r="G24" s="5">
        <f>TEXT(Sheet1!C24,"dd/mm/yyyy") &amp; "," &amp; Sheet1!D24</f>
        <v/>
      </c>
      <c r="H24" s="38">
        <f>UPPER(Sheet1!J24 &amp; "," &amp; Sheet1!K24 &amp; "," &amp; Sheet1!L24)</f>
        <v/>
      </c>
      <c r="I24" s="45">
        <f>Sheet1!I24</f>
        <v/>
      </c>
      <c r="J24" s="5">
        <f>Sheet1!M24 &amp; "," &amp; TEXT(Sheet1!N24,"dd/mm/yy")</f>
        <v/>
      </c>
      <c r="K24" s="5" t="inlineStr">
        <is>
          <t>PRINTED</t>
        </is>
      </c>
      <c r="L24" s="30" t="inlineStr">
        <is>
          <t>13/09/2026</t>
        </is>
      </c>
      <c r="M24" s="30" t="inlineStr">
        <is>
          <t>MANISH KATARIA, VICE CONSUL</t>
        </is>
      </c>
      <c r="N24" s="30" t="inlineStr">
        <is>
          <t>26/02/2026</t>
        </is>
      </c>
    </row>
    <row r="25">
      <c r="A25" s="4">
        <f>Sheet1!A25 &amp; "/" &amp; "2025"</f>
        <v/>
      </c>
      <c r="B25" s="5">
        <f>Sheet1!E25</f>
        <v/>
      </c>
      <c r="C25" s="6">
        <f>UPPER(Sheet1!B25)</f>
        <v/>
      </c>
      <c r="D25" s="7">
        <f>IF(Sheet1!F25="F","FEMALE","MALE")</f>
        <v/>
      </c>
      <c r="E25" s="6">
        <f>UPPER(Sheet1!G25)</f>
        <v/>
      </c>
      <c r="F25" s="6">
        <f>UPPER(Sheet1!H25)</f>
        <v/>
      </c>
      <c r="G25" s="5">
        <f>TEXT(Sheet1!C25,"dd/mm/yyyy") &amp; "," &amp; Sheet1!D25</f>
        <v/>
      </c>
      <c r="H25" s="38">
        <f>UPPER(Sheet1!J25 &amp; "," &amp; Sheet1!K25 &amp; "," &amp; Sheet1!L25)</f>
        <v/>
      </c>
      <c r="I25" s="45">
        <f>Sheet1!I25</f>
        <v/>
      </c>
      <c r="J25" s="5">
        <f>Sheet1!M25 &amp; "," &amp; TEXT(Sheet1!N25,"dd/mm/yy")</f>
        <v/>
      </c>
      <c r="K25" s="5" t="inlineStr">
        <is>
          <t>PRINTED</t>
        </is>
      </c>
      <c r="L25" s="30" t="inlineStr">
        <is>
          <t>13/09/2026</t>
        </is>
      </c>
      <c r="M25" s="30" t="inlineStr">
        <is>
          <t>MANISH KATARIA, VICE CONSUL</t>
        </is>
      </c>
      <c r="N25" s="30" t="inlineStr">
        <is>
          <t>26/02/2026</t>
        </is>
      </c>
    </row>
    <row r="26">
      <c r="A26" s="4">
        <f>Sheet1!A26 &amp; "/" &amp; "2025"</f>
        <v/>
      </c>
      <c r="B26" s="5">
        <f>Sheet1!E26</f>
        <v/>
      </c>
      <c r="C26" s="6">
        <f>UPPER(Sheet1!B26)</f>
        <v/>
      </c>
      <c r="D26" s="7">
        <f>IF(Sheet1!F26="F","FEMALE","MALE")</f>
        <v/>
      </c>
      <c r="E26" s="6">
        <f>UPPER(Sheet1!G26)</f>
        <v/>
      </c>
      <c r="F26" s="6">
        <f>UPPER(Sheet1!H26)</f>
        <v/>
      </c>
      <c r="G26" s="5">
        <f>TEXT(Sheet1!C26,"dd/mm/yyyy") &amp; "," &amp; Sheet1!D26</f>
        <v/>
      </c>
      <c r="H26" s="38">
        <f>UPPER(Sheet1!J26 &amp; "," &amp; Sheet1!K26 &amp; "," &amp; Sheet1!L26)</f>
        <v/>
      </c>
      <c r="I26" s="45">
        <f>Sheet1!I26</f>
        <v/>
      </c>
      <c r="J26" s="5">
        <f>Sheet1!M26 &amp; "," &amp; TEXT(Sheet1!N26,"dd/mm/yy")</f>
        <v/>
      </c>
      <c r="K26" s="5" t="inlineStr">
        <is>
          <t>PRINTED</t>
        </is>
      </c>
      <c r="L26" s="30" t="inlineStr">
        <is>
          <t>13/09/2026</t>
        </is>
      </c>
      <c r="M26" s="30" t="inlineStr">
        <is>
          <t>MANISH KATARIA, VICE CONSUL</t>
        </is>
      </c>
      <c r="N26" s="30" t="inlineStr">
        <is>
          <t>26/02/2026</t>
        </is>
      </c>
    </row>
    <row r="27">
      <c r="A27" s="4">
        <f>Sheet1!A27 &amp; "/" &amp; "2025"</f>
        <v/>
      </c>
      <c r="B27" s="5">
        <f>Sheet1!E27</f>
        <v/>
      </c>
      <c r="C27" s="6">
        <f>UPPER(Sheet1!B27)</f>
        <v/>
      </c>
      <c r="D27" s="7">
        <f>IF(Sheet1!F27="F","FEMALE","MALE")</f>
        <v/>
      </c>
      <c r="E27" s="6">
        <f>UPPER(Sheet1!G27)</f>
        <v/>
      </c>
      <c r="F27" s="6">
        <f>UPPER(Sheet1!H27)</f>
        <v/>
      </c>
      <c r="G27" s="5">
        <f>TEXT(Sheet1!C27,"dd/mm/yyyy") &amp; "," &amp; Sheet1!D27</f>
        <v/>
      </c>
      <c r="H27" s="38">
        <f>UPPER(Sheet1!J27 &amp; "," &amp; Sheet1!K27 &amp; "," &amp; Sheet1!L27)</f>
        <v/>
      </c>
      <c r="I27" s="45">
        <f>Sheet1!I27</f>
        <v/>
      </c>
      <c r="J27" s="5">
        <f>Sheet1!M27 &amp; "," &amp; TEXT(Sheet1!N27,"dd/mm/yy")</f>
        <v/>
      </c>
      <c r="K27" s="5" t="inlineStr">
        <is>
          <t>PRINTED</t>
        </is>
      </c>
      <c r="L27" s="30" t="inlineStr">
        <is>
          <t>13/09/2026</t>
        </is>
      </c>
      <c r="M27" s="30" t="inlineStr">
        <is>
          <t>MANISH KATARIA, VICE CONSUL</t>
        </is>
      </c>
      <c r="N27" s="30" t="inlineStr">
        <is>
          <t>26/02/2026</t>
        </is>
      </c>
    </row>
    <row r="28">
      <c r="A28" s="4">
        <f>Sheet1!A28 &amp; "/" &amp; "2025"</f>
        <v/>
      </c>
      <c r="B28" s="5">
        <f>Sheet1!E28</f>
        <v/>
      </c>
      <c r="C28" s="6">
        <f>UPPER(Sheet1!B28)</f>
        <v/>
      </c>
      <c r="D28" s="7">
        <f>IF(Sheet1!F28="F","FEMALE","MALE")</f>
        <v/>
      </c>
      <c r="E28" s="6">
        <f>UPPER(Sheet1!G28)</f>
        <v/>
      </c>
      <c r="F28" s="6">
        <f>UPPER(Sheet1!H28)</f>
        <v/>
      </c>
      <c r="G28" s="5">
        <f>TEXT(Sheet1!C28,"dd/mm/yyyy") &amp; "," &amp; Sheet1!D28</f>
        <v/>
      </c>
      <c r="H28" s="38">
        <f>UPPER(Sheet1!J28 &amp; "," &amp; Sheet1!K28 &amp; "," &amp; Sheet1!L28)</f>
        <v/>
      </c>
      <c r="I28" s="45">
        <f>Sheet1!I28</f>
        <v/>
      </c>
      <c r="J28" s="5">
        <f>Sheet1!M28 &amp; "," &amp; TEXT(Sheet1!N28,"dd/mm/yy")</f>
        <v/>
      </c>
      <c r="K28" s="5" t="inlineStr">
        <is>
          <t>PRINTED</t>
        </is>
      </c>
      <c r="L28" s="30" t="inlineStr">
        <is>
          <t>13/09/2026</t>
        </is>
      </c>
      <c r="M28" s="30" t="inlineStr">
        <is>
          <t>MANISH KATARIA, VICE CONSUL</t>
        </is>
      </c>
      <c r="N28" s="30" t="inlineStr">
        <is>
          <t>26/02/2026</t>
        </is>
      </c>
    </row>
    <row r="29">
      <c r="A29" s="4">
        <f>Sheet1!A29 &amp; "/" &amp; "2025"</f>
        <v/>
      </c>
      <c r="B29" s="5">
        <f>Sheet1!E29</f>
        <v/>
      </c>
      <c r="C29" s="6">
        <f>UPPER(Sheet1!B29)</f>
        <v/>
      </c>
      <c r="D29" s="7">
        <f>IF(Sheet1!F29="F","FEMALE","MALE")</f>
        <v/>
      </c>
      <c r="E29" s="6">
        <f>UPPER(Sheet1!G29)</f>
        <v/>
      </c>
      <c r="F29" s="6">
        <f>UPPER(Sheet1!H29)</f>
        <v/>
      </c>
      <c r="G29" s="5">
        <f>TEXT(Sheet1!C29,"dd/mm/yyyy") &amp; "," &amp; Sheet1!D29</f>
        <v/>
      </c>
      <c r="H29" s="38">
        <f>UPPER(Sheet1!J29 &amp; "," &amp; Sheet1!K29 &amp; "," &amp; Sheet1!L29)</f>
        <v/>
      </c>
      <c r="I29" s="45">
        <f>Sheet1!I29</f>
        <v/>
      </c>
      <c r="J29" s="5">
        <f>Sheet1!M29 &amp; "," &amp; TEXT(Sheet1!N29,"dd/mm/yy")</f>
        <v/>
      </c>
      <c r="K29" s="5" t="inlineStr">
        <is>
          <t>PRINTED</t>
        </is>
      </c>
      <c r="L29" s="30" t="inlineStr">
        <is>
          <t>13/09/2026</t>
        </is>
      </c>
      <c r="M29" s="30" t="inlineStr">
        <is>
          <t>MANISH KATARIA, VICE CONSUL</t>
        </is>
      </c>
      <c r="N29" s="30" t="inlineStr">
        <is>
          <t>26/02/2026</t>
        </is>
      </c>
    </row>
    <row r="30">
      <c r="A30" s="4">
        <f>Sheet1!A30 &amp; "/" &amp; "2025"</f>
        <v/>
      </c>
      <c r="B30" s="5">
        <f>Sheet1!E30</f>
        <v/>
      </c>
      <c r="C30" s="6">
        <f>UPPER(Sheet1!B30)</f>
        <v/>
      </c>
      <c r="D30" s="7">
        <f>IF(Sheet1!F30="F","FEMALE","MALE")</f>
        <v/>
      </c>
      <c r="E30" s="6">
        <f>UPPER(Sheet1!G30)</f>
        <v/>
      </c>
      <c r="F30" s="6">
        <f>UPPER(Sheet1!H30)</f>
        <v/>
      </c>
      <c r="G30" s="5">
        <f>TEXT(Sheet1!C30,"dd/mm/yyyy") &amp; "," &amp; Sheet1!D30</f>
        <v/>
      </c>
      <c r="H30" s="38">
        <f>UPPER(Sheet1!J30 &amp; "," &amp; Sheet1!K30 &amp; "," &amp; Sheet1!L30)</f>
        <v/>
      </c>
      <c r="I30" s="45">
        <f>Sheet1!I30</f>
        <v/>
      </c>
      <c r="J30" s="5">
        <f>Sheet1!M30 &amp; "," &amp; TEXT(Sheet1!N30,"dd/mm/yy")</f>
        <v/>
      </c>
      <c r="K30" s="5" t="inlineStr">
        <is>
          <t>PRINTED</t>
        </is>
      </c>
      <c r="L30" s="30" t="inlineStr">
        <is>
          <t>13/09/2026</t>
        </is>
      </c>
      <c r="M30" s="30" t="inlineStr">
        <is>
          <t>MANISH KATARIA, VICE CONSUL</t>
        </is>
      </c>
      <c r="N30" s="30" t="inlineStr">
        <is>
          <t>26/02/2026</t>
        </is>
      </c>
    </row>
    <row r="31">
      <c r="A31" s="4">
        <f>Sheet1!A31 &amp; "/" &amp; "2025"</f>
        <v/>
      </c>
      <c r="B31" s="5">
        <f>Sheet1!E31</f>
        <v/>
      </c>
      <c r="C31" s="6">
        <f>UPPER(Sheet1!B31)</f>
        <v/>
      </c>
      <c r="D31" s="7">
        <f>IF(Sheet1!F31="F","FEMALE","MALE")</f>
        <v/>
      </c>
      <c r="E31" s="6">
        <f>UPPER(Sheet1!G31)</f>
        <v/>
      </c>
      <c r="F31" s="6">
        <f>UPPER(Sheet1!H31)</f>
        <v/>
      </c>
      <c r="G31" s="5">
        <f>TEXT(Sheet1!C31,"dd/mm/yyyy") &amp; "," &amp; Sheet1!D31</f>
        <v/>
      </c>
      <c r="H31" s="38">
        <f>UPPER(Sheet1!J31 &amp; "," &amp; Sheet1!K31 &amp; "," &amp; Sheet1!L31)</f>
        <v/>
      </c>
      <c r="I31" s="45">
        <f>Sheet1!I31</f>
        <v/>
      </c>
      <c r="J31" s="5">
        <f>Sheet1!M31 &amp; "," &amp; TEXT(Sheet1!N31,"dd/mm/yy")</f>
        <v/>
      </c>
      <c r="K31" s="5" t="inlineStr">
        <is>
          <t>PRINTED</t>
        </is>
      </c>
      <c r="L31" s="30" t="inlineStr">
        <is>
          <t>13/09/2026</t>
        </is>
      </c>
      <c r="M31" s="30" t="inlineStr">
        <is>
          <t>MANISH KATARIA, VICE CONSUL</t>
        </is>
      </c>
      <c r="N31" s="30" t="inlineStr">
        <is>
          <t>26/02/2026</t>
        </is>
      </c>
    </row>
    <row r="32">
      <c r="A32" s="4">
        <f>Sheet1!A32 &amp; "/" &amp; "2025"</f>
        <v/>
      </c>
      <c r="B32" s="5">
        <f>Sheet1!E32</f>
        <v/>
      </c>
      <c r="C32" s="6">
        <f>UPPER(Sheet1!B32)</f>
        <v/>
      </c>
      <c r="D32" s="7">
        <f>IF(Sheet1!F32="F","FEMALE","MALE")</f>
        <v/>
      </c>
      <c r="E32" s="6">
        <f>UPPER(Sheet1!G32)</f>
        <v/>
      </c>
      <c r="F32" s="6">
        <f>UPPER(Sheet1!H32)</f>
        <v/>
      </c>
      <c r="G32" s="5">
        <f>TEXT(Sheet1!C32,"dd/mm/yyyy") &amp; "," &amp; Sheet1!D32</f>
        <v/>
      </c>
      <c r="H32" s="38">
        <f>UPPER(Sheet1!J32 &amp; "," &amp; Sheet1!K32 &amp; "," &amp; Sheet1!L32)</f>
        <v/>
      </c>
      <c r="I32" s="45">
        <f>Sheet1!I32</f>
        <v/>
      </c>
      <c r="J32" s="5">
        <f>Sheet1!M32 &amp; "," &amp; TEXT(Sheet1!N32,"dd/mm/yy")</f>
        <v/>
      </c>
      <c r="K32" s="5" t="inlineStr">
        <is>
          <t>PRINTED</t>
        </is>
      </c>
      <c r="L32" s="30" t="inlineStr">
        <is>
          <t>13/09/2026</t>
        </is>
      </c>
      <c r="M32" s="30" t="inlineStr">
        <is>
          <t>MANISH KATARIA, VICE CONSUL</t>
        </is>
      </c>
      <c r="N32" s="30" t="inlineStr">
        <is>
          <t>26/02/2026</t>
        </is>
      </c>
    </row>
    <row r="33">
      <c r="A33" s="4">
        <f>Sheet1!A33 &amp; "/" &amp; "2025"</f>
        <v/>
      </c>
      <c r="B33" s="5">
        <f>Sheet1!E33</f>
        <v/>
      </c>
      <c r="C33" s="6">
        <f>UPPER(Sheet1!B33)</f>
        <v/>
      </c>
      <c r="D33" s="7">
        <f>IF(Sheet1!F33="F","FEMALE","MALE")</f>
        <v/>
      </c>
      <c r="E33" s="6">
        <f>UPPER(Sheet1!G33)</f>
        <v/>
      </c>
      <c r="F33" s="6">
        <f>UPPER(Sheet1!H33)</f>
        <v/>
      </c>
      <c r="G33" s="5">
        <f>TEXT(Sheet1!C33,"dd/mm/yyyy") &amp; "," &amp; Sheet1!D33</f>
        <v/>
      </c>
      <c r="H33" s="38">
        <f>UPPER(Sheet1!J33 &amp; "," &amp; Sheet1!K33 &amp; "," &amp; Sheet1!L33)</f>
        <v/>
      </c>
      <c r="I33" s="45">
        <f>Sheet1!I33</f>
        <v/>
      </c>
      <c r="J33" s="5">
        <f>Sheet1!M33 &amp; "," &amp; TEXT(Sheet1!N33,"dd/mm/yy")</f>
        <v/>
      </c>
      <c r="K33" s="5" t="inlineStr">
        <is>
          <t>PRINTED</t>
        </is>
      </c>
      <c r="L33" s="30" t="inlineStr">
        <is>
          <t>13/09/2026</t>
        </is>
      </c>
      <c r="M33" s="30" t="inlineStr">
        <is>
          <t>MANISH KATARIA, VICE CONSUL</t>
        </is>
      </c>
      <c r="N33" s="30" t="inlineStr">
        <is>
          <t>26/02/2026</t>
        </is>
      </c>
    </row>
    <row r="34">
      <c r="A34" s="4">
        <f>Sheet1!A34 &amp; "/" &amp; "2025"</f>
        <v/>
      </c>
      <c r="B34" s="5">
        <f>Sheet1!E34</f>
        <v/>
      </c>
      <c r="C34" s="6">
        <f>UPPER(Sheet1!B34)</f>
        <v/>
      </c>
      <c r="D34" s="7">
        <f>IF(Sheet1!F34="F","FEMALE","MALE")</f>
        <v/>
      </c>
      <c r="E34" s="6">
        <f>UPPER(Sheet1!G34)</f>
        <v/>
      </c>
      <c r="F34" s="6">
        <f>UPPER(Sheet1!H34)</f>
        <v/>
      </c>
      <c r="G34" s="5">
        <f>TEXT(Sheet1!C34,"dd/mm/yyyy") &amp; "," &amp; Sheet1!D34</f>
        <v/>
      </c>
      <c r="H34" s="38">
        <f>UPPER(Sheet1!J34 &amp; "," &amp; Sheet1!K34 &amp; "," &amp; Sheet1!L34)</f>
        <v/>
      </c>
      <c r="I34" s="45">
        <f>Sheet1!I34</f>
        <v/>
      </c>
      <c r="J34" s="5">
        <f>Sheet1!M34 &amp; "," &amp; TEXT(Sheet1!N34,"dd/mm/yy")</f>
        <v/>
      </c>
      <c r="K34" s="5" t="inlineStr">
        <is>
          <t>PRINTED</t>
        </is>
      </c>
      <c r="L34" s="30" t="inlineStr">
        <is>
          <t>13/09/2026</t>
        </is>
      </c>
      <c r="M34" s="30" t="inlineStr">
        <is>
          <t>MANISH KATARIA, VICE CONSUL</t>
        </is>
      </c>
      <c r="N34" s="30" t="inlineStr">
        <is>
          <t>26/02/2026</t>
        </is>
      </c>
    </row>
    <row r="35">
      <c r="A35" s="4">
        <f>Sheet1!A35 &amp; "/" &amp; "2025"</f>
        <v/>
      </c>
      <c r="B35" s="5">
        <f>Sheet1!E35</f>
        <v/>
      </c>
      <c r="C35" s="6">
        <f>UPPER(Sheet1!B35)</f>
        <v/>
      </c>
      <c r="D35" s="7">
        <f>IF(Sheet1!F35="F","FEMALE","MALE")</f>
        <v/>
      </c>
      <c r="E35" s="6">
        <f>UPPER(Sheet1!G35)</f>
        <v/>
      </c>
      <c r="F35" s="6">
        <f>UPPER(Sheet1!H35)</f>
        <v/>
      </c>
      <c r="G35" s="5">
        <f>TEXT(Sheet1!C35,"dd/mm/yyyy") &amp; "," &amp; Sheet1!D35</f>
        <v/>
      </c>
      <c r="H35" s="38">
        <f>UPPER(Sheet1!J35 &amp; "," &amp; Sheet1!K35 &amp; "," &amp; Sheet1!L35)</f>
        <v/>
      </c>
      <c r="I35" s="45">
        <f>Sheet1!I35</f>
        <v/>
      </c>
      <c r="J35" s="5">
        <f>Sheet1!M35 &amp; "," &amp; TEXT(Sheet1!N35,"dd/mm/yy")</f>
        <v/>
      </c>
      <c r="K35" s="5" t="inlineStr">
        <is>
          <t>PRINTED</t>
        </is>
      </c>
      <c r="L35" s="30" t="inlineStr">
        <is>
          <t>13/09/2026</t>
        </is>
      </c>
      <c r="M35" s="30" t="inlineStr">
        <is>
          <t>MANISH KATARIA, VICE CONSUL</t>
        </is>
      </c>
      <c r="N35" s="30" t="inlineStr">
        <is>
          <t>26/02/2026</t>
        </is>
      </c>
    </row>
    <row r="36">
      <c r="A36" s="4">
        <f>Sheet1!A36 &amp; "/" &amp; "2025"</f>
        <v/>
      </c>
      <c r="B36" s="5">
        <f>Sheet1!E36</f>
        <v/>
      </c>
      <c r="C36" s="6">
        <f>UPPER(Sheet1!B36)</f>
        <v/>
      </c>
      <c r="D36" s="7">
        <f>IF(Sheet1!F36="F","FEMALE","MALE")</f>
        <v/>
      </c>
      <c r="E36" s="6">
        <f>UPPER(Sheet1!G36)</f>
        <v/>
      </c>
      <c r="F36" s="6">
        <f>UPPER(Sheet1!H36)</f>
        <v/>
      </c>
      <c r="G36" s="5">
        <f>TEXT(Sheet1!C36,"dd/mm/yyyy") &amp; "," &amp; Sheet1!D36</f>
        <v/>
      </c>
      <c r="H36" s="38">
        <f>UPPER(Sheet1!J36 &amp; "," &amp; Sheet1!K36 &amp; "," &amp; Sheet1!L36)</f>
        <v/>
      </c>
      <c r="I36" s="45">
        <f>Sheet1!I36</f>
        <v/>
      </c>
      <c r="J36" s="5">
        <f>Sheet1!M36 &amp; "," &amp; TEXT(Sheet1!N36,"dd/mm/yy")</f>
        <v/>
      </c>
      <c r="K36" s="5" t="inlineStr">
        <is>
          <t>PRINTED</t>
        </is>
      </c>
      <c r="L36" s="30" t="inlineStr">
        <is>
          <t>13/09/2026</t>
        </is>
      </c>
      <c r="M36" s="30" t="inlineStr">
        <is>
          <t>MANISH KATARIA, VICE CONSUL</t>
        </is>
      </c>
      <c r="N36" s="30" t="inlineStr">
        <is>
          <t>26/02/2026</t>
        </is>
      </c>
    </row>
    <row r="37">
      <c r="A37" s="4">
        <f>Sheet1!A37 &amp; "/" &amp; "2025"</f>
        <v/>
      </c>
      <c r="B37" s="5">
        <f>Sheet1!E37</f>
        <v/>
      </c>
      <c r="C37" s="6">
        <f>UPPER(Sheet1!B37)</f>
        <v/>
      </c>
      <c r="D37" s="7">
        <f>IF(Sheet1!F37="F","FEMALE","MALE")</f>
        <v/>
      </c>
      <c r="E37" s="6">
        <f>UPPER(Sheet1!G37)</f>
        <v/>
      </c>
      <c r="F37" s="6">
        <f>UPPER(Sheet1!H37)</f>
        <v/>
      </c>
      <c r="G37" s="5">
        <f>TEXT(Sheet1!C37,"dd/mm/yyyy") &amp; "," &amp; Sheet1!D37</f>
        <v/>
      </c>
      <c r="H37" s="38">
        <f>UPPER(Sheet1!J37 &amp; "," &amp; Sheet1!K37 &amp; "," &amp; Sheet1!L37)</f>
        <v/>
      </c>
      <c r="I37" s="45">
        <f>Sheet1!I37</f>
        <v/>
      </c>
      <c r="J37" s="5">
        <f>Sheet1!M37 &amp; "," &amp; TEXT(Sheet1!N37,"dd/mm/yy")</f>
        <v/>
      </c>
      <c r="K37" s="5" t="inlineStr">
        <is>
          <t>PRINTED</t>
        </is>
      </c>
      <c r="L37" s="30" t="inlineStr">
        <is>
          <t>13/09/2026</t>
        </is>
      </c>
      <c r="M37" s="30" t="inlineStr">
        <is>
          <t>MANISH KATARIA, VICE CONSUL</t>
        </is>
      </c>
      <c r="N37" s="30" t="inlineStr">
        <is>
          <t>26/02/2026</t>
        </is>
      </c>
    </row>
    <row r="38">
      <c r="A38" s="4">
        <f>Sheet1!A38 &amp; "/" &amp; "2025"</f>
        <v/>
      </c>
      <c r="B38" s="5">
        <f>Sheet1!E38</f>
        <v/>
      </c>
      <c r="C38" s="6">
        <f>UPPER(Sheet1!B38)</f>
        <v/>
      </c>
      <c r="D38" s="7">
        <f>IF(Sheet1!F38="F","FEMALE","MALE")</f>
        <v/>
      </c>
      <c r="E38" s="6">
        <f>UPPER(Sheet1!G38)</f>
        <v/>
      </c>
      <c r="F38" s="6">
        <f>UPPER(Sheet1!H38)</f>
        <v/>
      </c>
      <c r="G38" s="5">
        <f>TEXT(Sheet1!C38,"dd/mm/yyyy") &amp; "," &amp; Sheet1!D38</f>
        <v/>
      </c>
      <c r="H38" s="38">
        <f>UPPER(Sheet1!J38 &amp; "," &amp; Sheet1!K38 &amp; "," &amp; Sheet1!L38)</f>
        <v/>
      </c>
      <c r="I38" s="45">
        <f>Sheet1!I38</f>
        <v/>
      </c>
      <c r="J38" s="5">
        <f>Sheet1!M38 &amp; "," &amp; TEXT(Sheet1!N38,"dd/mm/yy")</f>
        <v/>
      </c>
      <c r="K38" s="5" t="inlineStr">
        <is>
          <t>PRINTED</t>
        </is>
      </c>
      <c r="L38" s="30" t="inlineStr">
        <is>
          <t>13/09/2026</t>
        </is>
      </c>
      <c r="M38" s="30" t="inlineStr">
        <is>
          <t>MANISH KATARIA, VICE CONSUL</t>
        </is>
      </c>
      <c r="N38" s="30" t="inlineStr">
        <is>
          <t>26/02/2026</t>
        </is>
      </c>
    </row>
    <row r="39">
      <c r="A39" s="4">
        <f>Sheet1!A39 &amp; "/" &amp; "2025"</f>
        <v/>
      </c>
      <c r="B39" s="5">
        <f>Sheet1!E39</f>
        <v/>
      </c>
      <c r="C39" s="6">
        <f>UPPER(Sheet1!B39)</f>
        <v/>
      </c>
      <c r="D39" s="7">
        <f>IF(Sheet1!F39="F","FEMALE","MALE")</f>
        <v/>
      </c>
      <c r="E39" s="6">
        <f>UPPER(Sheet1!G39)</f>
        <v/>
      </c>
      <c r="F39" s="6">
        <f>UPPER(Sheet1!H39)</f>
        <v/>
      </c>
      <c r="G39" s="5">
        <f>TEXT(Sheet1!C39,"dd/mm/yyyy") &amp; "," &amp; Sheet1!D39</f>
        <v/>
      </c>
      <c r="H39" s="38">
        <f>UPPER(Sheet1!J39 &amp; "," &amp; Sheet1!K39 &amp; "," &amp; Sheet1!L39)</f>
        <v/>
      </c>
      <c r="I39" s="45">
        <f>Sheet1!I39</f>
        <v/>
      </c>
      <c r="J39" s="5">
        <f>Sheet1!M39 &amp; "," &amp; TEXT(Sheet1!N39,"dd/mm/yy")</f>
        <v/>
      </c>
      <c r="K39" s="5" t="inlineStr">
        <is>
          <t>PRINTED</t>
        </is>
      </c>
      <c r="L39" s="30" t="inlineStr">
        <is>
          <t>13/09/2026</t>
        </is>
      </c>
      <c r="M39" s="30" t="inlineStr">
        <is>
          <t>MANISH KATARIA, VICE CONSUL</t>
        </is>
      </c>
      <c r="N39" s="30" t="inlineStr">
        <is>
          <t>26/02/2026</t>
        </is>
      </c>
    </row>
    <row r="40">
      <c r="A40" s="4">
        <f>Sheet1!A40 &amp; "/" &amp; "2025"</f>
        <v/>
      </c>
      <c r="B40" s="5">
        <f>Sheet1!E40</f>
        <v/>
      </c>
      <c r="C40" s="6">
        <f>UPPER(Sheet1!B40)</f>
        <v/>
      </c>
      <c r="D40" s="7">
        <f>IF(Sheet1!F40="F","FEMALE","MALE")</f>
        <v/>
      </c>
      <c r="E40" s="6">
        <f>UPPER(Sheet1!G40)</f>
        <v/>
      </c>
      <c r="F40" s="6">
        <f>UPPER(Sheet1!H40)</f>
        <v/>
      </c>
      <c r="G40" s="5">
        <f>TEXT(Sheet1!C40,"dd/mm/yyyy") &amp; "," &amp; Sheet1!D40</f>
        <v/>
      </c>
      <c r="H40" s="38">
        <f>UPPER(Sheet1!J40 &amp; "," &amp; Sheet1!K40 &amp; "," &amp; Sheet1!L40)</f>
        <v/>
      </c>
      <c r="I40" s="45">
        <f>Sheet1!I40</f>
        <v/>
      </c>
      <c r="J40" s="5">
        <f>Sheet1!M40 &amp; "," &amp; TEXT(Sheet1!N40,"dd/mm/yy")</f>
        <v/>
      </c>
      <c r="K40" s="5" t="inlineStr">
        <is>
          <t>PRINTED</t>
        </is>
      </c>
      <c r="L40" s="30" t="inlineStr">
        <is>
          <t>13/09/2026</t>
        </is>
      </c>
      <c r="M40" s="30" t="inlineStr">
        <is>
          <t>MANISH KATARIA, VICE CONSUL</t>
        </is>
      </c>
      <c r="N40" s="30" t="inlineStr">
        <is>
          <t>26/02/2026</t>
        </is>
      </c>
    </row>
    <row r="41">
      <c r="A41" s="4">
        <f>Sheet1!A41 &amp; "/" &amp; "2025"</f>
        <v/>
      </c>
      <c r="B41" s="5">
        <f>Sheet1!E41</f>
        <v/>
      </c>
      <c r="C41" s="6">
        <f>UPPER(Sheet1!B41)</f>
        <v/>
      </c>
      <c r="D41" s="7">
        <f>IF(Sheet1!F41="F","FEMALE","MALE")</f>
        <v/>
      </c>
      <c r="E41" s="6">
        <f>UPPER(Sheet1!G41)</f>
        <v/>
      </c>
      <c r="F41" s="6">
        <f>UPPER(Sheet1!H41)</f>
        <v/>
      </c>
      <c r="G41" s="5">
        <f>TEXT(Sheet1!C41,"dd/mm/yyyy") &amp; "," &amp; Sheet1!D41</f>
        <v/>
      </c>
      <c r="H41" s="38">
        <f>UPPER(Sheet1!J41 &amp; "," &amp; Sheet1!K41 &amp; "," &amp; Sheet1!L41)</f>
        <v/>
      </c>
      <c r="I41" s="45">
        <f>Sheet1!I41</f>
        <v/>
      </c>
      <c r="J41" s="5">
        <f>Sheet1!M41 &amp; "," &amp; TEXT(Sheet1!N41,"dd/mm/yy")</f>
        <v/>
      </c>
      <c r="K41" s="5" t="inlineStr">
        <is>
          <t>PRINTED</t>
        </is>
      </c>
      <c r="L41" s="30" t="inlineStr">
        <is>
          <t>13/09/2026</t>
        </is>
      </c>
      <c r="M41" s="30" t="inlineStr">
        <is>
          <t>MANISH KATARIA, VICE CONSUL</t>
        </is>
      </c>
      <c r="N41" s="30" t="inlineStr">
        <is>
          <t>26/02/2026</t>
        </is>
      </c>
    </row>
    <row r="42">
      <c r="A42" s="4">
        <f>Sheet1!A42 &amp; "/" &amp; "2025"</f>
        <v/>
      </c>
      <c r="B42" s="5">
        <f>Sheet1!E42</f>
        <v/>
      </c>
      <c r="C42" s="6">
        <f>UPPER(Sheet1!B42)</f>
        <v/>
      </c>
      <c r="D42" s="7">
        <f>IF(Sheet1!F42="F","FEMALE","MALE")</f>
        <v/>
      </c>
      <c r="E42" s="6">
        <f>UPPER(Sheet1!G42)</f>
        <v/>
      </c>
      <c r="F42" s="6">
        <f>UPPER(Sheet1!H42)</f>
        <v/>
      </c>
      <c r="G42" s="5">
        <f>TEXT(Sheet1!C42,"dd/mm/yyyy") &amp; "," &amp; Sheet1!D42</f>
        <v/>
      </c>
      <c r="H42" s="38">
        <f>UPPER(Sheet1!J42 &amp; "," &amp; Sheet1!K42 &amp; "," &amp; Sheet1!L42)</f>
        <v/>
      </c>
      <c r="I42" s="45">
        <f>Sheet1!I42</f>
        <v/>
      </c>
      <c r="J42" s="5">
        <f>Sheet1!M42 &amp; "," &amp; TEXT(Sheet1!N42,"dd/mm/yy")</f>
        <v/>
      </c>
      <c r="K42" s="5" t="inlineStr">
        <is>
          <t>PRINTED</t>
        </is>
      </c>
      <c r="L42" s="30" t="inlineStr">
        <is>
          <t>13/09/2026</t>
        </is>
      </c>
      <c r="M42" s="30" t="inlineStr">
        <is>
          <t>MANISH KATARIA, VICE CONSUL</t>
        </is>
      </c>
      <c r="N42" s="30" t="inlineStr">
        <is>
          <t>26/02/2026</t>
        </is>
      </c>
    </row>
    <row r="43">
      <c r="A43" s="4">
        <f>Sheet1!A43 &amp; "/" &amp; "2025"</f>
        <v/>
      </c>
      <c r="B43" s="5">
        <f>Sheet1!E43</f>
        <v/>
      </c>
      <c r="C43" s="6">
        <f>UPPER(Sheet1!B43)</f>
        <v/>
      </c>
      <c r="D43" s="7">
        <f>IF(Sheet1!F43="F","FEMALE","MALE")</f>
        <v/>
      </c>
      <c r="E43" s="6">
        <f>UPPER(Sheet1!G43)</f>
        <v/>
      </c>
      <c r="F43" s="6">
        <f>UPPER(Sheet1!H43)</f>
        <v/>
      </c>
      <c r="G43" s="5">
        <f>TEXT(Sheet1!C43,"dd/mm/yyyy") &amp; "," &amp; Sheet1!D43</f>
        <v/>
      </c>
      <c r="H43" s="38">
        <f>UPPER(Sheet1!J43 &amp; "," &amp; Sheet1!K43 &amp; "," &amp; Sheet1!L43)</f>
        <v/>
      </c>
      <c r="I43" s="45">
        <f>Sheet1!I43</f>
        <v/>
      </c>
      <c r="J43" s="5">
        <f>Sheet1!M43 &amp; "," &amp; TEXT(Sheet1!N43,"dd/mm/yy")</f>
        <v/>
      </c>
      <c r="K43" s="5" t="inlineStr">
        <is>
          <t>PRINTED</t>
        </is>
      </c>
      <c r="L43" s="30" t="inlineStr">
        <is>
          <t>13/09/2026</t>
        </is>
      </c>
      <c r="M43" s="30" t="inlineStr">
        <is>
          <t>MANISH KATARIA, VICE CONSUL</t>
        </is>
      </c>
      <c r="N43" s="30" t="inlineStr">
        <is>
          <t>26/02/2026</t>
        </is>
      </c>
    </row>
    <row r="44">
      <c r="A44" s="4">
        <f>Sheet1!A44 &amp; "/" &amp; "2025"</f>
        <v/>
      </c>
      <c r="B44" s="5">
        <f>Sheet1!E44</f>
        <v/>
      </c>
      <c r="C44" s="6">
        <f>UPPER(Sheet1!B44)</f>
        <v/>
      </c>
      <c r="D44" s="7">
        <f>IF(Sheet1!F44="F","FEMALE","MALE")</f>
        <v/>
      </c>
      <c r="E44" s="6">
        <f>UPPER(Sheet1!G44)</f>
        <v/>
      </c>
      <c r="F44" s="6">
        <f>UPPER(Sheet1!H44)</f>
        <v/>
      </c>
      <c r="G44" s="5">
        <f>TEXT(Sheet1!C44,"dd/mm/yyyy") &amp; "," &amp; Sheet1!D44</f>
        <v/>
      </c>
      <c r="H44" s="38">
        <f>UPPER(Sheet1!J44 &amp; "," &amp; Sheet1!K44 &amp; "," &amp; Sheet1!L44)</f>
        <v/>
      </c>
      <c r="I44" s="45">
        <f>Sheet1!I44</f>
        <v/>
      </c>
      <c r="J44" s="5">
        <f>Sheet1!M44 &amp; "," &amp; TEXT(Sheet1!N44,"dd/mm/yy")</f>
        <v/>
      </c>
      <c r="K44" s="5" t="inlineStr">
        <is>
          <t>PRINTED</t>
        </is>
      </c>
      <c r="L44" s="30" t="inlineStr">
        <is>
          <t>13/09/2026</t>
        </is>
      </c>
      <c r="M44" s="30" t="inlineStr">
        <is>
          <t>MANISH KATARIA, VICE CONSUL</t>
        </is>
      </c>
      <c r="N44" s="30" t="inlineStr">
        <is>
          <t>26/02/2026</t>
        </is>
      </c>
    </row>
    <row r="45">
      <c r="A45" s="4">
        <f>Sheet1!A45 &amp; "/" &amp; "2025"</f>
        <v/>
      </c>
      <c r="B45" s="5">
        <f>Sheet1!E45</f>
        <v/>
      </c>
      <c r="C45" s="6">
        <f>UPPER(Sheet1!B45)</f>
        <v/>
      </c>
      <c r="D45" s="7">
        <f>IF(Sheet1!F45="F","FEMALE","MALE")</f>
        <v/>
      </c>
      <c r="E45" s="6">
        <f>UPPER(Sheet1!G45)</f>
        <v/>
      </c>
      <c r="F45" s="6">
        <f>UPPER(Sheet1!H45)</f>
        <v/>
      </c>
      <c r="G45" s="5">
        <f>TEXT(Sheet1!C45,"dd/mm/yyyy") &amp; "," &amp; Sheet1!D45</f>
        <v/>
      </c>
      <c r="H45" s="38">
        <f>UPPER(Sheet1!J45 &amp; "," &amp; Sheet1!K45 &amp; "," &amp; Sheet1!L45)</f>
        <v/>
      </c>
      <c r="I45" s="45">
        <f>Sheet1!I45</f>
        <v/>
      </c>
      <c r="J45" s="5">
        <f>Sheet1!M45 &amp; "," &amp; TEXT(Sheet1!N45,"dd/mm/yy")</f>
        <v/>
      </c>
      <c r="K45" s="5" t="inlineStr">
        <is>
          <t>PRINTED</t>
        </is>
      </c>
      <c r="L45" s="30" t="inlineStr">
        <is>
          <t>13/09/2026</t>
        </is>
      </c>
      <c r="M45" s="30" t="inlineStr">
        <is>
          <t>MANISH KATARIA, VICE CONSUL</t>
        </is>
      </c>
      <c r="N45" s="30" t="inlineStr">
        <is>
          <t>26/02/2026</t>
        </is>
      </c>
    </row>
    <row r="46">
      <c r="A46" s="4">
        <f>Sheet1!A46 &amp; "/" &amp; "2025"</f>
        <v/>
      </c>
      <c r="B46" s="5">
        <f>Sheet1!E46</f>
        <v/>
      </c>
      <c r="C46" s="6">
        <f>UPPER(Sheet1!B46)</f>
        <v/>
      </c>
      <c r="D46" s="7">
        <f>IF(Sheet1!F46="F","FEMALE","MALE")</f>
        <v/>
      </c>
      <c r="E46" s="6">
        <f>UPPER(Sheet1!G46)</f>
        <v/>
      </c>
      <c r="F46" s="6">
        <f>UPPER(Sheet1!H46)</f>
        <v/>
      </c>
      <c r="G46" s="5">
        <f>TEXT(Sheet1!C46,"dd/mm/yyyy") &amp; "," &amp; Sheet1!D46</f>
        <v/>
      </c>
      <c r="H46" s="38">
        <f>UPPER(Sheet1!J46 &amp; "," &amp; Sheet1!K46 &amp; "," &amp; Sheet1!L46)</f>
        <v/>
      </c>
      <c r="I46" s="45">
        <f>Sheet1!I46</f>
        <v/>
      </c>
      <c r="J46" s="5">
        <f>Sheet1!M46 &amp; "," &amp; TEXT(Sheet1!N46,"dd/mm/yy")</f>
        <v/>
      </c>
      <c r="K46" s="5" t="inlineStr">
        <is>
          <t>PRINTED</t>
        </is>
      </c>
      <c r="L46" s="30" t="inlineStr">
        <is>
          <t>13/09/2026</t>
        </is>
      </c>
      <c r="M46" s="30" t="inlineStr">
        <is>
          <t>MANISH KATARIA, VICE CONSUL</t>
        </is>
      </c>
      <c r="N46" s="30" t="inlineStr">
        <is>
          <t>26/02/2026</t>
        </is>
      </c>
    </row>
    <row r="47">
      <c r="A47" s="4">
        <f>Sheet1!A47 &amp; "/" &amp; "2025"</f>
        <v/>
      </c>
      <c r="B47" s="5">
        <f>Sheet1!E47</f>
        <v/>
      </c>
      <c r="C47" s="6">
        <f>UPPER(Sheet1!B47)</f>
        <v/>
      </c>
      <c r="D47" s="7">
        <f>IF(Sheet1!F47="F","FEMALE","MALE")</f>
        <v/>
      </c>
      <c r="E47" s="6">
        <f>UPPER(Sheet1!G47)</f>
        <v/>
      </c>
      <c r="F47" s="6">
        <f>UPPER(Sheet1!H47)</f>
        <v/>
      </c>
      <c r="G47" s="5">
        <f>TEXT(Sheet1!C47,"dd/mm/yyyy") &amp; "," &amp; Sheet1!D47</f>
        <v/>
      </c>
      <c r="H47" s="38">
        <f>UPPER(Sheet1!J47 &amp; "," &amp; Sheet1!K47 &amp; "," &amp; Sheet1!L47)</f>
        <v/>
      </c>
      <c r="I47" s="45">
        <f>Sheet1!I47</f>
        <v/>
      </c>
      <c r="J47" s="5">
        <f>Sheet1!M47 &amp; "," &amp; TEXT(Sheet1!N47,"dd/mm/yy")</f>
        <v/>
      </c>
      <c r="K47" s="5" t="inlineStr">
        <is>
          <t>PRINTED</t>
        </is>
      </c>
      <c r="L47" s="30" t="inlineStr">
        <is>
          <t>13/09/2026</t>
        </is>
      </c>
      <c r="M47" s="30" t="inlineStr">
        <is>
          <t>MANISH KATARIA, VICE CONSUL</t>
        </is>
      </c>
      <c r="N47" s="30" t="inlineStr">
        <is>
          <t>26/02/2026</t>
        </is>
      </c>
    </row>
    <row r="48">
      <c r="A48" s="4">
        <f>Sheet1!A48 &amp; "/" &amp; "2025"</f>
        <v/>
      </c>
      <c r="B48" s="5">
        <f>Sheet1!E48</f>
        <v/>
      </c>
      <c r="C48" s="6">
        <f>UPPER(Sheet1!B48)</f>
        <v/>
      </c>
      <c r="D48" s="7">
        <f>IF(Sheet1!F48="F","FEMALE","MALE")</f>
        <v/>
      </c>
      <c r="E48" s="6">
        <f>UPPER(Sheet1!G48)</f>
        <v/>
      </c>
      <c r="F48" s="6">
        <f>UPPER(Sheet1!H48)</f>
        <v/>
      </c>
      <c r="G48" s="5">
        <f>TEXT(Sheet1!C48,"dd/mm/yyyy") &amp; "," &amp; Sheet1!D48</f>
        <v/>
      </c>
      <c r="H48" s="38">
        <f>UPPER(Sheet1!J48 &amp; "," &amp; Sheet1!K48 &amp; "," &amp; Sheet1!L48)</f>
        <v/>
      </c>
      <c r="I48" s="45">
        <f>Sheet1!I48</f>
        <v/>
      </c>
      <c r="J48" s="5">
        <f>Sheet1!M48 &amp; "," &amp; TEXT(Sheet1!N48,"dd/mm/yy")</f>
        <v/>
      </c>
      <c r="K48" s="5" t="inlineStr">
        <is>
          <t>PRINTED</t>
        </is>
      </c>
      <c r="L48" s="30" t="inlineStr">
        <is>
          <t>13/09/2026</t>
        </is>
      </c>
      <c r="M48" s="30" t="inlineStr">
        <is>
          <t>MANISH KATARIA, VICE CONSUL</t>
        </is>
      </c>
      <c r="N48" s="30" t="inlineStr">
        <is>
          <t>26/02/2026</t>
        </is>
      </c>
    </row>
    <row r="49">
      <c r="A49" s="4">
        <f>Sheet1!A49 &amp; "/" &amp; "2025"</f>
        <v/>
      </c>
      <c r="B49" s="5">
        <f>Sheet1!E49</f>
        <v/>
      </c>
      <c r="C49" s="6">
        <f>UPPER(Sheet1!B49)</f>
        <v/>
      </c>
      <c r="D49" s="7">
        <f>IF(Sheet1!F49="F","FEMALE","MALE")</f>
        <v/>
      </c>
      <c r="E49" s="6">
        <f>UPPER(Sheet1!G49)</f>
        <v/>
      </c>
      <c r="F49" s="6">
        <f>UPPER(Sheet1!H49)</f>
        <v/>
      </c>
      <c r="G49" s="5">
        <f>TEXT(Sheet1!C49,"dd/mm/yyyy") &amp; "," &amp; Sheet1!D49</f>
        <v/>
      </c>
      <c r="H49" s="38">
        <f>UPPER(Sheet1!J49 &amp; "," &amp; Sheet1!K49 &amp; "," &amp; Sheet1!L49)</f>
        <v/>
      </c>
      <c r="I49" s="45">
        <f>Sheet1!I49</f>
        <v/>
      </c>
      <c r="J49" s="5">
        <f>Sheet1!M49 &amp; "," &amp; TEXT(Sheet1!N49,"dd/mm/yy")</f>
        <v/>
      </c>
      <c r="K49" s="5" t="inlineStr">
        <is>
          <t>PRINTED</t>
        </is>
      </c>
      <c r="L49" s="30" t="inlineStr">
        <is>
          <t>13/09/2026</t>
        </is>
      </c>
      <c r="M49" s="30" t="inlineStr">
        <is>
          <t>MANISH KATARIA, VICE CONSUL</t>
        </is>
      </c>
      <c r="N49" s="30" t="inlineStr">
        <is>
          <t>26/02/2026</t>
        </is>
      </c>
    </row>
    <row r="50">
      <c r="A50" s="4">
        <f>Sheet1!A50 &amp; "/" &amp; "2025"</f>
        <v/>
      </c>
      <c r="B50" s="5">
        <f>Sheet1!E50</f>
        <v/>
      </c>
      <c r="C50" s="6">
        <f>UPPER(Sheet1!B50)</f>
        <v/>
      </c>
      <c r="D50" s="7">
        <f>IF(Sheet1!F50="F","FEMALE","MALE")</f>
        <v/>
      </c>
      <c r="E50" s="6">
        <f>UPPER(Sheet1!G50)</f>
        <v/>
      </c>
      <c r="F50" s="6">
        <f>UPPER(Sheet1!H50)</f>
        <v/>
      </c>
      <c r="G50" s="5">
        <f>TEXT(Sheet1!C50,"dd/mm/yyyy") &amp; "," &amp; Sheet1!D50</f>
        <v/>
      </c>
      <c r="H50" s="38">
        <f>UPPER(Sheet1!J50 &amp; "," &amp; Sheet1!K50 &amp; "," &amp; Sheet1!L50)</f>
        <v/>
      </c>
      <c r="I50" s="45">
        <f>Sheet1!I50</f>
        <v/>
      </c>
      <c r="J50" s="5">
        <f>Sheet1!M50 &amp; "," &amp; TEXT(Sheet1!N50,"dd/mm/yy")</f>
        <v/>
      </c>
      <c r="K50" s="5" t="inlineStr">
        <is>
          <t>PRINTED</t>
        </is>
      </c>
      <c r="L50" s="30" t="inlineStr">
        <is>
          <t>13/09/2026</t>
        </is>
      </c>
      <c r="M50" s="30" t="inlineStr">
        <is>
          <t>MANISH KATARIA, VICE CONSUL</t>
        </is>
      </c>
      <c r="N50" s="30" t="inlineStr">
        <is>
          <t>26/02/2026</t>
        </is>
      </c>
    </row>
    <row r="51">
      <c r="A51" s="4">
        <f>Sheet1!A51 &amp; "/" &amp; "2025"</f>
        <v/>
      </c>
      <c r="B51" s="5">
        <f>Sheet1!E51</f>
        <v/>
      </c>
      <c r="C51" s="6">
        <f>UPPER(Sheet1!B51)</f>
        <v/>
      </c>
      <c r="D51" s="7">
        <f>IF(Sheet1!F51="F","FEMALE","MALE")</f>
        <v/>
      </c>
      <c r="E51" s="6">
        <f>UPPER(Sheet1!G51)</f>
        <v/>
      </c>
      <c r="F51" s="6">
        <f>UPPER(Sheet1!H51)</f>
        <v/>
      </c>
      <c r="G51" s="5">
        <f>TEXT(Sheet1!C51,"dd/mm/yyyy") &amp; "," &amp; Sheet1!D51</f>
        <v/>
      </c>
      <c r="H51" s="38">
        <f>UPPER(Sheet1!J51 &amp; "," &amp; Sheet1!K51 &amp; "," &amp; Sheet1!L51)</f>
        <v/>
      </c>
      <c r="I51" s="45">
        <f>Sheet1!I51</f>
        <v/>
      </c>
      <c r="J51" s="5">
        <f>Sheet1!M51 &amp; "," &amp; TEXT(Sheet1!N51,"dd/mm/yy")</f>
        <v/>
      </c>
      <c r="K51" s="5" t="inlineStr">
        <is>
          <t>PRINTED</t>
        </is>
      </c>
      <c r="L51" s="30" t="inlineStr">
        <is>
          <t>13/09/2026</t>
        </is>
      </c>
      <c r="M51" s="30" t="inlineStr">
        <is>
          <t>MANISH KATARIA, VICE CONSUL</t>
        </is>
      </c>
      <c r="N51" s="30" t="inlineStr">
        <is>
          <t>26/02/2026</t>
        </is>
      </c>
    </row>
    <row r="52">
      <c r="A52" s="4">
        <f>Sheet1!A52 &amp; "/" &amp; "2025"</f>
        <v/>
      </c>
      <c r="B52" s="5">
        <f>Sheet1!E52</f>
        <v/>
      </c>
      <c r="C52" s="6">
        <f>UPPER(Sheet1!B52)</f>
        <v/>
      </c>
      <c r="D52" s="7">
        <f>IF(Sheet1!F52="F","FEMALE","MALE")</f>
        <v/>
      </c>
      <c r="E52" s="6">
        <f>UPPER(Sheet1!G52)</f>
        <v/>
      </c>
      <c r="F52" s="6">
        <f>UPPER(Sheet1!H52)</f>
        <v/>
      </c>
      <c r="G52" s="5">
        <f>TEXT(Sheet1!C52,"dd/mm/yyyy") &amp; "," &amp; Sheet1!D52</f>
        <v/>
      </c>
      <c r="H52" s="38">
        <f>UPPER(Sheet1!J52 &amp; "," &amp; Sheet1!K52 &amp; "," &amp; Sheet1!L52)</f>
        <v/>
      </c>
      <c r="I52" s="45">
        <f>Sheet1!I52</f>
        <v/>
      </c>
      <c r="J52" s="5">
        <f>Sheet1!M52 &amp; "," &amp; TEXT(Sheet1!N52,"dd/mm/yy")</f>
        <v/>
      </c>
      <c r="K52" s="5" t="inlineStr">
        <is>
          <t>PRINTED</t>
        </is>
      </c>
      <c r="L52" s="30" t="inlineStr">
        <is>
          <t>13/09/2026</t>
        </is>
      </c>
      <c r="M52" s="30" t="inlineStr">
        <is>
          <t>MANISH KATARIA, VICE CONSUL</t>
        </is>
      </c>
      <c r="N52" s="30" t="inlineStr">
        <is>
          <t>26/02/2026</t>
        </is>
      </c>
    </row>
    <row r="53">
      <c r="A53" s="4">
        <f>Sheet1!A53 &amp; "/" &amp; "2025"</f>
        <v/>
      </c>
      <c r="B53" s="5">
        <f>Sheet1!E53</f>
        <v/>
      </c>
      <c r="C53" s="6">
        <f>UPPER(Sheet1!B53)</f>
        <v/>
      </c>
      <c r="D53" s="7">
        <f>IF(Sheet1!F53="F","FEMALE","MALE")</f>
        <v/>
      </c>
      <c r="E53" s="6">
        <f>UPPER(Sheet1!G53)</f>
        <v/>
      </c>
      <c r="F53" s="6">
        <f>UPPER(Sheet1!H53)</f>
        <v/>
      </c>
      <c r="G53" s="5">
        <f>TEXT(Sheet1!C53,"dd/mm/yyyy") &amp; "," &amp; Sheet1!D53</f>
        <v/>
      </c>
      <c r="H53" s="38">
        <f>UPPER(Sheet1!J53 &amp; "," &amp; Sheet1!K53 &amp; "," &amp; Sheet1!L53)</f>
        <v/>
      </c>
      <c r="I53" s="45">
        <f>Sheet1!I53</f>
        <v/>
      </c>
      <c r="J53" s="5">
        <f>Sheet1!M53 &amp; "," &amp; TEXT(Sheet1!N53,"dd/mm/yy")</f>
        <v/>
      </c>
      <c r="K53" s="5" t="inlineStr">
        <is>
          <t>PRINTED</t>
        </is>
      </c>
      <c r="L53" s="30" t="inlineStr">
        <is>
          <t>13/09/2026</t>
        </is>
      </c>
      <c r="M53" s="30" t="inlineStr">
        <is>
          <t>MANISH KATARIA, VICE CONSUL</t>
        </is>
      </c>
      <c r="N53" s="30" t="inlineStr">
        <is>
          <t>26/02/2026</t>
        </is>
      </c>
    </row>
    <row r="54">
      <c r="A54" s="4">
        <f>Sheet1!A54 &amp; "/" &amp; "2025"</f>
        <v/>
      </c>
      <c r="B54" s="5">
        <f>Sheet1!E54</f>
        <v/>
      </c>
      <c r="C54" s="6">
        <f>UPPER(Sheet1!B54)</f>
        <v/>
      </c>
      <c r="D54" s="7">
        <f>IF(Sheet1!F54="F","FEMALE","MALE")</f>
        <v/>
      </c>
      <c r="E54" s="6">
        <f>UPPER(Sheet1!G54)</f>
        <v/>
      </c>
      <c r="F54" s="6">
        <f>UPPER(Sheet1!H54)</f>
        <v/>
      </c>
      <c r="G54" s="5">
        <f>TEXT(Sheet1!C54,"dd/mm/yyyy") &amp; "," &amp; Sheet1!D54</f>
        <v/>
      </c>
      <c r="H54" s="38">
        <f>UPPER(Sheet1!J54 &amp; "," &amp; Sheet1!K54 &amp; "," &amp; Sheet1!L54)</f>
        <v/>
      </c>
      <c r="I54" s="45">
        <f>Sheet1!I54</f>
        <v/>
      </c>
      <c r="J54" s="5">
        <f>Sheet1!M54 &amp; "," &amp; TEXT(Sheet1!N54,"dd/mm/yy")</f>
        <v/>
      </c>
      <c r="K54" s="5" t="inlineStr">
        <is>
          <t>PRINTED</t>
        </is>
      </c>
      <c r="L54" s="30" t="inlineStr">
        <is>
          <t>13/09/2026</t>
        </is>
      </c>
      <c r="M54" s="30" t="inlineStr">
        <is>
          <t>MANISH KATARIA, VICE CONSUL</t>
        </is>
      </c>
      <c r="N54" s="30" t="inlineStr">
        <is>
          <t>26/02/2026</t>
        </is>
      </c>
    </row>
    <row r="55">
      <c r="A55" s="4">
        <f>Sheet1!A55 &amp; "/" &amp; "2025"</f>
        <v/>
      </c>
      <c r="B55" s="5">
        <f>Sheet1!E55</f>
        <v/>
      </c>
      <c r="C55" s="6">
        <f>UPPER(Sheet1!B55)</f>
        <v/>
      </c>
      <c r="D55" s="7">
        <f>IF(Sheet1!F55="F","FEMALE","MALE")</f>
        <v/>
      </c>
      <c r="E55" s="6">
        <f>UPPER(Sheet1!G55)</f>
        <v/>
      </c>
      <c r="F55" s="6">
        <f>UPPER(Sheet1!H55)</f>
        <v/>
      </c>
      <c r="G55" s="5">
        <f>TEXT(Sheet1!C55,"dd/mm/yyyy") &amp; "," &amp; Sheet1!D55</f>
        <v/>
      </c>
      <c r="H55" s="38">
        <f>UPPER(Sheet1!J55 &amp; "," &amp; Sheet1!K55 &amp; "," &amp; Sheet1!L55)</f>
        <v/>
      </c>
      <c r="I55" s="45">
        <f>Sheet1!I55</f>
        <v/>
      </c>
      <c r="J55" s="5">
        <f>Sheet1!M55 &amp; "," &amp; TEXT(Sheet1!N55,"dd/mm/yy")</f>
        <v/>
      </c>
      <c r="K55" s="5" t="inlineStr">
        <is>
          <t>PRINTED</t>
        </is>
      </c>
      <c r="L55" s="30" t="inlineStr">
        <is>
          <t>13/09/2026</t>
        </is>
      </c>
      <c r="M55" s="30" t="inlineStr">
        <is>
          <t>MANISH KATARIA, VICE CONSUL</t>
        </is>
      </c>
      <c r="N55" s="30" t="inlineStr">
        <is>
          <t>26/02/2026</t>
        </is>
      </c>
    </row>
    <row r="56">
      <c r="A56" s="4">
        <f>Sheet1!A56 &amp; "/" &amp; "2025"</f>
        <v/>
      </c>
      <c r="B56" s="5">
        <f>Sheet1!E56</f>
        <v/>
      </c>
      <c r="C56" s="6">
        <f>UPPER(Sheet1!B56)</f>
        <v/>
      </c>
      <c r="D56" s="7">
        <f>IF(Sheet1!F56="F","FEMALE","MALE")</f>
        <v/>
      </c>
      <c r="E56" s="6">
        <f>UPPER(Sheet1!G56)</f>
        <v/>
      </c>
      <c r="F56" s="6">
        <f>UPPER(Sheet1!H56)</f>
        <v/>
      </c>
      <c r="G56" s="5">
        <f>TEXT(Sheet1!C56,"dd/mm/yyyy") &amp; "," &amp; Sheet1!D56</f>
        <v/>
      </c>
      <c r="H56" s="38">
        <f>UPPER(Sheet1!J56 &amp; "," &amp; Sheet1!K56 &amp; "," &amp; Sheet1!L56)</f>
        <v/>
      </c>
      <c r="I56" s="45">
        <f>Sheet1!I56</f>
        <v/>
      </c>
      <c r="J56" s="5">
        <f>Sheet1!M56 &amp; "," &amp; TEXT(Sheet1!N56,"dd/mm/yy")</f>
        <v/>
      </c>
      <c r="K56" s="5" t="inlineStr">
        <is>
          <t>PRINTED</t>
        </is>
      </c>
      <c r="L56" s="30" t="inlineStr">
        <is>
          <t>13/09/2026</t>
        </is>
      </c>
      <c r="M56" s="30" t="inlineStr">
        <is>
          <t>MANISH KATARIA, VICE CONSUL</t>
        </is>
      </c>
      <c r="N56" s="30" t="inlineStr">
        <is>
          <t>26/02/2026</t>
        </is>
      </c>
    </row>
    <row r="57">
      <c r="A57" s="4">
        <f>Sheet1!A57 &amp; "/" &amp; "2025"</f>
        <v/>
      </c>
      <c r="B57" s="5">
        <f>Sheet1!E57</f>
        <v/>
      </c>
      <c r="C57" s="6">
        <f>UPPER(Sheet1!B57)</f>
        <v/>
      </c>
      <c r="D57" s="7">
        <f>IF(Sheet1!F57="F","FEMALE","MALE")</f>
        <v/>
      </c>
      <c r="E57" s="6">
        <f>UPPER(Sheet1!G57)</f>
        <v/>
      </c>
      <c r="F57" s="6">
        <f>UPPER(Sheet1!H57)</f>
        <v/>
      </c>
      <c r="G57" s="5">
        <f>TEXT(Sheet1!C57,"dd/mm/yyyy") &amp; "," &amp; Sheet1!D57</f>
        <v/>
      </c>
      <c r="H57" s="38">
        <f>UPPER(Sheet1!J57 &amp; "," &amp; Sheet1!K57 &amp; "," &amp; Sheet1!L57)</f>
        <v/>
      </c>
      <c r="I57" s="45">
        <f>Sheet1!I57</f>
        <v/>
      </c>
      <c r="J57" s="5">
        <f>Sheet1!M57 &amp; "," &amp; TEXT(Sheet1!N57,"dd/mm/yy")</f>
        <v/>
      </c>
      <c r="K57" s="5" t="inlineStr">
        <is>
          <t>PRINTED</t>
        </is>
      </c>
      <c r="L57" s="30" t="inlineStr">
        <is>
          <t>13/09/2026</t>
        </is>
      </c>
      <c r="M57" s="30" t="inlineStr">
        <is>
          <t>MANISH KATARIA, VICE CONSUL</t>
        </is>
      </c>
      <c r="N57" s="30" t="inlineStr">
        <is>
          <t>26/02/2026</t>
        </is>
      </c>
    </row>
    <row r="58">
      <c r="A58" s="4">
        <f>Sheet1!A58 &amp; "/" &amp; "2025"</f>
        <v/>
      </c>
      <c r="B58" s="5">
        <f>Sheet1!E58</f>
        <v/>
      </c>
      <c r="C58" s="6">
        <f>UPPER(Sheet1!B58)</f>
        <v/>
      </c>
      <c r="D58" s="7">
        <f>IF(Sheet1!F58="F","FEMALE","MALE")</f>
        <v/>
      </c>
      <c r="E58" s="6">
        <f>UPPER(Sheet1!G58)</f>
        <v/>
      </c>
      <c r="F58" s="6">
        <f>UPPER(Sheet1!H58)</f>
        <v/>
      </c>
      <c r="G58" s="5">
        <f>TEXT(Sheet1!C58,"dd/mm/yyyy") &amp; "," &amp; Sheet1!D58</f>
        <v/>
      </c>
      <c r="H58" s="38">
        <f>UPPER(Sheet1!J58 &amp; "," &amp; Sheet1!K58 &amp; "," &amp; Sheet1!L58)</f>
        <v/>
      </c>
      <c r="I58" s="45">
        <f>Sheet1!I58</f>
        <v/>
      </c>
      <c r="J58" s="5">
        <f>Sheet1!M58 &amp; "," &amp; TEXT(Sheet1!N58,"dd/mm/yy")</f>
        <v/>
      </c>
      <c r="K58" s="5" t="inlineStr">
        <is>
          <t>PRINTED</t>
        </is>
      </c>
      <c r="L58" s="30" t="inlineStr">
        <is>
          <t>13/09/2026</t>
        </is>
      </c>
      <c r="M58" s="30" t="inlineStr">
        <is>
          <t>MANISH KATARIA, VICE CONSUL</t>
        </is>
      </c>
      <c r="N58" s="30" t="inlineStr">
        <is>
          <t>26/02/2026</t>
        </is>
      </c>
    </row>
    <row r="59">
      <c r="A59" s="4">
        <f>Sheet1!A59 &amp; "/" &amp; "2025"</f>
        <v/>
      </c>
      <c r="B59" s="5">
        <f>Sheet1!E59</f>
        <v/>
      </c>
      <c r="C59" s="6">
        <f>UPPER(Sheet1!B59)</f>
        <v/>
      </c>
      <c r="D59" s="7">
        <f>IF(Sheet1!F59="F","FEMALE","MALE")</f>
        <v/>
      </c>
      <c r="E59" s="6">
        <f>UPPER(Sheet1!G59)</f>
        <v/>
      </c>
      <c r="F59" s="6">
        <f>UPPER(Sheet1!H59)</f>
        <v/>
      </c>
      <c r="G59" s="5">
        <f>TEXT(Sheet1!C59,"dd/mm/yyyy") &amp; "," &amp; Sheet1!D59</f>
        <v/>
      </c>
      <c r="H59" s="38">
        <f>UPPER(Sheet1!J59 &amp; "," &amp; Sheet1!K59 &amp; "," &amp; Sheet1!L59)</f>
        <v/>
      </c>
      <c r="I59" s="45">
        <f>Sheet1!I59</f>
        <v/>
      </c>
      <c r="J59" s="5">
        <f>Sheet1!M59 &amp; "," &amp; TEXT(Sheet1!N59,"dd/mm/yy")</f>
        <v/>
      </c>
      <c r="K59" s="5" t="inlineStr">
        <is>
          <t>PRINTED</t>
        </is>
      </c>
      <c r="L59" s="30" t="inlineStr">
        <is>
          <t>13/09/2026</t>
        </is>
      </c>
      <c r="M59" s="30" t="inlineStr">
        <is>
          <t>MANISH KATARIA, VICE CONSUL</t>
        </is>
      </c>
      <c r="N59" s="30" t="inlineStr">
        <is>
          <t>26/02/2026</t>
        </is>
      </c>
    </row>
    <row r="60">
      <c r="A60" s="4">
        <f>Sheet1!A60 &amp; "/" &amp; "2025"</f>
        <v/>
      </c>
      <c r="B60" s="5">
        <f>Sheet1!E60</f>
        <v/>
      </c>
      <c r="C60" s="6">
        <f>UPPER(Sheet1!B60)</f>
        <v/>
      </c>
      <c r="D60" s="7">
        <f>IF(Sheet1!F60="F","FEMALE","MALE")</f>
        <v/>
      </c>
      <c r="E60" s="6">
        <f>UPPER(Sheet1!G60)</f>
        <v/>
      </c>
      <c r="F60" s="6">
        <f>UPPER(Sheet1!H60)</f>
        <v/>
      </c>
      <c r="G60" s="5">
        <f>TEXT(Sheet1!C60,"dd/mm/yyyy") &amp; "," &amp; Sheet1!D60</f>
        <v/>
      </c>
      <c r="H60" s="38">
        <f>UPPER(Sheet1!J60 &amp; "," &amp; Sheet1!K60 &amp; "," &amp; Sheet1!L60)</f>
        <v/>
      </c>
      <c r="I60" s="45">
        <f>Sheet1!I60</f>
        <v/>
      </c>
      <c r="J60" s="5">
        <f>Sheet1!M60 &amp; "," &amp; TEXT(Sheet1!N60,"dd/mm/yy")</f>
        <v/>
      </c>
      <c r="K60" s="5" t="inlineStr">
        <is>
          <t>PRINTED</t>
        </is>
      </c>
      <c r="L60" s="30" t="inlineStr">
        <is>
          <t>13/09/2026</t>
        </is>
      </c>
      <c r="M60" s="30" t="inlineStr">
        <is>
          <t>MANISH KATARIA, VICE CONSUL</t>
        </is>
      </c>
      <c r="N60" s="30" t="inlineStr">
        <is>
          <t>26/02/2026</t>
        </is>
      </c>
    </row>
    <row r="61">
      <c r="A61" s="4">
        <f>Sheet1!A61 &amp; "/" &amp; "2025"</f>
        <v/>
      </c>
      <c r="B61" s="5">
        <f>Sheet1!E61</f>
        <v/>
      </c>
      <c r="C61" s="6">
        <f>UPPER(Sheet1!B61)</f>
        <v/>
      </c>
      <c r="D61" s="7">
        <f>IF(Sheet1!F61="F","FEMALE","MALE")</f>
        <v/>
      </c>
      <c r="E61" s="6">
        <f>UPPER(Sheet1!G61)</f>
        <v/>
      </c>
      <c r="F61" s="6">
        <f>UPPER(Sheet1!H61)</f>
        <v/>
      </c>
      <c r="G61" s="5">
        <f>TEXT(Sheet1!C61,"dd/mm/yyyy") &amp; "," &amp; Sheet1!D61</f>
        <v/>
      </c>
      <c r="H61" s="38">
        <f>UPPER(Sheet1!J61 &amp; "," &amp; Sheet1!K61 &amp; "," &amp; Sheet1!L61)</f>
        <v/>
      </c>
      <c r="I61" s="45">
        <f>Sheet1!I61</f>
        <v/>
      </c>
      <c r="J61" s="5">
        <f>Sheet1!M61 &amp; "," &amp; TEXT(Sheet1!N61,"dd/mm/yy")</f>
        <v/>
      </c>
      <c r="K61" s="5" t="inlineStr">
        <is>
          <t>PRINTED</t>
        </is>
      </c>
      <c r="L61" s="30" t="inlineStr">
        <is>
          <t>13/09/2026</t>
        </is>
      </c>
      <c r="M61" s="30" t="inlineStr">
        <is>
          <t>MANISH KATARIA, VICE CONSUL</t>
        </is>
      </c>
      <c r="N61" s="30" t="inlineStr">
        <is>
          <t>26/02/2026</t>
        </is>
      </c>
    </row>
    <row r="62">
      <c r="A62" s="4">
        <f>Sheet1!A62 &amp; "/" &amp; "2025"</f>
        <v/>
      </c>
      <c r="B62" s="5">
        <f>Sheet1!E62</f>
        <v/>
      </c>
      <c r="C62" s="6">
        <f>UPPER(Sheet1!B62)</f>
        <v/>
      </c>
      <c r="D62" s="7">
        <f>IF(Sheet1!F62="F","FEMALE","MALE")</f>
        <v/>
      </c>
      <c r="E62" s="6">
        <f>UPPER(Sheet1!G62)</f>
        <v/>
      </c>
      <c r="F62" s="6">
        <f>UPPER(Sheet1!H62)</f>
        <v/>
      </c>
      <c r="G62" s="5">
        <f>TEXT(Sheet1!C62,"dd/mm/yyyy") &amp; "," &amp; Sheet1!D62</f>
        <v/>
      </c>
      <c r="H62" s="38">
        <f>UPPER(Sheet1!J62 &amp; "," &amp; Sheet1!K62 &amp; "," &amp; Sheet1!L62)</f>
        <v/>
      </c>
      <c r="I62" s="45">
        <f>Sheet1!I62</f>
        <v/>
      </c>
      <c r="J62" s="5">
        <f>Sheet1!M62 &amp; "," &amp; TEXT(Sheet1!N62,"dd/mm/yy")</f>
        <v/>
      </c>
      <c r="K62" s="5" t="inlineStr">
        <is>
          <t>PRINTED</t>
        </is>
      </c>
      <c r="L62" s="30" t="inlineStr">
        <is>
          <t>13/09/2026</t>
        </is>
      </c>
      <c r="M62" s="30" t="inlineStr">
        <is>
          <t>MANISH KATARIA, VICE CONSUL</t>
        </is>
      </c>
      <c r="N62" s="30" t="inlineStr">
        <is>
          <t>26/02/2026</t>
        </is>
      </c>
    </row>
    <row r="63">
      <c r="A63" s="4">
        <f>Sheet1!A63 &amp; "/" &amp; "2025"</f>
        <v/>
      </c>
      <c r="B63" s="5">
        <f>Sheet1!E63</f>
        <v/>
      </c>
      <c r="C63" s="6">
        <f>UPPER(Sheet1!B63)</f>
        <v/>
      </c>
      <c r="D63" s="7">
        <f>IF(Sheet1!F63="F","FEMALE","MALE")</f>
        <v/>
      </c>
      <c r="E63" s="6">
        <f>UPPER(Sheet1!G63)</f>
        <v/>
      </c>
      <c r="F63" s="6">
        <f>UPPER(Sheet1!H63)</f>
        <v/>
      </c>
      <c r="G63" s="5">
        <f>TEXT(Sheet1!C63,"dd/mm/yyyy") &amp; "," &amp; Sheet1!D63</f>
        <v/>
      </c>
      <c r="H63" s="38">
        <f>UPPER(Sheet1!J63 &amp; "," &amp; Sheet1!K63 &amp; "," &amp; Sheet1!L63)</f>
        <v/>
      </c>
      <c r="I63" s="45">
        <f>Sheet1!I63</f>
        <v/>
      </c>
      <c r="J63" s="5">
        <f>Sheet1!M63 &amp; "," &amp; TEXT(Sheet1!N63,"dd/mm/yy")</f>
        <v/>
      </c>
      <c r="K63" s="5" t="inlineStr">
        <is>
          <t>PRINTED</t>
        </is>
      </c>
      <c r="L63" s="30" t="inlineStr">
        <is>
          <t>13/09/2026</t>
        </is>
      </c>
      <c r="M63" s="30" t="inlineStr">
        <is>
          <t>MANISH KATARIA, VICE CONSUL</t>
        </is>
      </c>
      <c r="N63" s="30" t="inlineStr">
        <is>
          <t>26/02/2026</t>
        </is>
      </c>
    </row>
    <row r="64">
      <c r="A64" s="4">
        <f>Sheet1!A64 &amp; "/" &amp; "2025"</f>
        <v/>
      </c>
      <c r="B64" s="5">
        <f>Sheet1!E64</f>
        <v/>
      </c>
      <c r="C64" s="6">
        <f>UPPER(Sheet1!B64)</f>
        <v/>
      </c>
      <c r="D64" s="7">
        <f>IF(Sheet1!F64="F","FEMALE","MALE")</f>
        <v/>
      </c>
      <c r="E64" s="6">
        <f>UPPER(Sheet1!G64)</f>
        <v/>
      </c>
      <c r="F64" s="6">
        <f>UPPER(Sheet1!H64)</f>
        <v/>
      </c>
      <c r="G64" s="5">
        <f>TEXT(Sheet1!C64,"dd/mm/yyyy") &amp; "," &amp; Sheet1!D64</f>
        <v/>
      </c>
      <c r="H64" s="38">
        <f>UPPER(Sheet1!J64 &amp; "," &amp; Sheet1!K64 &amp; "," &amp; Sheet1!L64)</f>
        <v/>
      </c>
      <c r="I64" s="45">
        <f>Sheet1!I64</f>
        <v/>
      </c>
      <c r="J64" s="5">
        <f>Sheet1!M64 &amp; "," &amp; TEXT(Sheet1!N64,"dd/mm/yy")</f>
        <v/>
      </c>
      <c r="K64" s="5" t="inlineStr">
        <is>
          <t>PRINTED</t>
        </is>
      </c>
      <c r="L64" s="30" t="inlineStr">
        <is>
          <t>13/09/2026</t>
        </is>
      </c>
      <c r="M64" s="30" t="inlineStr">
        <is>
          <t>MANISH KATARIA, VICE CONSUL</t>
        </is>
      </c>
      <c r="N64" s="30" t="inlineStr">
        <is>
          <t>26/02/2026</t>
        </is>
      </c>
    </row>
    <row r="65">
      <c r="A65" s="4">
        <f>Sheet1!A65 &amp; "/" &amp; "2025"</f>
        <v/>
      </c>
      <c r="B65" s="5">
        <f>Sheet1!E65</f>
        <v/>
      </c>
      <c r="C65" s="6">
        <f>UPPER(Sheet1!B65)</f>
        <v/>
      </c>
      <c r="D65" s="7">
        <f>IF(Sheet1!F65="F","FEMALE","MALE")</f>
        <v/>
      </c>
      <c r="E65" s="6">
        <f>UPPER(Sheet1!G65)</f>
        <v/>
      </c>
      <c r="F65" s="6">
        <f>UPPER(Sheet1!H65)</f>
        <v/>
      </c>
      <c r="G65" s="5">
        <f>TEXT(Sheet1!C65,"dd/mm/yyyy") &amp; "," &amp; Sheet1!D65</f>
        <v/>
      </c>
      <c r="H65" s="38">
        <f>UPPER(Sheet1!J65 &amp; "," &amp; Sheet1!K65 &amp; "," &amp; Sheet1!L65)</f>
        <v/>
      </c>
      <c r="I65" s="45">
        <f>Sheet1!I65</f>
        <v/>
      </c>
      <c r="J65" s="5">
        <f>Sheet1!M65 &amp; "," &amp; TEXT(Sheet1!N65,"dd/mm/yy")</f>
        <v/>
      </c>
      <c r="K65" s="5" t="inlineStr">
        <is>
          <t>PRINTED</t>
        </is>
      </c>
      <c r="L65" s="30" t="inlineStr">
        <is>
          <t>13/09/2026</t>
        </is>
      </c>
      <c r="M65" s="30" t="inlineStr">
        <is>
          <t>MANISH KATARIA, VICE CONSUL</t>
        </is>
      </c>
      <c r="N65" s="30" t="inlineStr">
        <is>
          <t>26/02/2026</t>
        </is>
      </c>
    </row>
    <row r="66">
      <c r="A66" s="4">
        <f>Sheet1!A66 &amp; "/" &amp; "2025"</f>
        <v/>
      </c>
      <c r="B66" s="5">
        <f>Sheet1!E66</f>
        <v/>
      </c>
      <c r="C66" s="6">
        <f>UPPER(Sheet1!B66)</f>
        <v/>
      </c>
      <c r="D66" s="7">
        <f>IF(Sheet1!F66="F","FEMALE","MALE")</f>
        <v/>
      </c>
      <c r="E66" s="6">
        <f>UPPER(Sheet1!G66)</f>
        <v/>
      </c>
      <c r="F66" s="6">
        <f>UPPER(Sheet1!H66)</f>
        <v/>
      </c>
      <c r="G66" s="5">
        <f>TEXT(Sheet1!C66,"dd/mm/yyyy") &amp; "," &amp; Sheet1!D66</f>
        <v/>
      </c>
      <c r="H66" s="38">
        <f>UPPER(Sheet1!J66 &amp; "," &amp; Sheet1!K66 &amp; "," &amp; Sheet1!L66)</f>
        <v/>
      </c>
      <c r="I66" s="45">
        <f>Sheet1!I66</f>
        <v/>
      </c>
      <c r="J66" s="5">
        <f>Sheet1!M66 &amp; "," &amp; TEXT(Sheet1!N66,"dd/mm/yy")</f>
        <v/>
      </c>
      <c r="K66" s="5" t="inlineStr">
        <is>
          <t>PRINTED</t>
        </is>
      </c>
      <c r="L66" s="30" t="inlineStr">
        <is>
          <t>13/09/2026</t>
        </is>
      </c>
      <c r="M66" s="30" t="inlineStr">
        <is>
          <t>MANISH KATARIA, VICE CONSUL</t>
        </is>
      </c>
      <c r="N66" s="30" t="inlineStr">
        <is>
          <t>26/02/2026</t>
        </is>
      </c>
    </row>
    <row r="67">
      <c r="A67" s="4">
        <f>Sheet1!A67 &amp; "/" &amp; "2025"</f>
        <v/>
      </c>
      <c r="B67" s="5">
        <f>Sheet1!E67</f>
        <v/>
      </c>
      <c r="C67" s="6">
        <f>UPPER(Sheet1!B67)</f>
        <v/>
      </c>
      <c r="D67" s="7">
        <f>IF(Sheet1!F67="F","FEMALE","MALE")</f>
        <v/>
      </c>
      <c r="E67" s="6">
        <f>UPPER(Sheet1!G67)</f>
        <v/>
      </c>
      <c r="F67" s="6">
        <f>UPPER(Sheet1!H67)</f>
        <v/>
      </c>
      <c r="G67" s="5">
        <f>TEXT(Sheet1!C67,"dd/mm/yyyy") &amp; "," &amp; Sheet1!D67</f>
        <v/>
      </c>
      <c r="H67" s="38">
        <f>UPPER(Sheet1!J67 &amp; "," &amp; Sheet1!K67 &amp; "," &amp; Sheet1!L67)</f>
        <v/>
      </c>
      <c r="I67" s="45">
        <f>Sheet1!I67</f>
        <v/>
      </c>
      <c r="J67" s="5">
        <f>Sheet1!M67 &amp; "," &amp; TEXT(Sheet1!N67,"dd/mm/yy")</f>
        <v/>
      </c>
      <c r="K67" s="5" t="inlineStr">
        <is>
          <t>PRINTED</t>
        </is>
      </c>
      <c r="L67" s="30" t="inlineStr">
        <is>
          <t>13/09/2026</t>
        </is>
      </c>
      <c r="M67" s="30" t="inlineStr">
        <is>
          <t>MANISH KATARIA, VICE CONSUL</t>
        </is>
      </c>
      <c r="N67" s="30" t="inlineStr">
        <is>
          <t>26/02/2026</t>
        </is>
      </c>
    </row>
    <row r="68">
      <c r="A68" s="4">
        <f>Sheet1!A68 &amp; "/" &amp; "2025"</f>
        <v/>
      </c>
      <c r="B68" s="5">
        <f>Sheet1!E68</f>
        <v/>
      </c>
      <c r="C68" s="6">
        <f>UPPER(Sheet1!B68)</f>
        <v/>
      </c>
      <c r="D68" s="7">
        <f>IF(Sheet1!F68="F","FEMALE","MALE")</f>
        <v/>
      </c>
      <c r="E68" s="6">
        <f>UPPER(Sheet1!G68)</f>
        <v/>
      </c>
      <c r="F68" s="6">
        <f>UPPER(Sheet1!H68)</f>
        <v/>
      </c>
      <c r="G68" s="5">
        <f>TEXT(Sheet1!C68,"dd/mm/yyyy") &amp; "," &amp; Sheet1!D68</f>
        <v/>
      </c>
      <c r="H68" s="38">
        <f>UPPER(Sheet1!J68 &amp; "," &amp; Sheet1!K68 &amp; "," &amp; Sheet1!L68)</f>
        <v/>
      </c>
      <c r="I68" s="45">
        <f>Sheet1!I68</f>
        <v/>
      </c>
      <c r="J68" s="5">
        <f>Sheet1!M68 &amp; "," &amp; TEXT(Sheet1!N68,"dd/mm/yy")</f>
        <v/>
      </c>
      <c r="K68" s="5" t="inlineStr">
        <is>
          <t>PRINTED</t>
        </is>
      </c>
      <c r="L68" s="30" t="inlineStr">
        <is>
          <t>13/09/2026</t>
        </is>
      </c>
      <c r="M68" s="30" t="inlineStr">
        <is>
          <t>MANISH KATARIA, VICE CONSUL</t>
        </is>
      </c>
      <c r="N68" s="30" t="inlineStr">
        <is>
          <t>26/02/2026</t>
        </is>
      </c>
    </row>
    <row r="69">
      <c r="A69" s="4">
        <f>Sheet1!A69 &amp; "/" &amp; "2025"</f>
        <v/>
      </c>
      <c r="B69" s="5">
        <f>Sheet1!E69</f>
        <v/>
      </c>
      <c r="C69" s="6">
        <f>UPPER(Sheet1!B69)</f>
        <v/>
      </c>
      <c r="D69" s="7">
        <f>IF(Sheet1!F69="F","FEMALE","MALE")</f>
        <v/>
      </c>
      <c r="E69" s="6">
        <f>UPPER(Sheet1!G69)</f>
        <v/>
      </c>
      <c r="F69" s="6">
        <f>UPPER(Sheet1!H69)</f>
        <v/>
      </c>
      <c r="G69" s="5">
        <f>TEXT(Sheet1!C69,"dd/mm/yyyy") &amp; "," &amp; Sheet1!D69</f>
        <v/>
      </c>
      <c r="H69" s="38">
        <f>UPPER(Sheet1!J69 &amp; "," &amp; Sheet1!K69 &amp; "," &amp; Sheet1!L69)</f>
        <v/>
      </c>
      <c r="I69" s="45">
        <f>Sheet1!I69</f>
        <v/>
      </c>
      <c r="J69" s="5">
        <f>Sheet1!M69 &amp; "," &amp; TEXT(Sheet1!N69,"dd/mm/yy")</f>
        <v/>
      </c>
      <c r="K69" s="5" t="inlineStr">
        <is>
          <t>PRINTED</t>
        </is>
      </c>
      <c r="L69" s="30" t="inlineStr">
        <is>
          <t>13/09/2026</t>
        </is>
      </c>
      <c r="M69" s="30" t="inlineStr">
        <is>
          <t>MANISH KATARIA, VICE CONSUL</t>
        </is>
      </c>
      <c r="N69" s="30" t="inlineStr">
        <is>
          <t>26/02/2026</t>
        </is>
      </c>
    </row>
    <row r="70">
      <c r="A70" s="4">
        <f>Sheet1!A70 &amp; "/" &amp; "2025"</f>
        <v/>
      </c>
      <c r="B70" s="5">
        <f>Sheet1!E70</f>
        <v/>
      </c>
      <c r="C70" s="6">
        <f>UPPER(Sheet1!B70)</f>
        <v/>
      </c>
      <c r="D70" s="7">
        <f>IF(Sheet1!F70="F","FEMALE","MALE")</f>
        <v/>
      </c>
      <c r="E70" s="6">
        <f>UPPER(Sheet1!G70)</f>
        <v/>
      </c>
      <c r="F70" s="6">
        <f>UPPER(Sheet1!H70)</f>
        <v/>
      </c>
      <c r="G70" s="5">
        <f>TEXT(Sheet1!C70,"dd/mm/yyyy") &amp; "," &amp; Sheet1!D70</f>
        <v/>
      </c>
      <c r="H70" s="38">
        <f>UPPER(Sheet1!J70 &amp; "," &amp; Sheet1!K70 &amp; "," &amp; Sheet1!L70)</f>
        <v/>
      </c>
      <c r="I70" s="45">
        <f>Sheet1!I70</f>
        <v/>
      </c>
      <c r="J70" s="5">
        <f>Sheet1!M70 &amp; "," &amp; TEXT(Sheet1!N70,"dd/mm/yy")</f>
        <v/>
      </c>
      <c r="K70" s="5" t="inlineStr">
        <is>
          <t>PRINTED</t>
        </is>
      </c>
      <c r="L70" s="30" t="inlineStr">
        <is>
          <t>13/09/2026</t>
        </is>
      </c>
      <c r="M70" s="30" t="inlineStr">
        <is>
          <t>MANISH KATARIA, VICE CONSUL</t>
        </is>
      </c>
      <c r="N70" s="30" t="inlineStr">
        <is>
          <t>26/02/2026</t>
        </is>
      </c>
    </row>
    <row r="71">
      <c r="A71" s="4">
        <f>Sheet1!A71 &amp; "/" &amp; "2025"</f>
        <v/>
      </c>
      <c r="B71" s="5">
        <f>Sheet1!E71</f>
        <v/>
      </c>
      <c r="C71" s="6">
        <f>UPPER(Sheet1!B71)</f>
        <v/>
      </c>
      <c r="D71" s="7">
        <f>IF(Sheet1!F71="F","FEMALE","MALE")</f>
        <v/>
      </c>
      <c r="E71" s="6">
        <f>UPPER(Sheet1!G71)</f>
        <v/>
      </c>
      <c r="F71" s="6">
        <f>UPPER(Sheet1!H71)</f>
        <v/>
      </c>
      <c r="G71" s="5">
        <f>TEXT(Sheet1!C71,"dd/mm/yyyy") &amp; "," &amp; Sheet1!D71</f>
        <v/>
      </c>
      <c r="H71" s="38">
        <f>UPPER(Sheet1!J71 &amp; "," &amp; Sheet1!K71 &amp; "," &amp; Sheet1!L71)</f>
        <v/>
      </c>
      <c r="I71" s="45">
        <f>Sheet1!I71</f>
        <v/>
      </c>
      <c r="J71" s="5">
        <f>Sheet1!M71 &amp; "," &amp; TEXT(Sheet1!N71,"dd/mm/yy")</f>
        <v/>
      </c>
      <c r="K71" s="5" t="inlineStr">
        <is>
          <t>PRINTED</t>
        </is>
      </c>
      <c r="L71" s="30" t="inlineStr">
        <is>
          <t>13/09/2026</t>
        </is>
      </c>
      <c r="M71" s="30" t="inlineStr">
        <is>
          <t>MANISH KATARIA, VICE CONSUL</t>
        </is>
      </c>
      <c r="N71" s="30" t="inlineStr">
        <is>
          <t>26/02/2026</t>
        </is>
      </c>
    </row>
    <row r="72">
      <c r="A72" s="4">
        <f>Sheet1!A72 &amp; "/" &amp; "2025"</f>
        <v/>
      </c>
      <c r="B72" s="5">
        <f>Sheet1!E72</f>
        <v/>
      </c>
      <c r="C72" s="6">
        <f>UPPER(Sheet1!B72)</f>
        <v/>
      </c>
      <c r="D72" s="7">
        <f>IF(Sheet1!F72="F","FEMALE","MALE")</f>
        <v/>
      </c>
      <c r="E72" s="6">
        <f>UPPER(Sheet1!G72)</f>
        <v/>
      </c>
      <c r="F72" s="6">
        <f>UPPER(Sheet1!H72)</f>
        <v/>
      </c>
      <c r="G72" s="5">
        <f>TEXT(Sheet1!C72,"dd/mm/yyyy") &amp; "," &amp; Sheet1!D72</f>
        <v/>
      </c>
      <c r="H72" s="38">
        <f>UPPER(Sheet1!J72 &amp; "," &amp; Sheet1!K72 &amp; "," &amp; Sheet1!L72)</f>
        <v/>
      </c>
      <c r="I72" s="45">
        <f>Sheet1!I72</f>
        <v/>
      </c>
      <c r="J72" s="5">
        <f>Sheet1!M72 &amp; "," &amp; TEXT(Sheet1!N72,"dd/mm/yy")</f>
        <v/>
      </c>
      <c r="K72" s="5" t="inlineStr">
        <is>
          <t>PRINTED</t>
        </is>
      </c>
      <c r="L72" s="30" t="inlineStr">
        <is>
          <t>13/09/2026</t>
        </is>
      </c>
      <c r="M72" s="30" t="inlineStr">
        <is>
          <t>MANISH KATARIA, VICE CONSUL</t>
        </is>
      </c>
      <c r="N72" s="30" t="inlineStr">
        <is>
          <t>26/02/2026</t>
        </is>
      </c>
    </row>
    <row r="73">
      <c r="A73" s="4">
        <f>Sheet1!A73 &amp; "/" &amp; "2025"</f>
        <v/>
      </c>
      <c r="B73" s="5">
        <f>Sheet1!E73</f>
        <v/>
      </c>
      <c r="C73" s="6">
        <f>UPPER(Sheet1!B73)</f>
        <v/>
      </c>
      <c r="D73" s="7">
        <f>IF(Sheet1!F73="F","FEMALE","MALE")</f>
        <v/>
      </c>
      <c r="E73" s="6">
        <f>UPPER(Sheet1!G73)</f>
        <v/>
      </c>
      <c r="F73" s="6">
        <f>UPPER(Sheet1!H73)</f>
        <v/>
      </c>
      <c r="G73" s="5">
        <f>TEXT(Sheet1!C73,"dd/mm/yyyy") &amp; "," &amp; Sheet1!D73</f>
        <v/>
      </c>
      <c r="H73" s="38">
        <f>UPPER(Sheet1!J73 &amp; "," &amp; Sheet1!K73 &amp; "," &amp; Sheet1!L73)</f>
        <v/>
      </c>
      <c r="I73" s="45">
        <f>Sheet1!I73</f>
        <v/>
      </c>
      <c r="J73" s="5">
        <f>Sheet1!M73 &amp; "," &amp; TEXT(Sheet1!N73,"dd/mm/yy")</f>
        <v/>
      </c>
      <c r="K73" s="5" t="inlineStr">
        <is>
          <t>PRINTED</t>
        </is>
      </c>
      <c r="L73" s="30" t="inlineStr">
        <is>
          <t>13/09/2026</t>
        </is>
      </c>
      <c r="M73" s="30" t="inlineStr">
        <is>
          <t>MANISH KATARIA, VICE CONSUL</t>
        </is>
      </c>
      <c r="N73" s="30" t="inlineStr">
        <is>
          <t>26/02/2026</t>
        </is>
      </c>
    </row>
    <row r="74">
      <c r="A74" s="4">
        <f>Sheet1!A74 &amp; "/" &amp; "2025"</f>
        <v/>
      </c>
      <c r="B74" s="5">
        <f>Sheet1!E74</f>
        <v/>
      </c>
      <c r="C74" s="6">
        <f>UPPER(Sheet1!B74)</f>
        <v/>
      </c>
      <c r="D74" s="7">
        <f>IF(Sheet1!F74="F","FEMALE","MALE")</f>
        <v/>
      </c>
      <c r="E74" s="6">
        <f>UPPER(Sheet1!G74)</f>
        <v/>
      </c>
      <c r="F74" s="6">
        <f>UPPER(Sheet1!H74)</f>
        <v/>
      </c>
      <c r="G74" s="5">
        <f>TEXT(Sheet1!C74,"dd/mm/yyyy") &amp; "," &amp; Sheet1!D74</f>
        <v/>
      </c>
      <c r="H74" s="38">
        <f>UPPER(Sheet1!J74 &amp; "," &amp; Sheet1!K74 &amp; "," &amp; Sheet1!L74)</f>
        <v/>
      </c>
      <c r="I74" s="45">
        <f>Sheet1!I74</f>
        <v/>
      </c>
      <c r="J74" s="5">
        <f>Sheet1!M74 &amp; "," &amp; TEXT(Sheet1!N74,"dd/mm/yy")</f>
        <v/>
      </c>
      <c r="K74" s="5" t="inlineStr">
        <is>
          <t>PRINTED</t>
        </is>
      </c>
      <c r="L74" s="30" t="inlineStr">
        <is>
          <t>13/09/2026</t>
        </is>
      </c>
      <c r="M74" s="30" t="inlineStr">
        <is>
          <t>MANISH KATARIA, VICE CONSUL</t>
        </is>
      </c>
      <c r="N74" s="30" t="inlineStr">
        <is>
          <t>26/02/2026</t>
        </is>
      </c>
    </row>
    <row r="75">
      <c r="A75" s="4">
        <f>Sheet1!A75 &amp; "/" &amp; "2025"</f>
        <v/>
      </c>
      <c r="B75" s="5">
        <f>Sheet1!E75</f>
        <v/>
      </c>
      <c r="C75" s="6">
        <f>UPPER(Sheet1!B75)</f>
        <v/>
      </c>
      <c r="D75" s="7">
        <f>IF(Sheet1!F75="F","FEMALE","MALE")</f>
        <v/>
      </c>
      <c r="E75" s="6">
        <f>UPPER(Sheet1!G75)</f>
        <v/>
      </c>
      <c r="F75" s="6">
        <f>UPPER(Sheet1!H75)</f>
        <v/>
      </c>
      <c r="G75" s="5">
        <f>TEXT(Sheet1!C75,"dd/mm/yyyy") &amp; "," &amp; Sheet1!D75</f>
        <v/>
      </c>
      <c r="H75" s="38">
        <f>UPPER(Sheet1!J75 &amp; "," &amp; Sheet1!K75 &amp; "," &amp; Sheet1!L75)</f>
        <v/>
      </c>
      <c r="I75" s="45">
        <f>Sheet1!I75</f>
        <v/>
      </c>
      <c r="J75" s="5">
        <f>Sheet1!M75 &amp; "," &amp; TEXT(Sheet1!N75,"dd/mm/yy")</f>
        <v/>
      </c>
      <c r="K75" s="5" t="inlineStr">
        <is>
          <t>PRINTED</t>
        </is>
      </c>
      <c r="L75" s="30" t="inlineStr">
        <is>
          <t>13/09/2026</t>
        </is>
      </c>
      <c r="M75" s="30" t="inlineStr">
        <is>
          <t>MANISH KATARIA, VICE CONSUL</t>
        </is>
      </c>
      <c r="N75" s="30" t="inlineStr">
        <is>
          <t>26/02/2026</t>
        </is>
      </c>
    </row>
    <row r="76">
      <c r="A76" s="4">
        <f>Sheet1!A76 &amp; "/" &amp; "2025"</f>
        <v/>
      </c>
      <c r="B76" s="5">
        <f>Sheet1!E76</f>
        <v/>
      </c>
      <c r="C76" s="6">
        <f>UPPER(Sheet1!B76)</f>
        <v/>
      </c>
      <c r="D76" s="7">
        <f>IF(Sheet1!F76="F","FEMALE","MALE")</f>
        <v/>
      </c>
      <c r="E76" s="6">
        <f>UPPER(Sheet1!G76)</f>
        <v/>
      </c>
      <c r="F76" s="6">
        <f>UPPER(Sheet1!H76)</f>
        <v/>
      </c>
      <c r="G76" s="5">
        <f>TEXT(Sheet1!C76,"dd/mm/yyyy") &amp; "," &amp; Sheet1!D76</f>
        <v/>
      </c>
      <c r="H76" s="38">
        <f>UPPER(Sheet1!J76 &amp; "," &amp; Sheet1!K76 &amp; "," &amp; Sheet1!L76)</f>
        <v/>
      </c>
      <c r="I76" s="45">
        <f>Sheet1!I76</f>
        <v/>
      </c>
      <c r="J76" s="5">
        <f>Sheet1!M76 &amp; "," &amp; TEXT(Sheet1!N76,"dd/mm/yy")</f>
        <v/>
      </c>
      <c r="K76" s="5" t="inlineStr">
        <is>
          <t>PRINTED</t>
        </is>
      </c>
      <c r="L76" s="30" t="inlineStr">
        <is>
          <t>13/09/2026</t>
        </is>
      </c>
      <c r="M76" s="30" t="inlineStr">
        <is>
          <t>MANISH KATARIA, VICE CONSUL</t>
        </is>
      </c>
      <c r="N76" s="30" t="inlineStr">
        <is>
          <t>26/02/2026</t>
        </is>
      </c>
    </row>
    <row r="77">
      <c r="A77" s="4">
        <f>Sheet1!A77 &amp; "/" &amp; "2025"</f>
        <v/>
      </c>
      <c r="B77" s="5">
        <f>Sheet1!E77</f>
        <v/>
      </c>
      <c r="C77" s="6">
        <f>UPPER(Sheet1!B77)</f>
        <v/>
      </c>
      <c r="D77" s="7">
        <f>IF(Sheet1!F77="F","FEMALE","MALE")</f>
        <v/>
      </c>
      <c r="E77" s="6">
        <f>UPPER(Sheet1!G77)</f>
        <v/>
      </c>
      <c r="F77" s="6">
        <f>UPPER(Sheet1!H77)</f>
        <v/>
      </c>
      <c r="G77" s="5">
        <f>TEXT(Sheet1!C77,"dd/mm/yyyy") &amp; "," &amp; Sheet1!D77</f>
        <v/>
      </c>
      <c r="H77" s="38">
        <f>UPPER(Sheet1!J77 &amp; "," &amp; Sheet1!K77 &amp; "," &amp; Sheet1!L77)</f>
        <v/>
      </c>
      <c r="I77" s="45">
        <f>Sheet1!I77</f>
        <v/>
      </c>
      <c r="J77" s="5">
        <f>Sheet1!M77 &amp; "," &amp; TEXT(Sheet1!N77,"dd/mm/yy")</f>
        <v/>
      </c>
      <c r="K77" s="5" t="inlineStr">
        <is>
          <t>PRINTED</t>
        </is>
      </c>
      <c r="L77" s="30" t="inlineStr">
        <is>
          <t>13/09/2026</t>
        </is>
      </c>
      <c r="M77" s="30" t="inlineStr">
        <is>
          <t>MANISH KATARIA, VICE CONSUL</t>
        </is>
      </c>
      <c r="N77" s="30" t="inlineStr">
        <is>
          <t>26/02/2026</t>
        </is>
      </c>
    </row>
    <row r="78">
      <c r="A78" s="4">
        <f>Sheet1!A78 &amp; "/" &amp; "2025"</f>
        <v/>
      </c>
      <c r="B78" s="5">
        <f>Sheet1!E78</f>
        <v/>
      </c>
      <c r="C78" s="6">
        <f>UPPER(Sheet1!B78)</f>
        <v/>
      </c>
      <c r="D78" s="7">
        <f>IF(Sheet1!F78="F","FEMALE","MALE")</f>
        <v/>
      </c>
      <c r="E78" s="6">
        <f>UPPER(Sheet1!G78)</f>
        <v/>
      </c>
      <c r="F78" s="6">
        <f>UPPER(Sheet1!H78)</f>
        <v/>
      </c>
      <c r="G78" s="5">
        <f>TEXT(Sheet1!C78,"dd/mm/yyyy") &amp; "," &amp; Sheet1!D78</f>
        <v/>
      </c>
      <c r="H78" s="38">
        <f>UPPER(Sheet1!J78 &amp; "," &amp; Sheet1!K78 &amp; "," &amp; Sheet1!L78)</f>
        <v/>
      </c>
      <c r="I78" s="45">
        <f>Sheet1!I78</f>
        <v/>
      </c>
      <c r="J78" s="5">
        <f>Sheet1!M78 &amp; "," &amp; TEXT(Sheet1!N78,"dd/mm/yy")</f>
        <v/>
      </c>
      <c r="K78" s="5" t="inlineStr">
        <is>
          <t>PRINTED</t>
        </is>
      </c>
      <c r="L78" s="30" t="inlineStr">
        <is>
          <t>13/09/2026</t>
        </is>
      </c>
      <c r="M78" s="30" t="inlineStr">
        <is>
          <t>MANISH KATARIA, VICE CONSUL</t>
        </is>
      </c>
      <c r="N78" s="30" t="inlineStr">
        <is>
          <t>26/02/2026</t>
        </is>
      </c>
    </row>
    <row r="79">
      <c r="A79" s="4">
        <f>Sheet1!A79 &amp; "/" &amp; "2025"</f>
        <v/>
      </c>
      <c r="B79" s="5">
        <f>Sheet1!E79</f>
        <v/>
      </c>
      <c r="C79" s="6">
        <f>UPPER(Sheet1!B79)</f>
        <v/>
      </c>
      <c r="D79" s="7">
        <f>IF(Sheet1!F79="F","FEMALE","MALE")</f>
        <v/>
      </c>
      <c r="E79" s="6">
        <f>UPPER(Sheet1!G79)</f>
        <v/>
      </c>
      <c r="F79" s="6">
        <f>UPPER(Sheet1!H79)</f>
        <v/>
      </c>
      <c r="G79" s="5">
        <f>TEXT(Sheet1!C79,"dd/mm/yyyy") &amp; "," &amp; Sheet1!D79</f>
        <v/>
      </c>
      <c r="H79" s="38">
        <f>UPPER(Sheet1!J79 &amp; "," &amp; Sheet1!K79 &amp; "," &amp; Sheet1!L79)</f>
        <v/>
      </c>
      <c r="I79" s="45">
        <f>Sheet1!I79</f>
        <v/>
      </c>
      <c r="J79" s="5">
        <f>Sheet1!M79 &amp; "," &amp; TEXT(Sheet1!N79,"dd/mm/yy")</f>
        <v/>
      </c>
      <c r="K79" s="5" t="inlineStr">
        <is>
          <t>PRINTED</t>
        </is>
      </c>
      <c r="L79" s="30" t="inlineStr">
        <is>
          <t>13/09/2026</t>
        </is>
      </c>
      <c r="M79" s="30" t="inlineStr">
        <is>
          <t>MANISH KATARIA, VICE CONSUL</t>
        </is>
      </c>
      <c r="N79" s="30" t="inlineStr">
        <is>
          <t>26/02/2026</t>
        </is>
      </c>
    </row>
    <row r="80">
      <c r="A80" s="4">
        <f>Sheet1!A80 &amp; "/" &amp; "2025"</f>
        <v/>
      </c>
      <c r="B80" s="5">
        <f>Sheet1!E80</f>
        <v/>
      </c>
      <c r="C80" s="6">
        <f>UPPER(Sheet1!B80)</f>
        <v/>
      </c>
      <c r="D80" s="7">
        <f>IF(Sheet1!F80="F","FEMALE","MALE")</f>
        <v/>
      </c>
      <c r="E80" s="6">
        <f>UPPER(Sheet1!G80)</f>
        <v/>
      </c>
      <c r="F80" s="6">
        <f>UPPER(Sheet1!H80)</f>
        <v/>
      </c>
      <c r="G80" s="5">
        <f>TEXT(Sheet1!C80,"dd/mm/yyyy") &amp; "," &amp; Sheet1!D80</f>
        <v/>
      </c>
      <c r="H80" s="38">
        <f>UPPER(Sheet1!J80 &amp; "," &amp; Sheet1!K80 &amp; "," &amp; Sheet1!L80)</f>
        <v/>
      </c>
      <c r="I80" s="45">
        <f>Sheet1!I80</f>
        <v/>
      </c>
      <c r="J80" s="5">
        <f>Sheet1!M80 &amp; "," &amp; TEXT(Sheet1!N80,"dd/mm/yy")</f>
        <v/>
      </c>
      <c r="K80" s="5" t="inlineStr">
        <is>
          <t>PRINTED</t>
        </is>
      </c>
      <c r="L80" s="30" t="inlineStr">
        <is>
          <t>13/09/2026</t>
        </is>
      </c>
      <c r="M80" s="30" t="inlineStr">
        <is>
          <t>MANISH KATARIA, VICE CONSUL</t>
        </is>
      </c>
      <c r="N80" s="30" t="inlineStr">
        <is>
          <t>26/02/2026</t>
        </is>
      </c>
    </row>
    <row r="81">
      <c r="A81" s="4">
        <f>Sheet1!A81 &amp; "/" &amp; "2025"</f>
        <v/>
      </c>
      <c r="B81" s="5">
        <f>Sheet1!E81</f>
        <v/>
      </c>
      <c r="C81" s="6">
        <f>UPPER(Sheet1!B81)</f>
        <v/>
      </c>
      <c r="D81" s="7">
        <f>IF(Sheet1!F81="F","FEMALE","MALE")</f>
        <v/>
      </c>
      <c r="E81" s="6">
        <f>UPPER(Sheet1!G81)</f>
        <v/>
      </c>
      <c r="F81" s="6">
        <f>UPPER(Sheet1!H81)</f>
        <v/>
      </c>
      <c r="G81" s="5">
        <f>TEXT(Sheet1!C81,"dd/mm/yyyy") &amp; "," &amp; Sheet1!D81</f>
        <v/>
      </c>
      <c r="H81" s="38">
        <f>UPPER(Sheet1!J81 &amp; "," &amp; Sheet1!K81 &amp; "," &amp; Sheet1!L81)</f>
        <v/>
      </c>
      <c r="I81" s="45">
        <f>Sheet1!I81</f>
        <v/>
      </c>
      <c r="J81" s="5">
        <f>Sheet1!M81 &amp; "," &amp; TEXT(Sheet1!N81,"dd/mm/yy")</f>
        <v/>
      </c>
      <c r="K81" s="5" t="inlineStr">
        <is>
          <t>PRINTED</t>
        </is>
      </c>
      <c r="L81" s="30" t="inlineStr">
        <is>
          <t>13/09/2026</t>
        </is>
      </c>
      <c r="M81" s="30" t="inlineStr">
        <is>
          <t>MANISH KATARIA, VICE CONSUL</t>
        </is>
      </c>
      <c r="N81" s="30" t="inlineStr">
        <is>
          <t>26/02/2026</t>
        </is>
      </c>
    </row>
    <row r="82">
      <c r="A82" s="4">
        <f>Sheet1!A82 &amp; "/" &amp; "2025"</f>
        <v/>
      </c>
      <c r="B82" s="5">
        <f>Sheet1!E82</f>
        <v/>
      </c>
      <c r="C82" s="6">
        <f>UPPER(Sheet1!B82)</f>
        <v/>
      </c>
      <c r="D82" s="7">
        <f>IF(Sheet1!F82="F","FEMALE","MALE")</f>
        <v/>
      </c>
      <c r="E82" s="6">
        <f>UPPER(Sheet1!G82)</f>
        <v/>
      </c>
      <c r="F82" s="6">
        <f>UPPER(Sheet1!H82)</f>
        <v/>
      </c>
      <c r="G82" s="5">
        <f>TEXT(Sheet1!C82,"dd/mm/yyyy") &amp; "," &amp; Sheet1!D82</f>
        <v/>
      </c>
      <c r="H82" s="38">
        <f>UPPER(Sheet1!J82 &amp; "," &amp; Sheet1!K82 &amp; "," &amp; Sheet1!L82)</f>
        <v/>
      </c>
      <c r="I82" s="45">
        <f>Sheet1!I82</f>
        <v/>
      </c>
      <c r="J82" s="5">
        <f>Sheet1!M82 &amp; "," &amp; TEXT(Sheet1!N82,"dd/mm/yy")</f>
        <v/>
      </c>
      <c r="K82" s="5" t="inlineStr">
        <is>
          <t>PRINTED</t>
        </is>
      </c>
      <c r="L82" s="30" t="inlineStr">
        <is>
          <t>13/09/2026</t>
        </is>
      </c>
      <c r="M82" s="30" t="inlineStr">
        <is>
          <t>MANISH KATARIA, VICE CONSUL</t>
        </is>
      </c>
      <c r="N82" s="30" t="inlineStr">
        <is>
          <t>26/02/2026</t>
        </is>
      </c>
    </row>
    <row r="83">
      <c r="A83" s="4">
        <f>Sheet1!A83 &amp; "/" &amp; "2025"</f>
        <v/>
      </c>
      <c r="B83" s="5">
        <f>Sheet1!E83</f>
        <v/>
      </c>
      <c r="C83" s="6">
        <f>UPPER(Sheet1!B83)</f>
        <v/>
      </c>
      <c r="D83" s="7">
        <f>IF(Sheet1!F83="F","FEMALE","MALE")</f>
        <v/>
      </c>
      <c r="E83" s="6">
        <f>UPPER(Sheet1!G83)</f>
        <v/>
      </c>
      <c r="F83" s="6">
        <f>UPPER(Sheet1!H83)</f>
        <v/>
      </c>
      <c r="G83" s="5">
        <f>TEXT(Sheet1!C83,"dd/mm/yyyy") &amp; "," &amp; Sheet1!D83</f>
        <v/>
      </c>
      <c r="H83" s="38">
        <f>UPPER(Sheet1!J83 &amp; "," &amp; Sheet1!K83 &amp; "," &amp; Sheet1!L83)</f>
        <v/>
      </c>
      <c r="I83" s="45">
        <f>Sheet1!I83</f>
        <v/>
      </c>
      <c r="J83" s="5">
        <f>Sheet1!M83 &amp; "," &amp; TEXT(Sheet1!N83,"dd/mm/yy")</f>
        <v/>
      </c>
      <c r="K83" s="5" t="inlineStr">
        <is>
          <t>PRINTED</t>
        </is>
      </c>
      <c r="L83" s="30" t="inlineStr">
        <is>
          <t>13/09/2026</t>
        </is>
      </c>
      <c r="M83" s="30" t="inlineStr">
        <is>
          <t>MANISH KATARIA, VICE CONSUL</t>
        </is>
      </c>
      <c r="N83" s="30" t="inlineStr">
        <is>
          <t>26/02/2026</t>
        </is>
      </c>
    </row>
    <row r="84">
      <c r="A84" s="4">
        <f>Sheet1!A84 &amp; "/" &amp; "2025"</f>
        <v/>
      </c>
      <c r="B84" s="5">
        <f>Sheet1!E84</f>
        <v/>
      </c>
      <c r="C84" s="6">
        <f>UPPER(Sheet1!B84)</f>
        <v/>
      </c>
      <c r="D84" s="7">
        <f>IF(Sheet1!F84="F","FEMALE","MALE")</f>
        <v/>
      </c>
      <c r="E84" s="6">
        <f>UPPER(Sheet1!G84)</f>
        <v/>
      </c>
      <c r="F84" s="6">
        <f>UPPER(Sheet1!H84)</f>
        <v/>
      </c>
      <c r="G84" s="5">
        <f>TEXT(Sheet1!C84,"dd/mm/yyyy") &amp; "," &amp; Sheet1!D84</f>
        <v/>
      </c>
      <c r="H84" s="38">
        <f>UPPER(Sheet1!J84 &amp; "," &amp; Sheet1!K84 &amp; "," &amp; Sheet1!L84)</f>
        <v/>
      </c>
      <c r="I84" s="45">
        <f>Sheet1!I84</f>
        <v/>
      </c>
      <c r="J84" s="5">
        <f>Sheet1!M84 &amp; "," &amp; TEXT(Sheet1!N84,"dd/mm/yy")</f>
        <v/>
      </c>
      <c r="K84" s="5" t="inlineStr">
        <is>
          <t>PRINTED</t>
        </is>
      </c>
      <c r="L84" s="30" t="inlineStr">
        <is>
          <t>13/09/2026</t>
        </is>
      </c>
      <c r="M84" s="30" t="inlineStr">
        <is>
          <t>MANISH KATARIA, VICE CONSUL</t>
        </is>
      </c>
      <c r="N84" s="30" t="inlineStr">
        <is>
          <t>26/02/2026</t>
        </is>
      </c>
    </row>
    <row r="85">
      <c r="A85" s="4">
        <f>Sheet1!A85 &amp; "/" &amp; "2025"</f>
        <v/>
      </c>
      <c r="B85" s="5">
        <f>Sheet1!E85</f>
        <v/>
      </c>
      <c r="C85" s="6">
        <f>UPPER(Sheet1!B85)</f>
        <v/>
      </c>
      <c r="D85" s="7">
        <f>IF(Sheet1!F85="F","FEMALE","MALE")</f>
        <v/>
      </c>
      <c r="E85" s="6">
        <f>UPPER(Sheet1!G85)</f>
        <v/>
      </c>
      <c r="F85" s="6">
        <f>UPPER(Sheet1!H85)</f>
        <v/>
      </c>
      <c r="G85" s="5">
        <f>TEXT(Sheet1!C85,"dd/mm/yyyy") &amp; "," &amp; Sheet1!D85</f>
        <v/>
      </c>
      <c r="H85" s="38">
        <f>UPPER(Sheet1!J85 &amp; "," &amp; Sheet1!K85 &amp; "," &amp; Sheet1!L85)</f>
        <v/>
      </c>
      <c r="I85" s="45">
        <f>Sheet1!I85</f>
        <v/>
      </c>
      <c r="J85" s="5">
        <f>Sheet1!M85 &amp; "," &amp; TEXT(Sheet1!N85,"dd/mm/yy")</f>
        <v/>
      </c>
      <c r="K85" s="5" t="inlineStr">
        <is>
          <t>PRINTED</t>
        </is>
      </c>
      <c r="L85" s="30" t="inlineStr">
        <is>
          <t>13/09/2026</t>
        </is>
      </c>
      <c r="M85" s="30" t="inlineStr">
        <is>
          <t>MANISH KATARIA, VICE CONSUL</t>
        </is>
      </c>
      <c r="N85" s="30" t="inlineStr">
        <is>
          <t>26/02/2026</t>
        </is>
      </c>
    </row>
    <row r="86">
      <c r="A86" s="4">
        <f>Sheet1!A86 &amp; "/" &amp; "2025"</f>
        <v/>
      </c>
      <c r="B86" s="5">
        <f>Sheet1!E86</f>
        <v/>
      </c>
      <c r="C86" s="6">
        <f>UPPER(Sheet1!B86)</f>
        <v/>
      </c>
      <c r="D86" s="7">
        <f>IF(Sheet1!F86="F","FEMALE","MALE")</f>
        <v/>
      </c>
      <c r="E86" s="6">
        <f>UPPER(Sheet1!G86)</f>
        <v/>
      </c>
      <c r="F86" s="6">
        <f>UPPER(Sheet1!H86)</f>
        <v/>
      </c>
      <c r="G86" s="5">
        <f>TEXT(Sheet1!C86,"dd/mm/yyyy") &amp; "," &amp; Sheet1!D86</f>
        <v/>
      </c>
      <c r="H86" s="38">
        <f>UPPER(Sheet1!J86 &amp; "," &amp; Sheet1!K86 &amp; "," &amp; Sheet1!L86)</f>
        <v/>
      </c>
      <c r="I86" s="45">
        <f>Sheet1!I86</f>
        <v/>
      </c>
      <c r="J86" s="5">
        <f>Sheet1!M86 &amp; "," &amp; TEXT(Sheet1!N86,"dd/mm/yy")</f>
        <v/>
      </c>
      <c r="K86" s="5" t="inlineStr">
        <is>
          <t>PRINTED</t>
        </is>
      </c>
      <c r="L86" s="30" t="inlineStr">
        <is>
          <t>13/09/2026</t>
        </is>
      </c>
      <c r="M86" s="30" t="inlineStr">
        <is>
          <t>MANISH KATARIA, VICE CONSUL</t>
        </is>
      </c>
      <c r="N86" s="30" t="inlineStr">
        <is>
          <t>26/02/2026</t>
        </is>
      </c>
    </row>
    <row r="87">
      <c r="A87" s="4">
        <f>Sheet1!A87 &amp; "/" &amp; "2025"</f>
        <v/>
      </c>
      <c r="B87" s="5">
        <f>Sheet1!E87</f>
        <v/>
      </c>
      <c r="C87" s="6">
        <f>UPPER(Sheet1!B87)</f>
        <v/>
      </c>
      <c r="D87" s="7">
        <f>IF(Sheet1!F87="F","FEMALE","MALE")</f>
        <v/>
      </c>
      <c r="E87" s="6">
        <f>UPPER(Sheet1!G87)</f>
        <v/>
      </c>
      <c r="F87" s="6">
        <f>UPPER(Sheet1!H87)</f>
        <v/>
      </c>
      <c r="G87" s="5">
        <f>TEXT(Sheet1!C87,"dd/mm/yyyy") &amp; "," &amp; Sheet1!D87</f>
        <v/>
      </c>
      <c r="H87" s="38">
        <f>UPPER(Sheet1!J87 &amp; "," &amp; Sheet1!K87 &amp; "," &amp; Sheet1!L87)</f>
        <v/>
      </c>
      <c r="I87" s="45">
        <f>Sheet1!I87</f>
        <v/>
      </c>
      <c r="J87" s="5">
        <f>Sheet1!M87 &amp; "," &amp; TEXT(Sheet1!N87,"dd/mm/yy")</f>
        <v/>
      </c>
      <c r="K87" s="5" t="inlineStr">
        <is>
          <t>PRINTED</t>
        </is>
      </c>
      <c r="L87" s="30" t="inlineStr">
        <is>
          <t>13/09/2026</t>
        </is>
      </c>
      <c r="M87" s="30" t="inlineStr">
        <is>
          <t>MANISH KATARIA, VICE CONSUL</t>
        </is>
      </c>
      <c r="N87" s="30" t="inlineStr">
        <is>
          <t>26/02/2026</t>
        </is>
      </c>
    </row>
    <row r="88">
      <c r="A88" s="4">
        <f>Sheet1!A88 &amp; "/" &amp; "2025"</f>
        <v/>
      </c>
      <c r="B88" s="5">
        <f>Sheet1!E88</f>
        <v/>
      </c>
      <c r="C88" s="6">
        <f>UPPER(Sheet1!B88)</f>
        <v/>
      </c>
      <c r="D88" s="7">
        <f>IF(Sheet1!F88="F","FEMALE","MALE")</f>
        <v/>
      </c>
      <c r="E88" s="6">
        <f>UPPER(Sheet1!G88)</f>
        <v/>
      </c>
      <c r="F88" s="6">
        <f>UPPER(Sheet1!H88)</f>
        <v/>
      </c>
      <c r="G88" s="5">
        <f>TEXT(Sheet1!C88,"dd/mm/yyyy") &amp; "," &amp; Sheet1!D88</f>
        <v/>
      </c>
      <c r="H88" s="38">
        <f>UPPER(Sheet1!J88 &amp; "," &amp; Sheet1!K88 &amp; "," &amp; Sheet1!L88)</f>
        <v/>
      </c>
      <c r="I88" s="45">
        <f>Sheet1!I88</f>
        <v/>
      </c>
      <c r="J88" s="5">
        <f>Sheet1!M88 &amp; "," &amp; TEXT(Sheet1!N88,"dd/mm/yy")</f>
        <v/>
      </c>
      <c r="K88" s="5" t="inlineStr">
        <is>
          <t>PRINTED</t>
        </is>
      </c>
      <c r="L88" s="30" t="inlineStr">
        <is>
          <t>13/09/2026</t>
        </is>
      </c>
      <c r="M88" s="30" t="inlineStr">
        <is>
          <t>MANISH KATARIA, VICE CONSUL</t>
        </is>
      </c>
      <c r="N88" s="30" t="inlineStr">
        <is>
          <t>26/02/2026</t>
        </is>
      </c>
    </row>
    <row r="89">
      <c r="A89" s="4">
        <f>Sheet1!A89 &amp; "/" &amp; "2025"</f>
        <v/>
      </c>
      <c r="B89" s="5">
        <f>Sheet1!E89</f>
        <v/>
      </c>
      <c r="C89" s="6">
        <f>UPPER(Sheet1!B89)</f>
        <v/>
      </c>
      <c r="D89" s="7">
        <f>IF(Sheet1!F89="F","FEMALE","MALE")</f>
        <v/>
      </c>
      <c r="E89" s="6">
        <f>UPPER(Sheet1!G89)</f>
        <v/>
      </c>
      <c r="F89" s="6">
        <f>UPPER(Sheet1!H89)</f>
        <v/>
      </c>
      <c r="G89" s="5">
        <f>TEXT(Sheet1!C89,"dd/mm/yyyy") &amp; "," &amp; Sheet1!D89</f>
        <v/>
      </c>
      <c r="H89" s="38">
        <f>UPPER(Sheet1!J89 &amp; "," &amp; Sheet1!K89 &amp; "," &amp; Sheet1!L89)</f>
        <v/>
      </c>
      <c r="I89" s="45">
        <f>Sheet1!I89</f>
        <v/>
      </c>
      <c r="J89" s="5">
        <f>Sheet1!M89 &amp; "," &amp; TEXT(Sheet1!N89,"dd/mm/yy")</f>
        <v/>
      </c>
      <c r="K89" s="5" t="inlineStr">
        <is>
          <t>PRINTED</t>
        </is>
      </c>
      <c r="L89" s="30" t="inlineStr">
        <is>
          <t>13/09/2026</t>
        </is>
      </c>
      <c r="M89" s="30" t="inlineStr">
        <is>
          <t>MANISH KATARIA, VICE CONSUL</t>
        </is>
      </c>
      <c r="N89" s="30" t="inlineStr">
        <is>
          <t>26/02/2026</t>
        </is>
      </c>
    </row>
    <row r="90">
      <c r="A90" s="4">
        <f>Sheet1!A90 &amp; "/" &amp; "2025"</f>
        <v/>
      </c>
      <c r="B90" s="5">
        <f>Sheet1!E90</f>
        <v/>
      </c>
      <c r="C90" s="6">
        <f>UPPER(Sheet1!B90)</f>
        <v/>
      </c>
      <c r="D90" s="7">
        <f>IF(Sheet1!F90="F","FEMALE","MALE")</f>
        <v/>
      </c>
      <c r="E90" s="6">
        <f>UPPER(Sheet1!G90)</f>
        <v/>
      </c>
      <c r="F90" s="6">
        <f>UPPER(Sheet1!H90)</f>
        <v/>
      </c>
      <c r="G90" s="5">
        <f>TEXT(Sheet1!C90,"dd/mm/yyyy") &amp; "," &amp; Sheet1!D90</f>
        <v/>
      </c>
      <c r="H90" s="38">
        <f>UPPER(Sheet1!J90 &amp; "," &amp; Sheet1!K90 &amp; "," &amp; Sheet1!L90)</f>
        <v/>
      </c>
      <c r="I90" s="45">
        <f>Sheet1!I90</f>
        <v/>
      </c>
      <c r="J90" s="5">
        <f>Sheet1!M90 &amp; "," &amp; TEXT(Sheet1!N90,"dd/mm/yy")</f>
        <v/>
      </c>
      <c r="K90" s="5" t="inlineStr">
        <is>
          <t>PRINTED</t>
        </is>
      </c>
      <c r="L90" s="30" t="inlineStr">
        <is>
          <t>13/09/2026</t>
        </is>
      </c>
      <c r="M90" s="30" t="inlineStr">
        <is>
          <t>MANISH KATARIA, VICE CONSUL</t>
        </is>
      </c>
      <c r="N90" s="30" t="inlineStr">
        <is>
          <t>26/02/2026</t>
        </is>
      </c>
    </row>
    <row r="91">
      <c r="A91" s="4">
        <f>Sheet1!A91 &amp; "/" &amp; "2025"</f>
        <v/>
      </c>
      <c r="B91" s="5">
        <f>Sheet1!E91</f>
        <v/>
      </c>
      <c r="C91" s="6">
        <f>UPPER(Sheet1!B91)</f>
        <v/>
      </c>
      <c r="D91" s="7">
        <f>IF(Sheet1!F91="F","FEMALE","MALE")</f>
        <v/>
      </c>
      <c r="E91" s="6">
        <f>UPPER(Sheet1!G91)</f>
        <v/>
      </c>
      <c r="F91" s="6">
        <f>UPPER(Sheet1!H91)</f>
        <v/>
      </c>
      <c r="G91" s="5">
        <f>TEXT(Sheet1!C91,"dd/mm/yyyy") &amp; "," &amp; Sheet1!D91</f>
        <v/>
      </c>
      <c r="H91" s="38">
        <f>UPPER(Sheet1!J91 &amp; "," &amp; Sheet1!K91 &amp; "," &amp; Sheet1!L91)</f>
        <v/>
      </c>
      <c r="I91" s="45">
        <f>Sheet1!I91</f>
        <v/>
      </c>
      <c r="J91" s="5">
        <f>Sheet1!M91 &amp; "," &amp; TEXT(Sheet1!N91,"dd/mm/yy")</f>
        <v/>
      </c>
      <c r="K91" s="5" t="inlineStr">
        <is>
          <t>PRINTED</t>
        </is>
      </c>
      <c r="L91" s="30" t="inlineStr">
        <is>
          <t>13/09/2026</t>
        </is>
      </c>
      <c r="M91" s="30" t="inlineStr">
        <is>
          <t>MANISH KATARIA, VICE CONSUL</t>
        </is>
      </c>
      <c r="N91" s="30" t="inlineStr">
        <is>
          <t>26/02/2026</t>
        </is>
      </c>
    </row>
    <row r="92">
      <c r="A92" s="4">
        <f>Sheet1!A92 &amp; "/" &amp; "2025"</f>
        <v/>
      </c>
      <c r="B92" s="5">
        <f>Sheet1!E92</f>
        <v/>
      </c>
      <c r="C92" s="6">
        <f>UPPER(Sheet1!B92)</f>
        <v/>
      </c>
      <c r="D92" s="7">
        <f>IF(Sheet1!F92="F","FEMALE","MALE")</f>
        <v/>
      </c>
      <c r="E92" s="6">
        <f>UPPER(Sheet1!G92)</f>
        <v/>
      </c>
      <c r="F92" s="6">
        <f>UPPER(Sheet1!H92)</f>
        <v/>
      </c>
      <c r="G92" s="5">
        <f>TEXT(Sheet1!C92,"dd/mm/yyyy") &amp; "," &amp; Sheet1!D92</f>
        <v/>
      </c>
      <c r="H92" s="38">
        <f>UPPER(Sheet1!J92 &amp; "," &amp; Sheet1!K92 &amp; "," &amp; Sheet1!L92)</f>
        <v/>
      </c>
      <c r="I92" s="45">
        <f>Sheet1!I92</f>
        <v/>
      </c>
      <c r="J92" s="5">
        <f>Sheet1!M92 &amp; "," &amp; TEXT(Sheet1!N92,"dd/mm/yy")</f>
        <v/>
      </c>
      <c r="K92" s="5" t="inlineStr">
        <is>
          <t>PRINTED</t>
        </is>
      </c>
      <c r="L92" s="30" t="inlineStr">
        <is>
          <t>13/09/2026</t>
        </is>
      </c>
      <c r="M92" s="30" t="inlineStr">
        <is>
          <t>MANISH KATARIA, VICE CONSUL</t>
        </is>
      </c>
      <c r="N92" s="30" t="inlineStr">
        <is>
          <t>26/02/2026</t>
        </is>
      </c>
    </row>
    <row r="93">
      <c r="A93" s="4">
        <f>Sheet1!A93 &amp; "/" &amp; "2025"</f>
        <v/>
      </c>
      <c r="B93" s="5">
        <f>Sheet1!E93</f>
        <v/>
      </c>
      <c r="C93" s="6">
        <f>UPPER(Sheet1!B93)</f>
        <v/>
      </c>
      <c r="D93" s="7">
        <f>IF(Sheet1!F93="F","FEMALE","MALE")</f>
        <v/>
      </c>
      <c r="E93" s="6">
        <f>UPPER(Sheet1!G93)</f>
        <v/>
      </c>
      <c r="F93" s="6">
        <f>UPPER(Sheet1!H93)</f>
        <v/>
      </c>
      <c r="G93" s="5">
        <f>TEXT(Sheet1!C93,"dd/mm/yyyy") &amp; "," &amp; Sheet1!D93</f>
        <v/>
      </c>
      <c r="H93" s="38">
        <f>UPPER(Sheet1!J93 &amp; "," &amp; Sheet1!K93 &amp; "," &amp; Sheet1!L93)</f>
        <v/>
      </c>
      <c r="I93" s="45">
        <f>Sheet1!I93</f>
        <v/>
      </c>
      <c r="J93" s="5">
        <f>Sheet1!M93 &amp; "," &amp; TEXT(Sheet1!N93,"dd/mm/yy")</f>
        <v/>
      </c>
      <c r="K93" s="5" t="inlineStr">
        <is>
          <t>PRINTED</t>
        </is>
      </c>
      <c r="L93" s="30" t="inlineStr">
        <is>
          <t>13/09/2026</t>
        </is>
      </c>
      <c r="M93" s="30" t="inlineStr">
        <is>
          <t>MANISH KATARIA, VICE CONSUL</t>
        </is>
      </c>
      <c r="N93" s="30" t="inlineStr">
        <is>
          <t>26/02/2026</t>
        </is>
      </c>
    </row>
    <row r="94">
      <c r="A94" s="4">
        <f>Sheet1!A94 &amp; "/" &amp; "2025"</f>
        <v/>
      </c>
      <c r="B94" s="5">
        <f>Sheet1!E94</f>
        <v/>
      </c>
      <c r="C94" s="6">
        <f>UPPER(Sheet1!B94)</f>
        <v/>
      </c>
      <c r="D94" s="7">
        <f>IF(Sheet1!F94="F","FEMALE","MALE")</f>
        <v/>
      </c>
      <c r="E94" s="6">
        <f>UPPER(Sheet1!G94)</f>
        <v/>
      </c>
      <c r="F94" s="6">
        <f>UPPER(Sheet1!H94)</f>
        <v/>
      </c>
      <c r="G94" s="5">
        <f>TEXT(Sheet1!C94,"dd/mm/yyyy") &amp; "," &amp; Sheet1!D94</f>
        <v/>
      </c>
      <c r="H94" s="38">
        <f>UPPER(Sheet1!J94 &amp; "," &amp; Sheet1!K94 &amp; "," &amp; Sheet1!L94)</f>
        <v/>
      </c>
      <c r="I94" s="45">
        <f>Sheet1!I94</f>
        <v/>
      </c>
      <c r="J94" s="5">
        <f>Sheet1!M94 &amp; "," &amp; TEXT(Sheet1!N94,"dd/mm/yy")</f>
        <v/>
      </c>
      <c r="K94" s="5" t="inlineStr">
        <is>
          <t>PRINTED</t>
        </is>
      </c>
      <c r="L94" s="30" t="inlineStr">
        <is>
          <t>13/09/2026</t>
        </is>
      </c>
      <c r="M94" s="30" t="inlineStr">
        <is>
          <t>MANISH KATARIA, VICE CONSUL</t>
        </is>
      </c>
      <c r="N94" s="30" t="inlineStr">
        <is>
          <t>26/02/2026</t>
        </is>
      </c>
    </row>
    <row r="95">
      <c r="A95" s="4">
        <f>Sheet1!A95 &amp; "/" &amp; "2025"</f>
        <v/>
      </c>
      <c r="B95" s="5">
        <f>Sheet1!E95</f>
        <v/>
      </c>
      <c r="C95" s="6">
        <f>UPPER(Sheet1!B95)</f>
        <v/>
      </c>
      <c r="D95" s="7">
        <f>IF(Sheet1!F95="F","FEMALE","MALE")</f>
        <v/>
      </c>
      <c r="E95" s="6">
        <f>UPPER(Sheet1!G95)</f>
        <v/>
      </c>
      <c r="F95" s="6">
        <f>UPPER(Sheet1!H95)</f>
        <v/>
      </c>
      <c r="G95" s="5">
        <f>TEXT(Sheet1!C95,"dd/mm/yyyy") &amp; "," &amp; Sheet1!D95</f>
        <v/>
      </c>
      <c r="H95" s="38">
        <f>UPPER(Sheet1!J95 &amp; "," &amp; Sheet1!K95 &amp; "," &amp; Sheet1!L95)</f>
        <v/>
      </c>
      <c r="I95" s="45">
        <f>Sheet1!I95</f>
        <v/>
      </c>
      <c r="J95" s="5">
        <f>Sheet1!M95 &amp; "," &amp; TEXT(Sheet1!N95,"dd/mm/yy")</f>
        <v/>
      </c>
      <c r="K95" s="5" t="inlineStr">
        <is>
          <t>PRINTED</t>
        </is>
      </c>
      <c r="L95" s="30" t="inlineStr">
        <is>
          <t>13/09/2026</t>
        </is>
      </c>
      <c r="M95" s="30" t="inlineStr">
        <is>
          <t>MANISH KATARIA, VICE CONSUL</t>
        </is>
      </c>
      <c r="N95" s="30" t="inlineStr">
        <is>
          <t>26/02/2026</t>
        </is>
      </c>
    </row>
    <row r="96">
      <c r="A96" s="4">
        <f>Sheet1!A96 &amp; "/" &amp; "2025"</f>
        <v/>
      </c>
      <c r="B96" s="5">
        <f>Sheet1!E96</f>
        <v/>
      </c>
      <c r="C96" s="6">
        <f>UPPER(Sheet1!B96)</f>
        <v/>
      </c>
      <c r="D96" s="7">
        <f>IF(Sheet1!F96="F","FEMALE","MALE")</f>
        <v/>
      </c>
      <c r="E96" s="6">
        <f>UPPER(Sheet1!G96)</f>
        <v/>
      </c>
      <c r="F96" s="6">
        <f>UPPER(Sheet1!H96)</f>
        <v/>
      </c>
      <c r="G96" s="5">
        <f>TEXT(Sheet1!C96,"dd/mm/yyyy") &amp; "," &amp; Sheet1!D96</f>
        <v/>
      </c>
      <c r="H96" s="38">
        <f>UPPER(Sheet1!J96 &amp; "," &amp; Sheet1!K96 &amp; "," &amp; Sheet1!L96)</f>
        <v/>
      </c>
      <c r="I96" s="45">
        <f>Sheet1!I96</f>
        <v/>
      </c>
      <c r="J96" s="5">
        <f>Sheet1!M96 &amp; "," &amp; TEXT(Sheet1!N96,"dd/mm/yy")</f>
        <v/>
      </c>
      <c r="K96" s="5" t="inlineStr">
        <is>
          <t>PRINTED</t>
        </is>
      </c>
      <c r="L96" s="30" t="inlineStr">
        <is>
          <t>13/09/2026</t>
        </is>
      </c>
      <c r="M96" s="30" t="inlineStr">
        <is>
          <t>MANISH KATARIA, VICE CONSUL</t>
        </is>
      </c>
      <c r="N96" s="30" t="inlineStr">
        <is>
          <t>26/02/2026</t>
        </is>
      </c>
    </row>
    <row r="97">
      <c r="A97" s="4">
        <f>Sheet1!A97 &amp; "/" &amp; "2025"</f>
        <v/>
      </c>
      <c r="B97" s="5">
        <f>Sheet1!E97</f>
        <v/>
      </c>
      <c r="C97" s="6">
        <f>UPPER(Sheet1!B97)</f>
        <v/>
      </c>
      <c r="D97" s="7">
        <f>IF(Sheet1!F97="F","FEMALE","MALE")</f>
        <v/>
      </c>
      <c r="E97" s="6">
        <f>UPPER(Sheet1!G97)</f>
        <v/>
      </c>
      <c r="F97" s="6">
        <f>UPPER(Sheet1!H97)</f>
        <v/>
      </c>
      <c r="G97" s="5">
        <f>TEXT(Sheet1!C97,"dd/mm/yyyy") &amp; "," &amp; Sheet1!D97</f>
        <v/>
      </c>
      <c r="H97" s="38">
        <f>UPPER(Sheet1!J97 &amp; "," &amp; Sheet1!K97 &amp; "," &amp; Sheet1!L97)</f>
        <v/>
      </c>
      <c r="I97" s="45">
        <f>Sheet1!I97</f>
        <v/>
      </c>
      <c r="J97" s="5">
        <f>Sheet1!M97 &amp; "," &amp; TEXT(Sheet1!N97,"dd/mm/yy")</f>
        <v/>
      </c>
      <c r="K97" s="5" t="inlineStr">
        <is>
          <t>PRINTED</t>
        </is>
      </c>
      <c r="L97" s="30" t="inlineStr">
        <is>
          <t>13/09/2026</t>
        </is>
      </c>
      <c r="M97" s="30" t="inlineStr">
        <is>
          <t>MANISH KATARIA, VICE CONSUL</t>
        </is>
      </c>
      <c r="N97" s="30" t="inlineStr">
        <is>
          <t>26/02/2026</t>
        </is>
      </c>
    </row>
    <row r="98">
      <c r="A98" s="4">
        <f>Sheet1!A98 &amp; "/" &amp; "2025"</f>
        <v/>
      </c>
      <c r="B98" s="5">
        <f>Sheet1!E98</f>
        <v/>
      </c>
      <c r="C98" s="6">
        <f>UPPER(Sheet1!B98)</f>
        <v/>
      </c>
      <c r="D98" s="7">
        <f>IF(Sheet1!F98="F","FEMALE","MALE")</f>
        <v/>
      </c>
      <c r="E98" s="6">
        <f>UPPER(Sheet1!G98)</f>
        <v/>
      </c>
      <c r="F98" s="6">
        <f>UPPER(Sheet1!H98)</f>
        <v/>
      </c>
      <c r="G98" s="5">
        <f>TEXT(Sheet1!C98,"dd/mm/yyyy") &amp; "," &amp; Sheet1!D98</f>
        <v/>
      </c>
      <c r="H98" s="38">
        <f>UPPER(Sheet1!J98 &amp; "," &amp; Sheet1!K98 &amp; "," &amp; Sheet1!L98)</f>
        <v/>
      </c>
      <c r="I98" s="45">
        <f>Sheet1!I98</f>
        <v/>
      </c>
      <c r="J98" s="5">
        <f>Sheet1!M98 &amp; "," &amp; TEXT(Sheet1!N98,"dd/mm/yy")</f>
        <v/>
      </c>
      <c r="K98" s="5" t="inlineStr">
        <is>
          <t>PRINTED</t>
        </is>
      </c>
      <c r="L98" s="30" t="inlineStr">
        <is>
          <t>13/09/2026</t>
        </is>
      </c>
      <c r="M98" s="30" t="inlineStr">
        <is>
          <t>MANISH KATARIA, VICE CONSUL</t>
        </is>
      </c>
      <c r="N98" s="30" t="inlineStr">
        <is>
          <t>26/02/2026</t>
        </is>
      </c>
    </row>
    <row r="99">
      <c r="A99" s="4">
        <f>Sheet1!A99 &amp; "/" &amp; "2025"</f>
        <v/>
      </c>
      <c r="B99" s="5">
        <f>Sheet1!E99</f>
        <v/>
      </c>
      <c r="C99" s="6">
        <f>UPPER(Sheet1!B99)</f>
        <v/>
      </c>
      <c r="D99" s="7">
        <f>IF(Sheet1!F99="F","FEMALE","MALE")</f>
        <v/>
      </c>
      <c r="E99" s="6">
        <f>UPPER(Sheet1!G99)</f>
        <v/>
      </c>
      <c r="F99" s="6">
        <f>UPPER(Sheet1!H99)</f>
        <v/>
      </c>
      <c r="G99" s="5">
        <f>TEXT(Sheet1!C99,"dd/mm/yyyy") &amp; "," &amp; Sheet1!D99</f>
        <v/>
      </c>
      <c r="H99" s="38">
        <f>UPPER(Sheet1!J99 &amp; "," &amp; Sheet1!K99 &amp; "," &amp; Sheet1!L99)</f>
        <v/>
      </c>
      <c r="I99" s="45">
        <f>Sheet1!I99</f>
        <v/>
      </c>
      <c r="J99" s="5">
        <f>Sheet1!M99 &amp; "," &amp; TEXT(Sheet1!N99,"dd/mm/yy")</f>
        <v/>
      </c>
      <c r="K99" s="5" t="inlineStr">
        <is>
          <t>PRINTED</t>
        </is>
      </c>
      <c r="L99" s="30" t="inlineStr">
        <is>
          <t>13/09/2026</t>
        </is>
      </c>
      <c r="M99" s="30" t="inlineStr">
        <is>
          <t>MANISH KATARIA, VICE CONSUL</t>
        </is>
      </c>
      <c r="N99" s="30" t="inlineStr">
        <is>
          <t>26/02/2026</t>
        </is>
      </c>
    </row>
    <row r="100">
      <c r="A100" s="4">
        <f>Sheet1!A100 &amp; "/" &amp; "2025"</f>
        <v/>
      </c>
      <c r="B100" s="5">
        <f>Sheet1!E100</f>
        <v/>
      </c>
      <c r="C100" s="6">
        <f>UPPER(Sheet1!B100)</f>
        <v/>
      </c>
      <c r="D100" s="7">
        <f>IF(Sheet1!F100="F","FEMALE","MALE")</f>
        <v/>
      </c>
      <c r="E100" s="6">
        <f>UPPER(Sheet1!G100)</f>
        <v/>
      </c>
      <c r="F100" s="6">
        <f>UPPER(Sheet1!H100)</f>
        <v/>
      </c>
      <c r="G100" s="5">
        <f>TEXT(Sheet1!C100,"dd/mm/yyyy") &amp; "," &amp; Sheet1!D100</f>
        <v/>
      </c>
      <c r="H100" s="38">
        <f>UPPER(Sheet1!J100 &amp; "," &amp; Sheet1!K100 &amp; "," &amp; Sheet1!L100)</f>
        <v/>
      </c>
      <c r="I100" s="45">
        <f>Sheet1!I100</f>
        <v/>
      </c>
      <c r="J100" s="5">
        <f>Sheet1!M100 &amp; "," &amp; TEXT(Sheet1!N100,"dd/mm/yy")</f>
        <v/>
      </c>
      <c r="K100" s="5" t="inlineStr">
        <is>
          <t>PRINTED</t>
        </is>
      </c>
      <c r="L100" s="30" t="inlineStr">
        <is>
          <t>13/09/2026</t>
        </is>
      </c>
      <c r="M100" s="30" t="inlineStr">
        <is>
          <t>MANISH KATARIA, VICE CONSUL</t>
        </is>
      </c>
      <c r="N100" s="30" t="inlineStr">
        <is>
          <t>26/02/2026</t>
        </is>
      </c>
    </row>
    <row r="101">
      <c r="A101" s="4">
        <f>Sheet1!A101 &amp; "/" &amp; "2025"</f>
        <v/>
      </c>
      <c r="B101" s="5">
        <f>Sheet1!E101</f>
        <v/>
      </c>
      <c r="C101" s="6">
        <f>UPPER(Sheet1!B101)</f>
        <v/>
      </c>
      <c r="D101" s="7">
        <f>IF(Sheet1!F101="F","FEMALE","MALE")</f>
        <v/>
      </c>
      <c r="E101" s="6">
        <f>UPPER(Sheet1!G101)</f>
        <v/>
      </c>
      <c r="F101" s="6">
        <f>UPPER(Sheet1!H101)</f>
        <v/>
      </c>
      <c r="G101" s="5">
        <f>TEXT(Sheet1!C101,"dd/mm/yyyy") &amp; "," &amp; Sheet1!D101</f>
        <v/>
      </c>
      <c r="H101" s="38">
        <f>UPPER(Sheet1!J101 &amp; "," &amp; Sheet1!K101 &amp; "," &amp; Sheet1!L101)</f>
        <v/>
      </c>
      <c r="I101" s="45">
        <f>Sheet1!I101</f>
        <v/>
      </c>
      <c r="J101" s="5">
        <f>Sheet1!M101 &amp; "," &amp; TEXT(Sheet1!N101,"dd/mm/yy")</f>
        <v/>
      </c>
      <c r="K101" s="5" t="inlineStr">
        <is>
          <t>PRINTED</t>
        </is>
      </c>
      <c r="L101" s="30" t="inlineStr">
        <is>
          <t>13/09/2026</t>
        </is>
      </c>
      <c r="M101" s="30" t="inlineStr">
        <is>
          <t>MANISH KATARIA, VICE CONSUL</t>
        </is>
      </c>
      <c r="N101" s="30" t="inlineStr">
        <is>
          <t>26/02/2026</t>
        </is>
      </c>
    </row>
    <row r="102">
      <c r="A102" s="4">
        <f>Sheet1!A102 &amp; "/" &amp; "2025"</f>
        <v/>
      </c>
      <c r="B102" s="5">
        <f>Sheet1!E102</f>
        <v/>
      </c>
      <c r="C102" s="6">
        <f>UPPER(Sheet1!B102)</f>
        <v/>
      </c>
      <c r="D102" s="7">
        <f>IF(Sheet1!F102="F","FEMALE","MALE")</f>
        <v/>
      </c>
      <c r="E102" s="6">
        <f>UPPER(Sheet1!G102)</f>
        <v/>
      </c>
      <c r="F102" s="6">
        <f>UPPER(Sheet1!H102)</f>
        <v/>
      </c>
      <c r="G102" s="5">
        <f>TEXT(Sheet1!C102,"dd/mm/yyyy") &amp; "," &amp; Sheet1!D102</f>
        <v/>
      </c>
      <c r="H102" s="38">
        <f>UPPER(Sheet1!J102 &amp; "," &amp; Sheet1!K102 &amp; "," &amp; Sheet1!L102)</f>
        <v/>
      </c>
      <c r="I102" s="45">
        <f>Sheet1!I102</f>
        <v/>
      </c>
      <c r="J102" s="5">
        <f>Sheet1!M102 &amp; "," &amp; TEXT(Sheet1!N102,"dd/mm/yy")</f>
        <v/>
      </c>
      <c r="K102" s="5" t="inlineStr">
        <is>
          <t>PRINTED</t>
        </is>
      </c>
      <c r="L102" s="30" t="inlineStr">
        <is>
          <t>13/09/2026</t>
        </is>
      </c>
      <c r="M102" s="30" t="inlineStr">
        <is>
          <t>MANISH KATARIA, VICE CONSUL</t>
        </is>
      </c>
      <c r="N102" s="30" t="inlineStr">
        <is>
          <t>26/02/2026</t>
        </is>
      </c>
    </row>
    <row r="103">
      <c r="A103" s="4">
        <f>Sheet1!A103 &amp; "/" &amp; "2025"</f>
        <v/>
      </c>
      <c r="B103" s="5">
        <f>Sheet1!E103</f>
        <v/>
      </c>
      <c r="C103" s="6">
        <f>UPPER(Sheet1!B103)</f>
        <v/>
      </c>
      <c r="D103" s="7">
        <f>IF(Sheet1!F103="F","FEMALE","MALE")</f>
        <v/>
      </c>
      <c r="E103" s="6">
        <f>UPPER(Sheet1!G103)</f>
        <v/>
      </c>
      <c r="F103" s="6">
        <f>UPPER(Sheet1!H103)</f>
        <v/>
      </c>
      <c r="G103" s="5">
        <f>TEXT(Sheet1!C103,"dd/mm/yyyy") &amp; "," &amp; Sheet1!D103</f>
        <v/>
      </c>
      <c r="H103" s="38">
        <f>UPPER(Sheet1!J103 &amp; "," &amp; Sheet1!K103 &amp; "," &amp; Sheet1!L103)</f>
        <v/>
      </c>
      <c r="I103" s="45">
        <f>Sheet1!I103</f>
        <v/>
      </c>
      <c r="J103" s="5">
        <f>Sheet1!M103 &amp; "," &amp; TEXT(Sheet1!N103,"dd/mm/yy")</f>
        <v/>
      </c>
      <c r="K103" s="5" t="inlineStr">
        <is>
          <t>PRINTED</t>
        </is>
      </c>
      <c r="L103" s="30" t="inlineStr">
        <is>
          <t>13/09/2026</t>
        </is>
      </c>
      <c r="M103" s="30" t="inlineStr">
        <is>
          <t>MANISH KATARIA, VICE CONSUL</t>
        </is>
      </c>
      <c r="N103" s="30" t="inlineStr">
        <is>
          <t>26/02/2026</t>
        </is>
      </c>
    </row>
    <row r="104">
      <c r="A104" s="4">
        <f>Sheet1!A104 &amp; "/" &amp; "2025"</f>
        <v/>
      </c>
      <c r="B104" s="5">
        <f>Sheet1!E104</f>
        <v/>
      </c>
      <c r="C104" s="6">
        <f>UPPER(Sheet1!B104)</f>
        <v/>
      </c>
      <c r="D104" s="7">
        <f>IF(Sheet1!F104="F","FEMALE","MALE")</f>
        <v/>
      </c>
      <c r="E104" s="6">
        <f>UPPER(Sheet1!G104)</f>
        <v/>
      </c>
      <c r="F104" s="6">
        <f>UPPER(Sheet1!H104)</f>
        <v/>
      </c>
      <c r="G104" s="5">
        <f>TEXT(Sheet1!C104,"dd/mm/yyyy") &amp; "," &amp; Sheet1!D104</f>
        <v/>
      </c>
      <c r="H104" s="38">
        <f>UPPER(Sheet1!J104 &amp; "," &amp; Sheet1!K104 &amp; "," &amp; Sheet1!L104)</f>
        <v/>
      </c>
      <c r="I104" s="45">
        <f>Sheet1!I104</f>
        <v/>
      </c>
      <c r="J104" s="5">
        <f>Sheet1!M104 &amp; "," &amp; TEXT(Sheet1!N104,"dd/mm/yy")</f>
        <v/>
      </c>
      <c r="K104" s="5" t="inlineStr">
        <is>
          <t>PRINTED</t>
        </is>
      </c>
      <c r="L104" s="30" t="inlineStr">
        <is>
          <t>13/09/2026</t>
        </is>
      </c>
      <c r="M104" s="30" t="inlineStr">
        <is>
          <t>MANISH KATARIA, VICE CONSUL</t>
        </is>
      </c>
      <c r="N104" s="30" t="inlineStr">
        <is>
          <t>26/02/2026</t>
        </is>
      </c>
    </row>
    <row r="105">
      <c r="A105" s="4">
        <f>Sheet1!A105 &amp; "/" &amp; "2025"</f>
        <v/>
      </c>
      <c r="B105" s="5">
        <f>Sheet1!E105</f>
        <v/>
      </c>
      <c r="C105" s="6">
        <f>UPPER(Sheet1!B105)</f>
        <v/>
      </c>
      <c r="D105" s="7">
        <f>IF(Sheet1!F105="F","FEMALE","MALE")</f>
        <v/>
      </c>
      <c r="E105" s="6">
        <f>UPPER(Sheet1!G105)</f>
        <v/>
      </c>
      <c r="F105" s="6">
        <f>UPPER(Sheet1!H105)</f>
        <v/>
      </c>
      <c r="G105" s="5">
        <f>TEXT(Sheet1!C105,"dd/mm/yyyy") &amp; "," &amp; Sheet1!D105</f>
        <v/>
      </c>
      <c r="H105" s="38">
        <f>UPPER(Sheet1!J105 &amp; "," &amp; Sheet1!K105 &amp; "," &amp; Sheet1!L105)</f>
        <v/>
      </c>
      <c r="I105" s="45">
        <f>Sheet1!I105</f>
        <v/>
      </c>
      <c r="J105" s="5">
        <f>Sheet1!M105 &amp; "," &amp; TEXT(Sheet1!N105,"dd/mm/yy")</f>
        <v/>
      </c>
      <c r="K105" s="5" t="inlineStr">
        <is>
          <t>PRINTED</t>
        </is>
      </c>
      <c r="L105" s="30" t="inlineStr">
        <is>
          <t>13/09/2026</t>
        </is>
      </c>
      <c r="M105" s="30" t="inlineStr">
        <is>
          <t>MANISH KATARIA, VICE CONSUL</t>
        </is>
      </c>
      <c r="N105" s="30" t="inlineStr">
        <is>
          <t>26/02/2026</t>
        </is>
      </c>
    </row>
    <row r="106">
      <c r="A106" s="4">
        <f>Sheet1!A106 &amp; "/" &amp; "2025"</f>
        <v/>
      </c>
      <c r="B106" s="5">
        <f>Sheet1!E106</f>
        <v/>
      </c>
      <c r="C106" s="6">
        <f>UPPER(Sheet1!B106)</f>
        <v/>
      </c>
      <c r="D106" s="7">
        <f>IF(Sheet1!F106="F","FEMALE","MALE")</f>
        <v/>
      </c>
      <c r="E106" s="6">
        <f>UPPER(Sheet1!G106)</f>
        <v/>
      </c>
      <c r="F106" s="6">
        <f>UPPER(Sheet1!H106)</f>
        <v/>
      </c>
      <c r="G106" s="5">
        <f>TEXT(Sheet1!C106,"dd/mm/yyyy") &amp; "," &amp; Sheet1!D106</f>
        <v/>
      </c>
      <c r="H106" s="38">
        <f>UPPER(Sheet1!J106 &amp; "," &amp; Sheet1!K106 &amp; "," &amp; Sheet1!L106)</f>
        <v/>
      </c>
      <c r="I106" s="45">
        <f>Sheet1!I106</f>
        <v/>
      </c>
      <c r="J106" s="5">
        <f>Sheet1!M106 &amp; "," &amp; TEXT(Sheet1!N106,"dd/mm/yy")</f>
        <v/>
      </c>
      <c r="K106" s="5" t="inlineStr">
        <is>
          <t>PRINTED</t>
        </is>
      </c>
      <c r="L106" s="30" t="inlineStr">
        <is>
          <t>13/09/2026</t>
        </is>
      </c>
      <c r="M106" s="30" t="inlineStr">
        <is>
          <t>MANISH KATARIA, VICE CONSUL</t>
        </is>
      </c>
      <c r="N106" s="30" t="inlineStr">
        <is>
          <t>26/02/2026</t>
        </is>
      </c>
    </row>
    <row r="107">
      <c r="A107" s="4">
        <f>Sheet1!A107 &amp; "/" &amp; "2025"</f>
        <v/>
      </c>
      <c r="B107" s="5">
        <f>Sheet1!E107</f>
        <v/>
      </c>
      <c r="C107" s="6">
        <f>UPPER(Sheet1!B107)</f>
        <v/>
      </c>
      <c r="D107" s="7">
        <f>IF(Sheet1!F107="F","FEMALE","MALE")</f>
        <v/>
      </c>
      <c r="E107" s="6">
        <f>UPPER(Sheet1!G107)</f>
        <v/>
      </c>
      <c r="F107" s="6">
        <f>UPPER(Sheet1!H107)</f>
        <v/>
      </c>
      <c r="G107" s="5">
        <f>TEXT(Sheet1!C107,"dd/mm/yyyy") &amp; "," &amp; Sheet1!D107</f>
        <v/>
      </c>
      <c r="H107" s="38">
        <f>UPPER(Sheet1!J107 &amp; "," &amp; Sheet1!K107 &amp; "," &amp; Sheet1!L107)</f>
        <v/>
      </c>
      <c r="I107" s="45">
        <f>Sheet1!I107</f>
        <v/>
      </c>
      <c r="J107" s="5">
        <f>Sheet1!M107 &amp; "," &amp; TEXT(Sheet1!N107,"dd/mm/yy")</f>
        <v/>
      </c>
      <c r="K107" s="5" t="inlineStr">
        <is>
          <t>PRINTED</t>
        </is>
      </c>
      <c r="L107" s="30" t="inlineStr">
        <is>
          <t>13/09/2026</t>
        </is>
      </c>
      <c r="M107" s="30" t="inlineStr">
        <is>
          <t>MANISH KATARIA, VICE CONSUL</t>
        </is>
      </c>
      <c r="N107" s="30" t="inlineStr">
        <is>
          <t>26/02/2026</t>
        </is>
      </c>
    </row>
    <row r="108">
      <c r="A108" s="4">
        <f>Sheet1!A108 &amp; "/" &amp; "2025"</f>
        <v/>
      </c>
      <c r="B108" s="5">
        <f>Sheet1!E108</f>
        <v/>
      </c>
      <c r="C108" s="6">
        <f>UPPER(Sheet1!B108)</f>
        <v/>
      </c>
      <c r="D108" s="7">
        <f>IF(Sheet1!F108="F","FEMALE","MALE")</f>
        <v/>
      </c>
      <c r="E108" s="6">
        <f>UPPER(Sheet1!G108)</f>
        <v/>
      </c>
      <c r="F108" s="6">
        <f>UPPER(Sheet1!H108)</f>
        <v/>
      </c>
      <c r="G108" s="5">
        <f>TEXT(Sheet1!C108,"dd/mm/yyyy") &amp; "," &amp; Sheet1!D108</f>
        <v/>
      </c>
      <c r="H108" s="38">
        <f>UPPER(Sheet1!J108 &amp; "," &amp; Sheet1!K108 &amp; "," &amp; Sheet1!L108)</f>
        <v/>
      </c>
      <c r="I108" s="45">
        <f>Sheet1!I108</f>
        <v/>
      </c>
      <c r="J108" s="5">
        <f>Sheet1!M108 &amp; "," &amp; TEXT(Sheet1!N108,"dd/mm/yy")</f>
        <v/>
      </c>
      <c r="K108" s="5" t="inlineStr">
        <is>
          <t>PRINTED</t>
        </is>
      </c>
      <c r="L108" s="30" t="inlineStr">
        <is>
          <t>13/09/2026</t>
        </is>
      </c>
      <c r="M108" s="30" t="inlineStr">
        <is>
          <t>MANISH KATARIA, VICE CONSUL</t>
        </is>
      </c>
      <c r="N108" s="30" t="inlineStr">
        <is>
          <t>26/02/2026</t>
        </is>
      </c>
    </row>
    <row r="109">
      <c r="A109" s="4">
        <f>Sheet1!A109 &amp; "/" &amp; "2025"</f>
        <v/>
      </c>
      <c r="B109" s="5">
        <f>Sheet1!E109</f>
        <v/>
      </c>
      <c r="C109" s="6">
        <f>UPPER(Sheet1!B109)</f>
        <v/>
      </c>
      <c r="D109" s="7">
        <f>IF(Sheet1!F109="F","FEMALE","MALE")</f>
        <v/>
      </c>
      <c r="E109" s="6">
        <f>UPPER(Sheet1!G109)</f>
        <v/>
      </c>
      <c r="F109" s="6">
        <f>UPPER(Sheet1!H109)</f>
        <v/>
      </c>
      <c r="G109" s="5">
        <f>TEXT(Sheet1!C109,"dd/mm/yyyy") &amp; "," &amp; Sheet1!D109</f>
        <v/>
      </c>
      <c r="H109" s="38">
        <f>UPPER(Sheet1!J109 &amp; "," &amp; Sheet1!K109 &amp; "," &amp; Sheet1!L109)</f>
        <v/>
      </c>
      <c r="I109" s="45">
        <f>Sheet1!I109</f>
        <v/>
      </c>
      <c r="J109" s="5">
        <f>Sheet1!M109 &amp; "," &amp; TEXT(Sheet1!N109,"dd/mm/yy")</f>
        <v/>
      </c>
      <c r="K109" s="5" t="inlineStr">
        <is>
          <t>PRINTED</t>
        </is>
      </c>
      <c r="L109" s="30" t="inlineStr">
        <is>
          <t>13/09/2026</t>
        </is>
      </c>
      <c r="M109" s="30" t="inlineStr">
        <is>
          <t>MANISH KATARIA, VICE CONSUL</t>
        </is>
      </c>
      <c r="N109" s="30" t="inlineStr">
        <is>
          <t>26/02/2026</t>
        </is>
      </c>
    </row>
    <row r="110" ht="30" customHeight="1">
      <c r="A110" s="4">
        <f>Sheet1!A110 &amp; "/" &amp; "2025"</f>
        <v/>
      </c>
      <c r="B110" s="5">
        <f>Sheet1!E110</f>
        <v/>
      </c>
      <c r="C110" s="6">
        <f>UPPER(Sheet1!B110)</f>
        <v/>
      </c>
      <c r="D110" s="7">
        <f>IF(Sheet1!F110="F","FEMALE","MALE")</f>
        <v/>
      </c>
      <c r="E110" s="6">
        <f>UPPER(Sheet1!G110)</f>
        <v/>
      </c>
      <c r="F110" s="6">
        <f>UPPER(Sheet1!H110)</f>
        <v/>
      </c>
      <c r="G110" s="5">
        <f>TEXT(Sheet1!C110,"dd/mm/yyyy") &amp; "," &amp; Sheet1!D110</f>
        <v/>
      </c>
      <c r="H110" s="38">
        <f>UPPER(Sheet1!J110 &amp; "," &amp; Sheet1!K110 &amp; "," &amp; Sheet1!L110)</f>
        <v/>
      </c>
      <c r="I110" s="45">
        <f>Sheet1!I110</f>
        <v/>
      </c>
      <c r="J110" s="5">
        <f>Sheet1!M110 &amp; "," &amp; TEXT(Sheet1!N110,"dd/mm/yy")</f>
        <v/>
      </c>
      <c r="K110" s="5" t="inlineStr">
        <is>
          <t>PRINTED</t>
        </is>
      </c>
      <c r="L110" s="30" t="inlineStr">
        <is>
          <t>13/09/2026</t>
        </is>
      </c>
      <c r="M110" s="30" t="inlineStr">
        <is>
          <t>MANISH KATARIA, VICE CONSUL</t>
        </is>
      </c>
      <c r="N110" s="30" t="inlineStr">
        <is>
          <t>26/02/2026</t>
        </is>
      </c>
    </row>
    <row r="111">
      <c r="A111" s="4">
        <f>Sheet1!A111 &amp; "/" &amp; "2025"</f>
        <v/>
      </c>
      <c r="B111" s="5">
        <f>Sheet1!E111</f>
        <v/>
      </c>
      <c r="C111" s="6">
        <f>UPPER(Sheet1!B111)</f>
        <v/>
      </c>
      <c r="D111" s="7">
        <f>IF(Sheet1!F111="F","FEMALE","MALE")</f>
        <v/>
      </c>
      <c r="E111" s="6">
        <f>UPPER(Sheet1!G111)</f>
        <v/>
      </c>
      <c r="F111" s="6">
        <f>UPPER(Sheet1!H111)</f>
        <v/>
      </c>
      <c r="G111" s="5">
        <f>TEXT(Sheet1!C111,"dd/mm/yyyy") &amp; "," &amp; Sheet1!D111</f>
        <v/>
      </c>
      <c r="H111" s="38">
        <f>UPPER(Sheet1!J111 &amp; "," &amp; Sheet1!K111 &amp; "," &amp; Sheet1!L111)</f>
        <v/>
      </c>
      <c r="I111" s="45">
        <f>Sheet1!I111</f>
        <v/>
      </c>
      <c r="J111" s="5">
        <f>Sheet1!M111 &amp; "," &amp; TEXT(Sheet1!N111,"dd/mm/yy")</f>
        <v/>
      </c>
      <c r="K111" s="5" t="inlineStr">
        <is>
          <t>PRINTED</t>
        </is>
      </c>
      <c r="L111" s="30" t="inlineStr">
        <is>
          <t>13/09/2026</t>
        </is>
      </c>
      <c r="M111" s="30" t="inlineStr">
        <is>
          <t>MANISH KATARIA, VICE CONSUL</t>
        </is>
      </c>
      <c r="N111" s="30" t="inlineStr">
        <is>
          <t>26/02/2026</t>
        </is>
      </c>
    </row>
    <row r="112">
      <c r="A112" s="4">
        <f>Sheet1!A112 &amp; "/" &amp; "2025"</f>
        <v/>
      </c>
      <c r="B112" s="5">
        <f>Sheet1!E112</f>
        <v/>
      </c>
      <c r="C112" s="6">
        <f>UPPER(Sheet1!B112)</f>
        <v/>
      </c>
      <c r="D112" s="7">
        <f>IF(Sheet1!F112="F","FEMALE","MALE")</f>
        <v/>
      </c>
      <c r="E112" s="6">
        <f>UPPER(Sheet1!G112)</f>
        <v/>
      </c>
      <c r="F112" s="6">
        <f>UPPER(Sheet1!H112)</f>
        <v/>
      </c>
      <c r="G112" s="5">
        <f>TEXT(Sheet1!C112,"dd/mm/yyyy") &amp; "," &amp; Sheet1!D112</f>
        <v/>
      </c>
      <c r="H112" s="38">
        <f>UPPER(Sheet1!J112 &amp; "," &amp; Sheet1!K112 &amp; "," &amp; Sheet1!L112)</f>
        <v/>
      </c>
      <c r="I112" s="45">
        <f>Sheet1!I112</f>
        <v/>
      </c>
      <c r="J112" s="5">
        <f>Sheet1!M112 &amp; "," &amp; TEXT(Sheet1!N112,"dd/mm/yy")</f>
        <v/>
      </c>
      <c r="K112" s="5" t="inlineStr">
        <is>
          <t>PRINTED</t>
        </is>
      </c>
      <c r="L112" s="30" t="inlineStr">
        <is>
          <t>13/09/2026</t>
        </is>
      </c>
      <c r="M112" s="30" t="inlineStr">
        <is>
          <t>MANISH KATARIA, VICE CONSUL</t>
        </is>
      </c>
      <c r="N112" s="30" t="inlineStr">
        <is>
          <t>26/02/2026</t>
        </is>
      </c>
    </row>
    <row r="113">
      <c r="A113" s="4">
        <f>Sheet1!A113 &amp; "/" &amp; "2025"</f>
        <v/>
      </c>
      <c r="B113" s="5">
        <f>Sheet1!E113</f>
        <v/>
      </c>
      <c r="C113" s="6">
        <f>UPPER(Sheet1!B113)</f>
        <v/>
      </c>
      <c r="D113" s="7">
        <f>IF(Sheet1!F113="F","FEMALE","MALE")</f>
        <v/>
      </c>
      <c r="E113" s="6">
        <f>UPPER(Sheet1!G113)</f>
        <v/>
      </c>
      <c r="F113" s="6">
        <f>UPPER(Sheet1!H113)</f>
        <v/>
      </c>
      <c r="G113" s="5">
        <f>TEXT(Sheet1!C113,"dd/mm/yyyy") &amp; "," &amp; Sheet1!D113</f>
        <v/>
      </c>
      <c r="H113" s="38">
        <f>UPPER(Sheet1!J113 &amp; "," &amp; Sheet1!K113 &amp; "," &amp; Sheet1!L113)</f>
        <v/>
      </c>
      <c r="I113" s="45">
        <f>Sheet1!I113</f>
        <v/>
      </c>
      <c r="J113" s="5">
        <f>Sheet1!M113 &amp; "," &amp; TEXT(Sheet1!N113,"dd/mm/yy")</f>
        <v/>
      </c>
      <c r="K113" s="5" t="inlineStr">
        <is>
          <t>PRINTED</t>
        </is>
      </c>
      <c r="L113" s="30" t="inlineStr">
        <is>
          <t>13/09/2026</t>
        </is>
      </c>
      <c r="M113" s="30" t="inlineStr">
        <is>
          <t>MANISH KATARIA, VICE CONSUL</t>
        </is>
      </c>
      <c r="N113" s="30" t="inlineStr">
        <is>
          <t>26/02/2026</t>
        </is>
      </c>
    </row>
    <row r="114">
      <c r="A114" s="4">
        <f>Sheet1!A114 &amp; "/" &amp; "2025"</f>
        <v/>
      </c>
      <c r="B114" s="5">
        <f>Sheet1!E114</f>
        <v/>
      </c>
      <c r="C114" s="6">
        <f>UPPER(Sheet1!B114)</f>
        <v/>
      </c>
      <c r="D114" s="7">
        <f>IF(Sheet1!F114="F","FEMALE","MALE")</f>
        <v/>
      </c>
      <c r="E114" s="6">
        <f>UPPER(Sheet1!G114)</f>
        <v/>
      </c>
      <c r="F114" s="6">
        <f>UPPER(Sheet1!H114)</f>
        <v/>
      </c>
      <c r="G114" s="5">
        <f>TEXT(Sheet1!C114,"dd/mm/yyyy") &amp; "," &amp; Sheet1!D114</f>
        <v/>
      </c>
      <c r="H114" s="38">
        <f>UPPER(Sheet1!J114 &amp; "," &amp; Sheet1!K114 &amp; "," &amp; Sheet1!L114)</f>
        <v/>
      </c>
      <c r="I114" s="45">
        <f>Sheet1!I114</f>
        <v/>
      </c>
      <c r="J114" s="5">
        <f>Sheet1!M114 &amp; "," &amp; TEXT(Sheet1!N114,"dd/mm/yy")</f>
        <v/>
      </c>
      <c r="K114" s="5" t="inlineStr">
        <is>
          <t>PRINTED</t>
        </is>
      </c>
      <c r="L114" s="30" t="inlineStr">
        <is>
          <t>13/09/2026</t>
        </is>
      </c>
      <c r="M114" s="30" t="inlineStr">
        <is>
          <t>MANISH KATARIA, VICE CONSUL</t>
        </is>
      </c>
      <c r="N114" s="30" t="inlineStr">
        <is>
          <t>26/02/2026</t>
        </is>
      </c>
    </row>
    <row r="115">
      <c r="A115" s="4">
        <f>Sheet1!A115 &amp; "/" &amp; "2025"</f>
        <v/>
      </c>
      <c r="B115" s="5">
        <f>Sheet1!E115</f>
        <v/>
      </c>
      <c r="C115" s="6">
        <f>UPPER(Sheet1!B115)</f>
        <v/>
      </c>
      <c r="D115" s="7">
        <f>IF(Sheet1!F115="F","FEMALE","MALE")</f>
        <v/>
      </c>
      <c r="E115" s="6">
        <f>UPPER(Sheet1!G115)</f>
        <v/>
      </c>
      <c r="F115" s="6">
        <f>UPPER(Sheet1!H115)</f>
        <v/>
      </c>
      <c r="G115" s="5">
        <f>TEXT(Sheet1!C115,"dd/mm/yyyy") &amp; "," &amp; Sheet1!D115</f>
        <v/>
      </c>
      <c r="H115" s="38">
        <f>UPPER(Sheet1!J115 &amp; "," &amp; Sheet1!K115 &amp; "," &amp; Sheet1!L115)</f>
        <v/>
      </c>
      <c r="I115" s="45">
        <f>Sheet1!I115</f>
        <v/>
      </c>
      <c r="J115" s="5">
        <f>Sheet1!M115 &amp; "," &amp; TEXT(Sheet1!N115,"dd/mm/yy")</f>
        <v/>
      </c>
      <c r="K115" s="5" t="inlineStr">
        <is>
          <t>PRINTED</t>
        </is>
      </c>
      <c r="L115" s="30" t="inlineStr">
        <is>
          <t>13/09/2026</t>
        </is>
      </c>
      <c r="M115" s="30" t="inlineStr">
        <is>
          <t>MANISH KATARIA, VICE CONSUL</t>
        </is>
      </c>
      <c r="N115" s="30" t="inlineStr">
        <is>
          <t>26/02/2026</t>
        </is>
      </c>
    </row>
    <row r="116">
      <c r="A116" s="4">
        <f>Sheet1!A116 &amp; "/" &amp; "2025"</f>
        <v/>
      </c>
      <c r="B116" s="5">
        <f>Sheet1!E116</f>
        <v/>
      </c>
      <c r="C116" s="6">
        <f>UPPER(Sheet1!B116)</f>
        <v/>
      </c>
      <c r="D116" s="7">
        <f>IF(Sheet1!F116="F","FEMALE","MALE")</f>
        <v/>
      </c>
      <c r="E116" s="6">
        <f>UPPER(Sheet1!G116)</f>
        <v/>
      </c>
      <c r="F116" s="6">
        <f>UPPER(Sheet1!H116)</f>
        <v/>
      </c>
      <c r="G116" s="5">
        <f>TEXT(Sheet1!C116,"dd/mm/yyyy") &amp; "," &amp; Sheet1!D116</f>
        <v/>
      </c>
      <c r="H116" s="38">
        <f>UPPER(Sheet1!J116 &amp; "," &amp; Sheet1!K116 &amp; "," &amp; Sheet1!L116)</f>
        <v/>
      </c>
      <c r="I116" s="45">
        <f>Sheet1!I116</f>
        <v/>
      </c>
      <c r="J116" s="5">
        <f>Sheet1!M116 &amp; "," &amp; TEXT(Sheet1!N116,"dd/mm/yy")</f>
        <v/>
      </c>
      <c r="K116" s="5" t="inlineStr">
        <is>
          <t>PRINTED</t>
        </is>
      </c>
      <c r="L116" s="30" t="inlineStr">
        <is>
          <t>13/09/2026</t>
        </is>
      </c>
      <c r="M116" s="30" t="inlineStr">
        <is>
          <t>MANISH KATARIA, VICE CONSUL</t>
        </is>
      </c>
      <c r="N116" s="30" t="inlineStr">
        <is>
          <t>26/02/2026</t>
        </is>
      </c>
    </row>
    <row r="117">
      <c r="A117" s="4">
        <f>Sheet1!A117 &amp; "/" &amp; "2025"</f>
        <v/>
      </c>
      <c r="B117" s="5">
        <f>Sheet1!E117</f>
        <v/>
      </c>
      <c r="C117" s="6">
        <f>UPPER(Sheet1!B117)</f>
        <v/>
      </c>
      <c r="D117" s="7">
        <f>IF(Sheet1!F117="F","FEMALE","MALE")</f>
        <v/>
      </c>
      <c r="E117" s="6">
        <f>UPPER(Sheet1!G117)</f>
        <v/>
      </c>
      <c r="F117" s="6">
        <f>UPPER(Sheet1!H117)</f>
        <v/>
      </c>
      <c r="G117" s="5">
        <f>TEXT(Sheet1!C117,"dd/mm/yyyy") &amp; "," &amp; Sheet1!D117</f>
        <v/>
      </c>
      <c r="H117" s="38">
        <f>UPPER(Sheet1!J117 &amp; "," &amp; Sheet1!K117 &amp; "," &amp; Sheet1!L117)</f>
        <v/>
      </c>
      <c r="I117" s="45">
        <f>Sheet1!I117</f>
        <v/>
      </c>
      <c r="J117" s="5">
        <f>Sheet1!M117 &amp; "," &amp; TEXT(Sheet1!N117,"dd/mm/yy")</f>
        <v/>
      </c>
      <c r="K117" s="5" t="inlineStr">
        <is>
          <t>PRINTED</t>
        </is>
      </c>
      <c r="L117" s="30" t="inlineStr">
        <is>
          <t>13/09/2026</t>
        </is>
      </c>
      <c r="M117" s="30" t="inlineStr">
        <is>
          <t>MANISH KATARIA, VICE CONSUL</t>
        </is>
      </c>
      <c r="N117" s="30" t="inlineStr">
        <is>
          <t>26/02/2026</t>
        </is>
      </c>
    </row>
    <row r="118">
      <c r="A118" s="4">
        <f>Sheet1!A118 &amp; "/" &amp; "2025"</f>
        <v/>
      </c>
      <c r="B118" s="5">
        <f>Sheet1!E118</f>
        <v/>
      </c>
      <c r="C118" s="6">
        <f>UPPER(Sheet1!B118)</f>
        <v/>
      </c>
      <c r="D118" s="7">
        <f>IF(Sheet1!F118="F","FEMALE","MALE")</f>
        <v/>
      </c>
      <c r="E118" s="6">
        <f>UPPER(Sheet1!G118)</f>
        <v/>
      </c>
      <c r="F118" s="6">
        <f>UPPER(Sheet1!H118)</f>
        <v/>
      </c>
      <c r="G118" s="5">
        <f>TEXT(Sheet1!C118,"dd/mm/yyyy") &amp; "," &amp; Sheet1!D118</f>
        <v/>
      </c>
      <c r="H118" s="38">
        <f>UPPER(Sheet1!J118 &amp; "," &amp; Sheet1!K118 &amp; "," &amp; Sheet1!L118)</f>
        <v/>
      </c>
      <c r="I118" s="45">
        <f>Sheet1!I118</f>
        <v/>
      </c>
      <c r="J118" s="5">
        <f>Sheet1!M118 &amp; "," &amp; TEXT(Sheet1!N118,"dd/mm/yy")</f>
        <v/>
      </c>
      <c r="K118" s="5" t="inlineStr">
        <is>
          <t>PRINTED</t>
        </is>
      </c>
      <c r="L118" s="30" t="inlineStr">
        <is>
          <t>13/09/2026</t>
        </is>
      </c>
      <c r="M118" s="30" t="inlineStr">
        <is>
          <t>MANISH KATARIA, VICE CONSUL</t>
        </is>
      </c>
      <c r="N118" s="30" t="inlineStr">
        <is>
          <t>26/02/2026</t>
        </is>
      </c>
    </row>
    <row r="119">
      <c r="A119" s="4">
        <f>Sheet1!A119 &amp; "/" &amp; "2025"</f>
        <v/>
      </c>
      <c r="B119" s="5">
        <f>Sheet1!E119</f>
        <v/>
      </c>
      <c r="C119" s="6">
        <f>UPPER(Sheet1!B119)</f>
        <v/>
      </c>
      <c r="D119" s="7">
        <f>IF(Sheet1!F119="F","FEMALE","MALE")</f>
        <v/>
      </c>
      <c r="E119" s="6">
        <f>UPPER(Sheet1!G119)</f>
        <v/>
      </c>
      <c r="F119" s="6">
        <f>UPPER(Sheet1!H119)</f>
        <v/>
      </c>
      <c r="G119" s="5">
        <f>TEXT(Sheet1!C119,"dd/mm/yyyy") &amp; "," &amp; Sheet1!D119</f>
        <v/>
      </c>
      <c r="H119" s="38">
        <f>UPPER(Sheet1!J119 &amp; "," &amp; Sheet1!K119 &amp; "," &amp; Sheet1!L119)</f>
        <v/>
      </c>
      <c r="I119" s="45">
        <f>Sheet1!I119</f>
        <v/>
      </c>
      <c r="J119" s="5">
        <f>Sheet1!M119 &amp; "," &amp; TEXT(Sheet1!N119,"dd/mm/yy")</f>
        <v/>
      </c>
      <c r="K119" s="5" t="inlineStr">
        <is>
          <t>PRINTED</t>
        </is>
      </c>
      <c r="L119" s="30" t="inlineStr">
        <is>
          <t>13/09/2026</t>
        </is>
      </c>
      <c r="M119" s="30" t="inlineStr">
        <is>
          <t>MANISH KATARIA, VICE CONSUL</t>
        </is>
      </c>
      <c r="N119" s="30" t="inlineStr">
        <is>
          <t>26/02/2026</t>
        </is>
      </c>
    </row>
    <row r="120">
      <c r="A120" s="4">
        <f>Sheet1!A120 &amp; "/" &amp; "2025"</f>
        <v/>
      </c>
      <c r="B120" s="5">
        <f>Sheet1!E120</f>
        <v/>
      </c>
      <c r="C120" s="6">
        <f>UPPER(Sheet1!B120)</f>
        <v/>
      </c>
      <c r="D120" s="7">
        <f>IF(Sheet1!F120="F","FEMALE","MALE")</f>
        <v/>
      </c>
      <c r="E120" s="6">
        <f>UPPER(Sheet1!G120)</f>
        <v/>
      </c>
      <c r="F120" s="6">
        <f>UPPER(Sheet1!H120)</f>
        <v/>
      </c>
      <c r="G120" s="5">
        <f>TEXT(Sheet1!C120,"dd/mm/yyyy") &amp; "," &amp; Sheet1!D120</f>
        <v/>
      </c>
      <c r="H120" s="38">
        <f>UPPER(Sheet1!J120 &amp; "," &amp; Sheet1!K120 &amp; "," &amp; Sheet1!L120)</f>
        <v/>
      </c>
      <c r="I120" s="45">
        <f>Sheet1!I120</f>
        <v/>
      </c>
      <c r="J120" s="5">
        <f>Sheet1!M120 &amp; "," &amp; TEXT(Sheet1!N120,"dd/mm/yy")</f>
        <v/>
      </c>
      <c r="K120" s="5" t="inlineStr">
        <is>
          <t>PRINTED</t>
        </is>
      </c>
      <c r="L120" s="30" t="inlineStr">
        <is>
          <t>13/09/2026</t>
        </is>
      </c>
      <c r="M120" s="30" t="inlineStr">
        <is>
          <t>MANISH KATARIA, VICE CONSUL</t>
        </is>
      </c>
      <c r="N120" s="30" t="inlineStr">
        <is>
          <t>26/02/2026</t>
        </is>
      </c>
    </row>
    <row r="121">
      <c r="A121" s="4">
        <f>Sheet1!A121 &amp; "/" &amp; "2025"</f>
        <v/>
      </c>
      <c r="B121" s="5">
        <f>Sheet1!E121</f>
        <v/>
      </c>
      <c r="C121" s="6">
        <f>UPPER(Sheet1!B121)</f>
        <v/>
      </c>
      <c r="D121" s="7">
        <f>IF(Sheet1!F121="F","FEMALE","MALE")</f>
        <v/>
      </c>
      <c r="E121" s="6">
        <f>UPPER(Sheet1!G121)</f>
        <v/>
      </c>
      <c r="F121" s="6">
        <f>UPPER(Sheet1!H121)</f>
        <v/>
      </c>
      <c r="G121" s="5">
        <f>TEXT(Sheet1!C121,"dd/mm/yyyy") &amp; "," &amp; Sheet1!D121</f>
        <v/>
      </c>
      <c r="H121" s="38">
        <f>UPPER(Sheet1!J121 &amp; "," &amp; Sheet1!K121 &amp; "," &amp; Sheet1!L121)</f>
        <v/>
      </c>
      <c r="I121" s="45">
        <f>Sheet1!I121</f>
        <v/>
      </c>
      <c r="J121" s="5">
        <f>Sheet1!M121 &amp; "," &amp; TEXT(Sheet1!N121,"dd/mm/yy")</f>
        <v/>
      </c>
      <c r="K121" s="5" t="inlineStr">
        <is>
          <t>PRINTED</t>
        </is>
      </c>
      <c r="L121" s="30" t="inlineStr">
        <is>
          <t>13/09/2026</t>
        </is>
      </c>
      <c r="M121" s="30" t="inlineStr">
        <is>
          <t>MANISH KATARIA, VICE CONSUL</t>
        </is>
      </c>
      <c r="N121" s="30" t="inlineStr">
        <is>
          <t>26/02/2026</t>
        </is>
      </c>
    </row>
    <row r="122">
      <c r="A122" s="4">
        <f>Sheet1!A122 &amp; "/" &amp; "2025"</f>
        <v/>
      </c>
      <c r="B122" s="5">
        <f>Sheet1!E122</f>
        <v/>
      </c>
      <c r="C122" s="6">
        <f>UPPER(Sheet1!B122)</f>
        <v/>
      </c>
      <c r="D122" s="7">
        <f>IF(Sheet1!F122="F","FEMALE","MALE")</f>
        <v/>
      </c>
      <c r="E122" s="6">
        <f>UPPER(Sheet1!G122)</f>
        <v/>
      </c>
      <c r="F122" s="6">
        <f>UPPER(Sheet1!H122)</f>
        <v/>
      </c>
      <c r="G122" s="5">
        <f>TEXT(Sheet1!C122,"dd/mm/yyyy") &amp; "," &amp; Sheet1!D122</f>
        <v/>
      </c>
      <c r="H122" s="38">
        <f>UPPER(Sheet1!J122 &amp; "," &amp; Sheet1!K122 &amp; "," &amp; Sheet1!L122)</f>
        <v/>
      </c>
      <c r="I122" s="45">
        <f>Sheet1!I122</f>
        <v/>
      </c>
      <c r="J122" s="5">
        <f>Sheet1!M122 &amp; "," &amp; TEXT(Sheet1!N122,"dd/mm/yy")</f>
        <v/>
      </c>
      <c r="K122" s="5" t="inlineStr">
        <is>
          <t>PRINTED</t>
        </is>
      </c>
      <c r="L122" s="30" t="inlineStr">
        <is>
          <t>13/09/2026</t>
        </is>
      </c>
      <c r="M122" s="30" t="inlineStr">
        <is>
          <t>MANISH KATARIA, VICE CONSUL</t>
        </is>
      </c>
      <c r="N122" s="30" t="inlineStr">
        <is>
          <t>26/02/2026</t>
        </is>
      </c>
    </row>
    <row r="123">
      <c r="A123" s="4">
        <f>Sheet1!A123 &amp; "/" &amp; "2025"</f>
        <v/>
      </c>
      <c r="B123" s="5">
        <f>Sheet1!E123</f>
        <v/>
      </c>
      <c r="C123" s="6">
        <f>UPPER(Sheet1!B123)</f>
        <v/>
      </c>
      <c r="D123" s="7">
        <f>IF(Sheet1!F123="F","FEMALE","MALE")</f>
        <v/>
      </c>
      <c r="E123" s="6">
        <f>UPPER(Sheet1!G123)</f>
        <v/>
      </c>
      <c r="F123" s="6">
        <f>UPPER(Sheet1!H123)</f>
        <v/>
      </c>
      <c r="G123" s="5">
        <f>TEXT(Sheet1!C123,"dd/mm/yyyy") &amp; "," &amp; Sheet1!D123</f>
        <v/>
      </c>
      <c r="H123" s="38">
        <f>UPPER(Sheet1!J123 &amp; "," &amp; Sheet1!K123 &amp; "," &amp; Sheet1!L123)</f>
        <v/>
      </c>
      <c r="I123" s="45">
        <f>Sheet1!I123</f>
        <v/>
      </c>
      <c r="J123" s="5">
        <f>Sheet1!M123 &amp; "," &amp; TEXT(Sheet1!N123,"dd/mm/yy")</f>
        <v/>
      </c>
      <c r="K123" s="5" t="inlineStr">
        <is>
          <t>PRINTED</t>
        </is>
      </c>
      <c r="L123" s="30" t="inlineStr">
        <is>
          <t>25/03/2026</t>
        </is>
      </c>
      <c r="M123" s="30" t="inlineStr">
        <is>
          <t>MANISH KATARIA, VICE CONSUL</t>
        </is>
      </c>
      <c r="N123" s="30" t="inlineStr">
        <is>
          <t>26/02/2026</t>
        </is>
      </c>
    </row>
    <row r="124">
      <c r="A124" s="4">
        <f>Sheet1!A124 &amp; "/" &amp; "2025"</f>
        <v/>
      </c>
      <c r="B124" s="5">
        <f>Sheet1!E124</f>
        <v/>
      </c>
      <c r="C124" s="6">
        <f>UPPER(Sheet1!B124)</f>
        <v/>
      </c>
      <c r="D124" s="7">
        <f>IF(Sheet1!F124="F","FEMALE","MALE")</f>
        <v/>
      </c>
      <c r="E124" s="6">
        <f>UPPER(Sheet1!G124)</f>
        <v/>
      </c>
      <c r="F124" s="6">
        <f>UPPER(Sheet1!H124)</f>
        <v/>
      </c>
      <c r="G124" s="5">
        <f>TEXT(Sheet1!C124,"dd/mm/yyyy") &amp; "," &amp; Sheet1!D124</f>
        <v/>
      </c>
      <c r="H124" s="38">
        <f>UPPER(Sheet1!J124 &amp; "," &amp; Sheet1!K124 &amp; "," &amp; Sheet1!L124)</f>
        <v/>
      </c>
      <c r="I124" s="45">
        <f>Sheet1!I124</f>
        <v/>
      </c>
      <c r="J124" s="5">
        <f>Sheet1!M124 &amp; "," &amp; TEXT(Sheet1!N124,"dd/mm/yy")</f>
        <v/>
      </c>
      <c r="K124" s="5" t="inlineStr">
        <is>
          <t>PRINTED</t>
        </is>
      </c>
      <c r="L124" s="30" t="inlineStr">
        <is>
          <t>25/03/2026</t>
        </is>
      </c>
      <c r="M124" s="30" t="inlineStr">
        <is>
          <t>MANISH KATARIA, VICE CONSUL</t>
        </is>
      </c>
      <c r="N124" s="30" t="inlineStr">
        <is>
          <t>26/02/2026</t>
        </is>
      </c>
    </row>
    <row r="125">
      <c r="A125" s="4">
        <f>Sheet1!A125 &amp; "/" &amp; "2025"</f>
        <v/>
      </c>
      <c r="B125" s="5">
        <f>Sheet1!E125</f>
        <v/>
      </c>
      <c r="C125" s="6">
        <f>UPPER(Sheet1!B125)</f>
        <v/>
      </c>
      <c r="D125" s="7">
        <f>IF(Sheet1!F125="F","FEMALE","MALE")</f>
        <v/>
      </c>
      <c r="E125" s="6">
        <f>UPPER(Sheet1!G125)</f>
        <v/>
      </c>
      <c r="F125" s="6">
        <f>UPPER(Sheet1!H125)</f>
        <v/>
      </c>
      <c r="G125" s="5">
        <f>TEXT(Sheet1!C125,"dd/mm/yyyy") &amp; "," &amp; Sheet1!D125</f>
        <v/>
      </c>
      <c r="H125" s="38">
        <f>UPPER(Sheet1!J125 &amp; "," &amp; Sheet1!K125 &amp; "," &amp; Sheet1!L125)</f>
        <v/>
      </c>
      <c r="I125" s="45">
        <f>Sheet1!I125</f>
        <v/>
      </c>
      <c r="J125" s="5">
        <f>Sheet1!M125 &amp; "," &amp; TEXT(Sheet1!N125,"dd/mm/yy")</f>
        <v/>
      </c>
      <c r="K125" s="5" t="inlineStr">
        <is>
          <t>PRINTED</t>
        </is>
      </c>
      <c r="L125" s="30" t="inlineStr">
        <is>
          <t>25/03/2026</t>
        </is>
      </c>
      <c r="M125" s="30" t="inlineStr">
        <is>
          <t>MANISH KATARIA, VICE CONSUL</t>
        </is>
      </c>
      <c r="N125" s="30" t="inlineStr">
        <is>
          <t>26/02/2026</t>
        </is>
      </c>
    </row>
    <row r="126">
      <c r="A126" s="4">
        <f>Sheet1!A126 &amp; "/" &amp; "2025"</f>
        <v/>
      </c>
      <c r="B126" s="5">
        <f>Sheet1!E126</f>
        <v/>
      </c>
      <c r="C126" s="6">
        <f>UPPER(Sheet1!B126)</f>
        <v/>
      </c>
      <c r="D126" s="7">
        <f>IF(Sheet1!F126="F","FEMALE","MALE")</f>
        <v/>
      </c>
      <c r="E126" s="6">
        <f>UPPER(Sheet1!G126)</f>
        <v/>
      </c>
      <c r="F126" s="6">
        <f>UPPER(Sheet1!H126)</f>
        <v/>
      </c>
      <c r="G126" s="5">
        <f>TEXT(Sheet1!C126,"dd/mm/yyyy") &amp; "," &amp; Sheet1!D126</f>
        <v/>
      </c>
      <c r="H126" s="38">
        <f>UPPER(Sheet1!J126 &amp; "," &amp; Sheet1!K126 &amp; "," &amp; Sheet1!L126)</f>
        <v/>
      </c>
      <c r="I126" s="45">
        <f>Sheet1!I126</f>
        <v/>
      </c>
      <c r="J126" s="5">
        <f>Sheet1!M126 &amp; "," &amp; TEXT(Sheet1!N126,"dd/mm/yy")</f>
        <v/>
      </c>
      <c r="K126" s="5" t="inlineStr">
        <is>
          <t>PRINTED</t>
        </is>
      </c>
      <c r="L126" s="30" t="inlineStr">
        <is>
          <t>25/03/2026</t>
        </is>
      </c>
      <c r="M126" s="30" t="inlineStr">
        <is>
          <t>MANISH KATARIA, VICE CONSUL</t>
        </is>
      </c>
      <c r="N126" s="30" t="inlineStr">
        <is>
          <t>26/02/2026</t>
        </is>
      </c>
    </row>
    <row r="127">
      <c r="A127" s="4">
        <f>Sheet1!A127 &amp; "/" &amp; "2025"</f>
        <v/>
      </c>
      <c r="B127" s="5">
        <f>Sheet1!E127</f>
        <v/>
      </c>
      <c r="C127" s="6">
        <f>UPPER(Sheet1!B127)</f>
        <v/>
      </c>
      <c r="D127" s="7">
        <f>IF(Sheet1!F127="F","FEMALE","MALE")</f>
        <v/>
      </c>
      <c r="E127" s="6">
        <f>UPPER(Sheet1!G127)</f>
        <v/>
      </c>
      <c r="F127" s="6">
        <f>UPPER(Sheet1!H127)</f>
        <v/>
      </c>
      <c r="G127" s="5">
        <f>TEXT(Sheet1!C127,"dd/mm/yyyy") &amp; "," &amp; Sheet1!D127</f>
        <v/>
      </c>
      <c r="H127" s="38">
        <f>UPPER(Sheet1!J127 &amp; "," &amp; Sheet1!K127 &amp; "," &amp; Sheet1!L127)</f>
        <v/>
      </c>
      <c r="I127" s="45">
        <f>Sheet1!I127</f>
        <v/>
      </c>
      <c r="J127" s="5">
        <f>Sheet1!M127 &amp; "," &amp; TEXT(Sheet1!N127,"dd/mm/yy")</f>
        <v/>
      </c>
      <c r="K127" s="5" t="inlineStr">
        <is>
          <t>PRINTED</t>
        </is>
      </c>
      <c r="L127" s="30" t="inlineStr">
        <is>
          <t>25/03/2026</t>
        </is>
      </c>
      <c r="M127" s="30" t="inlineStr">
        <is>
          <t>MANISH KATARIA, VICE CONSUL</t>
        </is>
      </c>
      <c r="N127" s="30" t="inlineStr">
        <is>
          <t>26/02/2026</t>
        </is>
      </c>
    </row>
    <row r="128">
      <c r="A128" s="4">
        <f>Sheet1!A128 &amp; "/" &amp; "2025"</f>
        <v/>
      </c>
      <c r="B128" s="5">
        <f>Sheet1!E128</f>
        <v/>
      </c>
      <c r="C128" s="6">
        <f>UPPER(Sheet1!B128)</f>
        <v/>
      </c>
      <c r="D128" s="7">
        <f>IF(Sheet1!F128="F","FEMALE","MALE")</f>
        <v/>
      </c>
      <c r="E128" s="6">
        <f>UPPER(Sheet1!G128)</f>
        <v/>
      </c>
      <c r="F128" s="6">
        <f>UPPER(Sheet1!H128)</f>
        <v/>
      </c>
      <c r="G128" s="5">
        <f>TEXT(Sheet1!C128,"dd/mm/yyyy") &amp; "," &amp; Sheet1!D128</f>
        <v/>
      </c>
      <c r="H128" s="38">
        <f>UPPER(Sheet1!J128 &amp; "," &amp; Sheet1!K128 &amp; "," &amp; Sheet1!L128)</f>
        <v/>
      </c>
      <c r="I128" s="45">
        <f>Sheet1!I128</f>
        <v/>
      </c>
      <c r="J128" s="5">
        <f>Sheet1!M128 &amp; "," &amp; TEXT(Sheet1!N128,"dd/mm/yy")</f>
        <v/>
      </c>
      <c r="K128" s="5" t="inlineStr">
        <is>
          <t>PRINTED</t>
        </is>
      </c>
      <c r="L128" s="30" t="inlineStr">
        <is>
          <t>25/03/2026</t>
        </is>
      </c>
      <c r="M128" s="30" t="inlineStr">
        <is>
          <t>MANISH KATARIA, VICE CONSUL</t>
        </is>
      </c>
      <c r="N128" s="30" t="inlineStr">
        <is>
          <t>26/02/2026</t>
        </is>
      </c>
    </row>
    <row r="129">
      <c r="A129" s="4">
        <f>Sheet1!A129 &amp; "/" &amp; "2025"</f>
        <v/>
      </c>
      <c r="B129" s="5">
        <f>Sheet1!E129</f>
        <v/>
      </c>
      <c r="C129" s="6">
        <f>UPPER(Sheet1!B129)</f>
        <v/>
      </c>
      <c r="D129" s="7">
        <f>IF(Sheet1!F129="F","FEMALE","MALE")</f>
        <v/>
      </c>
      <c r="E129" s="6">
        <f>UPPER(Sheet1!G129)</f>
        <v/>
      </c>
      <c r="F129" s="6">
        <f>UPPER(Sheet1!H129)</f>
        <v/>
      </c>
      <c r="G129" s="5">
        <f>TEXT(Sheet1!C129,"dd/mm/yyyy") &amp; "," &amp; Sheet1!D129</f>
        <v/>
      </c>
      <c r="H129" s="38">
        <f>UPPER(Sheet1!J129 &amp; "," &amp; Sheet1!K129 &amp; "," &amp; Sheet1!L129)</f>
        <v/>
      </c>
      <c r="I129" s="45">
        <f>Sheet1!I129</f>
        <v/>
      </c>
      <c r="J129" s="5">
        <f>Sheet1!M129 &amp; "," &amp; TEXT(Sheet1!N129,"dd/mm/yy")</f>
        <v/>
      </c>
      <c r="K129" s="5" t="inlineStr">
        <is>
          <t>PRINTED</t>
        </is>
      </c>
      <c r="L129" s="30" t="inlineStr">
        <is>
          <t>25/03/2026</t>
        </is>
      </c>
      <c r="M129" s="30" t="inlineStr">
        <is>
          <t>MANISH KATARIA, VICE CONSUL</t>
        </is>
      </c>
      <c r="N129" s="30" t="inlineStr">
        <is>
          <t>26/02/2026</t>
        </is>
      </c>
    </row>
    <row r="130">
      <c r="A130" s="4">
        <f>Sheet1!A130 &amp; "/" &amp; "2025"</f>
        <v/>
      </c>
      <c r="B130" s="5">
        <f>Sheet1!E130</f>
        <v/>
      </c>
      <c r="C130" s="6">
        <f>UPPER(Sheet1!B130)</f>
        <v/>
      </c>
      <c r="D130" s="7">
        <f>IF(Sheet1!F130="F","FEMALE","MALE")</f>
        <v/>
      </c>
      <c r="E130" s="6">
        <f>UPPER(Sheet1!G130)</f>
        <v/>
      </c>
      <c r="F130" s="6">
        <f>UPPER(Sheet1!H130)</f>
        <v/>
      </c>
      <c r="G130" s="5">
        <f>TEXT(Sheet1!C130,"dd/mm/yyyy") &amp; "," &amp; Sheet1!D130</f>
        <v/>
      </c>
      <c r="H130" s="38">
        <f>UPPER(Sheet1!J130 &amp; "," &amp; Sheet1!K130 &amp; "," &amp; Sheet1!L130)</f>
        <v/>
      </c>
      <c r="I130" s="45">
        <f>Sheet1!I130</f>
        <v/>
      </c>
      <c r="J130" s="5">
        <f>Sheet1!M130 &amp; "," &amp; TEXT(Sheet1!N130,"dd/mm/yy")</f>
        <v/>
      </c>
      <c r="K130" s="5" t="inlineStr">
        <is>
          <t>PRINTED</t>
        </is>
      </c>
      <c r="L130" s="30" t="inlineStr">
        <is>
          <t>25/03/2026</t>
        </is>
      </c>
      <c r="M130" s="30" t="inlineStr">
        <is>
          <t>MANISH KATARIA, VICE CONSUL</t>
        </is>
      </c>
      <c r="N130" s="30" t="inlineStr">
        <is>
          <t>26/02/2026</t>
        </is>
      </c>
    </row>
    <row r="131">
      <c r="A131" s="4">
        <f>Sheet1!A131 &amp; "/" &amp; "2025"</f>
        <v/>
      </c>
      <c r="B131" s="5">
        <f>Sheet1!E131</f>
        <v/>
      </c>
      <c r="C131" s="6">
        <f>UPPER(Sheet1!B131)</f>
        <v/>
      </c>
      <c r="D131" s="7">
        <f>IF(Sheet1!F131="F","FEMALE","MALE")</f>
        <v/>
      </c>
      <c r="E131" s="6">
        <f>UPPER(Sheet1!G131)</f>
        <v/>
      </c>
      <c r="F131" s="6">
        <f>UPPER(Sheet1!H131)</f>
        <v/>
      </c>
      <c r="G131" s="5">
        <f>TEXT(Sheet1!C131,"dd/mm/yyyy") &amp; "," &amp; Sheet1!D131</f>
        <v/>
      </c>
      <c r="H131" s="38">
        <f>UPPER(Sheet1!J131 &amp; "," &amp; Sheet1!K131 &amp; "," &amp; Sheet1!L131)</f>
        <v/>
      </c>
      <c r="I131" s="45">
        <f>Sheet1!I131</f>
        <v/>
      </c>
      <c r="J131" s="5">
        <f>Sheet1!M131 &amp; "," &amp; TEXT(Sheet1!N131,"dd/mm/yy")</f>
        <v/>
      </c>
      <c r="K131" s="5" t="inlineStr">
        <is>
          <t>PRINTED</t>
        </is>
      </c>
      <c r="L131" s="30" t="inlineStr">
        <is>
          <t>25/03/2026</t>
        </is>
      </c>
      <c r="M131" s="30" t="inlineStr">
        <is>
          <t>MANISH KATARIA, VICE CONSUL</t>
        </is>
      </c>
      <c r="N131" s="30" t="inlineStr">
        <is>
          <t>26/02/2026</t>
        </is>
      </c>
    </row>
    <row r="132">
      <c r="A132" s="4">
        <f>Sheet1!A132 &amp; "/" &amp; "2025"</f>
        <v/>
      </c>
      <c r="B132" s="5">
        <f>Sheet1!E132</f>
        <v/>
      </c>
      <c r="C132" s="6">
        <f>UPPER(Sheet1!B132)</f>
        <v/>
      </c>
      <c r="D132" s="7">
        <f>IF(Sheet1!F132="F","FEMALE","MALE")</f>
        <v/>
      </c>
      <c r="E132" s="6">
        <f>UPPER(Sheet1!G132)</f>
        <v/>
      </c>
      <c r="F132" s="6">
        <f>UPPER(Sheet1!H132)</f>
        <v/>
      </c>
      <c r="G132" s="5">
        <f>TEXT(Sheet1!C132,"dd/mm/yyyy") &amp; "," &amp; Sheet1!D132</f>
        <v/>
      </c>
      <c r="H132" s="38">
        <f>UPPER(Sheet1!J132 &amp; "," &amp; Sheet1!K132 &amp; "," &amp; Sheet1!L132)</f>
        <v/>
      </c>
      <c r="I132" s="45">
        <f>Sheet1!I132</f>
        <v/>
      </c>
      <c r="J132" s="5">
        <f>Sheet1!M132 &amp; "," &amp; TEXT(Sheet1!N132,"dd/mm/yy")</f>
        <v/>
      </c>
      <c r="K132" s="5" t="inlineStr">
        <is>
          <t>PRINTED</t>
        </is>
      </c>
      <c r="L132" s="30" t="inlineStr">
        <is>
          <t>25/03/2026</t>
        </is>
      </c>
      <c r="M132" s="30" t="inlineStr">
        <is>
          <t>MANISH KATARIA, VICE CONSUL</t>
        </is>
      </c>
      <c r="N132" s="30" t="inlineStr">
        <is>
          <t>26/02/2026</t>
        </is>
      </c>
    </row>
    <row r="133">
      <c r="A133" s="4">
        <f>Sheet1!A133 &amp; "/" &amp; "2025"</f>
        <v/>
      </c>
      <c r="B133" s="5">
        <f>Sheet1!E133</f>
        <v/>
      </c>
      <c r="C133" s="6">
        <f>UPPER(Sheet1!B133)</f>
        <v/>
      </c>
      <c r="D133" s="7">
        <f>IF(Sheet1!F133="F","FEMALE","MALE")</f>
        <v/>
      </c>
      <c r="E133" s="6">
        <f>UPPER(Sheet1!G133)</f>
        <v/>
      </c>
      <c r="F133" s="6">
        <f>UPPER(Sheet1!H133)</f>
        <v/>
      </c>
      <c r="G133" s="5">
        <f>TEXT(Sheet1!C133,"dd/mm/yyyy") &amp; "," &amp; Sheet1!D133</f>
        <v/>
      </c>
      <c r="H133" s="38">
        <f>UPPER(Sheet1!J133 &amp; "," &amp; Sheet1!K133 &amp; "," &amp; Sheet1!L133)</f>
        <v/>
      </c>
      <c r="I133" s="45">
        <f>Sheet1!I133</f>
        <v/>
      </c>
      <c r="J133" s="5">
        <f>Sheet1!M133 &amp; "," &amp; TEXT(Sheet1!N133,"dd/mm/yy")</f>
        <v/>
      </c>
      <c r="K133" s="5" t="inlineStr">
        <is>
          <t>PRINTED</t>
        </is>
      </c>
      <c r="L133" s="30" t="inlineStr">
        <is>
          <t>25/03/2026</t>
        </is>
      </c>
      <c r="M133" s="30" t="inlineStr">
        <is>
          <t>MANISH KATARIA, VICE CONSUL</t>
        </is>
      </c>
      <c r="N133" s="30" t="inlineStr">
        <is>
          <t>26/02/2026</t>
        </is>
      </c>
    </row>
    <row r="134">
      <c r="A134" s="4">
        <f>Sheet1!A134 &amp; "/" &amp; "2025"</f>
        <v/>
      </c>
      <c r="B134" s="5">
        <f>Sheet1!E134</f>
        <v/>
      </c>
      <c r="C134" s="6">
        <f>UPPER(Sheet1!B134)</f>
        <v/>
      </c>
      <c r="D134" s="7">
        <f>IF(Sheet1!F134="F","FEMALE","MALE")</f>
        <v/>
      </c>
      <c r="E134" s="6">
        <f>UPPER(Sheet1!G134)</f>
        <v/>
      </c>
      <c r="F134" s="6">
        <f>UPPER(Sheet1!H134)</f>
        <v/>
      </c>
      <c r="G134" s="5">
        <f>TEXT(Sheet1!C134,"dd/mm/yyyy") &amp; "," &amp; Sheet1!D134</f>
        <v/>
      </c>
      <c r="H134" s="38">
        <f>UPPER(Sheet1!J134 &amp; "," &amp; Sheet1!K134 &amp; "," &amp; Sheet1!L134)</f>
        <v/>
      </c>
      <c r="I134" s="45">
        <f>Sheet1!I134</f>
        <v/>
      </c>
      <c r="J134" s="5">
        <f>Sheet1!M134 &amp; "," &amp; TEXT(Sheet1!N134,"dd/mm/yy")</f>
        <v/>
      </c>
      <c r="K134" s="5" t="inlineStr">
        <is>
          <t>PRINTED</t>
        </is>
      </c>
      <c r="L134" s="30" t="inlineStr">
        <is>
          <t>25/03/2026</t>
        </is>
      </c>
      <c r="M134" s="30" t="inlineStr">
        <is>
          <t>MANISH KATARIA, VICE CONSUL</t>
        </is>
      </c>
      <c r="N134" s="30" t="inlineStr">
        <is>
          <t>26/02/2026</t>
        </is>
      </c>
    </row>
    <row r="135">
      <c r="A135" s="4">
        <f>Sheet1!A135 &amp; "/" &amp; "2025"</f>
        <v/>
      </c>
      <c r="B135" s="5">
        <f>Sheet1!E135</f>
        <v/>
      </c>
      <c r="C135" s="6">
        <f>UPPER(Sheet1!B135)</f>
        <v/>
      </c>
      <c r="D135" s="7">
        <f>IF(Sheet1!F135="F","FEMALE","MALE")</f>
        <v/>
      </c>
      <c r="E135" s="6">
        <f>UPPER(Sheet1!G135)</f>
        <v/>
      </c>
      <c r="F135" s="6">
        <f>UPPER(Sheet1!H135)</f>
        <v/>
      </c>
      <c r="G135" s="5">
        <f>TEXT(Sheet1!C135,"dd/mm/yyyy") &amp; "," &amp; Sheet1!D135</f>
        <v/>
      </c>
      <c r="H135" s="38">
        <f>UPPER(Sheet1!J135 &amp; "," &amp; Sheet1!K135 &amp; "," &amp; Sheet1!L135)</f>
        <v/>
      </c>
      <c r="I135" s="45">
        <f>Sheet1!I135</f>
        <v/>
      </c>
      <c r="J135" s="5">
        <f>Sheet1!M135 &amp; "," &amp; TEXT(Sheet1!N135,"dd/mm/yy")</f>
        <v/>
      </c>
      <c r="K135" s="5" t="inlineStr">
        <is>
          <t>PRINTED</t>
        </is>
      </c>
      <c r="L135" s="30" t="inlineStr">
        <is>
          <t>25/03/2026</t>
        </is>
      </c>
      <c r="M135" s="30" t="inlineStr">
        <is>
          <t>MANISH KATARIA, VICE CONSUL</t>
        </is>
      </c>
      <c r="N135" s="30" t="inlineStr">
        <is>
          <t>26/02/2026</t>
        </is>
      </c>
    </row>
    <row r="136">
      <c r="A136" s="4">
        <f>Sheet1!A136 &amp; "/" &amp; "2025"</f>
        <v/>
      </c>
      <c r="B136" s="5">
        <f>Sheet1!E136</f>
        <v/>
      </c>
      <c r="C136" s="6">
        <f>UPPER(Sheet1!B136)</f>
        <v/>
      </c>
      <c r="D136" s="7">
        <f>IF(Sheet1!F136="F","FEMALE","MALE")</f>
        <v/>
      </c>
      <c r="E136" s="6">
        <f>UPPER(Sheet1!G136)</f>
        <v/>
      </c>
      <c r="F136" s="6">
        <f>UPPER(Sheet1!H136)</f>
        <v/>
      </c>
      <c r="G136" s="5">
        <f>TEXT(Sheet1!C136,"dd/mm/yyyy") &amp; "," &amp; Sheet1!D136</f>
        <v/>
      </c>
      <c r="H136" s="38">
        <f>UPPER(Sheet1!J136 &amp; "," &amp; Sheet1!K136 &amp; "," &amp; Sheet1!L136)</f>
        <v/>
      </c>
      <c r="I136" s="45">
        <f>Sheet1!I136</f>
        <v/>
      </c>
      <c r="J136" s="5">
        <f>Sheet1!M136 &amp; "," &amp; TEXT(Sheet1!N136,"dd/mm/yy")</f>
        <v/>
      </c>
      <c r="K136" s="5" t="inlineStr">
        <is>
          <t>PRINTED</t>
        </is>
      </c>
      <c r="L136" s="30" t="inlineStr">
        <is>
          <t>25/03/2026</t>
        </is>
      </c>
      <c r="M136" s="30" t="inlineStr">
        <is>
          <t>MANISH KATARIA, VICE CONSUL</t>
        </is>
      </c>
      <c r="N136" s="30" t="inlineStr">
        <is>
          <t>26/02/2026</t>
        </is>
      </c>
    </row>
    <row r="137">
      <c r="A137" s="4">
        <f>Sheet1!A137 &amp; "/" &amp; "2025"</f>
        <v/>
      </c>
      <c r="B137" s="5">
        <f>Sheet1!E137</f>
        <v/>
      </c>
      <c r="C137" s="6">
        <f>UPPER(Sheet1!B137)</f>
        <v/>
      </c>
      <c r="D137" s="7">
        <f>IF(Sheet1!F137="F","FEMALE","MALE")</f>
        <v/>
      </c>
      <c r="E137" s="6">
        <f>UPPER(Sheet1!G137)</f>
        <v/>
      </c>
      <c r="F137" s="6">
        <f>UPPER(Sheet1!H137)</f>
        <v/>
      </c>
      <c r="G137" s="5">
        <f>TEXT(Sheet1!C137,"dd/mm/yyyy") &amp; "," &amp; Sheet1!D137</f>
        <v/>
      </c>
      <c r="H137" s="38">
        <f>UPPER(Sheet1!J137 &amp; "," &amp; Sheet1!K137 &amp; "," &amp; Sheet1!L137)</f>
        <v/>
      </c>
      <c r="I137" s="45">
        <f>Sheet1!I137</f>
        <v/>
      </c>
      <c r="J137" s="5">
        <f>Sheet1!M137 &amp; "," &amp; TEXT(Sheet1!N137,"dd/mm/yy")</f>
        <v/>
      </c>
      <c r="K137" s="5" t="inlineStr">
        <is>
          <t>PRINTED</t>
        </is>
      </c>
      <c r="L137" s="30" t="inlineStr">
        <is>
          <t>25/03/2026</t>
        </is>
      </c>
      <c r="M137" s="30" t="inlineStr">
        <is>
          <t>MANISH KATARIA, VICE CONSUL</t>
        </is>
      </c>
      <c r="N137" s="30" t="inlineStr">
        <is>
          <t>26/02/2026</t>
        </is>
      </c>
    </row>
    <row r="138">
      <c r="A138" s="4">
        <f>Sheet1!A138 &amp; "/" &amp; "2025"</f>
        <v/>
      </c>
      <c r="B138" s="5">
        <f>Sheet1!E138</f>
        <v/>
      </c>
      <c r="C138" s="6">
        <f>UPPER(Sheet1!B138)</f>
        <v/>
      </c>
      <c r="D138" s="7">
        <f>IF(Sheet1!F138="F","FEMALE","MALE")</f>
        <v/>
      </c>
      <c r="E138" s="6">
        <f>UPPER(Sheet1!G138)</f>
        <v/>
      </c>
      <c r="F138" s="6">
        <f>UPPER(Sheet1!H138)</f>
        <v/>
      </c>
      <c r="G138" s="5">
        <f>TEXT(Sheet1!C138,"dd/mm/yyyy") &amp; "," &amp; Sheet1!D138</f>
        <v/>
      </c>
      <c r="H138" s="38">
        <f>UPPER(Sheet1!J138 &amp; "," &amp; Sheet1!K138 &amp; "," &amp; Sheet1!L138)</f>
        <v/>
      </c>
      <c r="I138" s="45">
        <f>Sheet1!I138</f>
        <v/>
      </c>
      <c r="J138" s="5">
        <f>Sheet1!M138 &amp; "," &amp; TEXT(Sheet1!N138,"dd/mm/yy")</f>
        <v/>
      </c>
      <c r="K138" s="5" t="inlineStr">
        <is>
          <t>PRINTED</t>
        </is>
      </c>
      <c r="L138" s="30" t="inlineStr">
        <is>
          <t>25/03/2026</t>
        </is>
      </c>
      <c r="M138" s="30" t="inlineStr">
        <is>
          <t>MANISH KATARIA, VICE CONSUL</t>
        </is>
      </c>
      <c r="N138" s="30" t="inlineStr">
        <is>
          <t>26/02/2026</t>
        </is>
      </c>
    </row>
    <row r="139">
      <c r="A139" s="4">
        <f>Sheet1!A139 &amp; "/" &amp; "2025"</f>
        <v/>
      </c>
      <c r="B139" s="5">
        <f>Sheet1!E139</f>
        <v/>
      </c>
      <c r="C139" s="6">
        <f>UPPER(Sheet1!B139)</f>
        <v/>
      </c>
      <c r="D139" s="7">
        <f>IF(Sheet1!F139="F","FEMALE","MALE")</f>
        <v/>
      </c>
      <c r="E139" s="6">
        <f>UPPER(Sheet1!G139)</f>
        <v/>
      </c>
      <c r="F139" s="6">
        <f>UPPER(Sheet1!H139)</f>
        <v/>
      </c>
      <c r="G139" s="5">
        <f>TEXT(Sheet1!C139,"dd/mm/yyyy") &amp; "," &amp; Sheet1!D139</f>
        <v/>
      </c>
      <c r="H139" s="38">
        <f>UPPER(Sheet1!J139 &amp; "," &amp; Sheet1!K139 &amp; "," &amp; Sheet1!L139)</f>
        <v/>
      </c>
      <c r="I139" s="45">
        <f>Sheet1!I139</f>
        <v/>
      </c>
      <c r="J139" s="5">
        <f>Sheet1!M139 &amp; "," &amp; TEXT(Sheet1!N139,"dd/mm/yy")</f>
        <v/>
      </c>
      <c r="K139" s="5" t="inlineStr">
        <is>
          <t>PRINTED</t>
        </is>
      </c>
      <c r="L139" s="30" t="inlineStr">
        <is>
          <t>25/03/2026</t>
        </is>
      </c>
      <c r="M139" s="30" t="inlineStr">
        <is>
          <t>MANISH KATARIA, VICE CONSUL</t>
        </is>
      </c>
      <c r="N139" s="30" t="inlineStr">
        <is>
          <t>26/02/2026</t>
        </is>
      </c>
    </row>
    <row r="140">
      <c r="A140" s="4">
        <f>Sheet1!A140 &amp; "/" &amp; "2025"</f>
        <v/>
      </c>
      <c r="B140" s="5">
        <f>Sheet1!E140</f>
        <v/>
      </c>
      <c r="C140" s="6">
        <f>UPPER(Sheet1!B140)</f>
        <v/>
      </c>
      <c r="D140" s="7">
        <f>IF(Sheet1!F140="F","FEMALE","MALE")</f>
        <v/>
      </c>
      <c r="E140" s="6">
        <f>UPPER(Sheet1!G140)</f>
        <v/>
      </c>
      <c r="F140" s="6">
        <f>UPPER(Sheet1!H140)</f>
        <v/>
      </c>
      <c r="G140" s="5">
        <f>TEXT(Sheet1!C140,"dd/mm/yyyy") &amp; "," &amp; Sheet1!D140</f>
        <v/>
      </c>
      <c r="H140" s="38">
        <f>UPPER(Sheet1!J140 &amp; "," &amp; Sheet1!K140 &amp; "," &amp; Sheet1!L140)</f>
        <v/>
      </c>
      <c r="I140" s="45">
        <f>Sheet1!I140</f>
        <v/>
      </c>
      <c r="J140" s="5">
        <f>Sheet1!M140 &amp; "," &amp; TEXT(Sheet1!N140,"dd/mm/yy")</f>
        <v/>
      </c>
      <c r="K140" s="5" t="inlineStr">
        <is>
          <t>PRINTED</t>
        </is>
      </c>
      <c r="L140" s="30" t="inlineStr">
        <is>
          <t>25/03/2026</t>
        </is>
      </c>
      <c r="M140" s="30" t="inlineStr">
        <is>
          <t>MANISH KATARIA, VICE CONSUL</t>
        </is>
      </c>
      <c r="N140" s="30" t="inlineStr">
        <is>
          <t>26/02/2026</t>
        </is>
      </c>
    </row>
    <row r="141">
      <c r="A141" s="4">
        <f>Sheet1!A141 &amp; "/" &amp; "2025"</f>
        <v/>
      </c>
      <c r="B141" s="5">
        <f>Sheet1!E141</f>
        <v/>
      </c>
      <c r="C141" s="6">
        <f>UPPER(Sheet1!B141)</f>
        <v/>
      </c>
      <c r="D141" s="7">
        <f>IF(Sheet1!F141="F","FEMALE","MALE")</f>
        <v/>
      </c>
      <c r="E141" s="6">
        <f>UPPER(Sheet1!G141)</f>
        <v/>
      </c>
      <c r="F141" s="6">
        <f>UPPER(Sheet1!H141)</f>
        <v/>
      </c>
      <c r="G141" s="5">
        <f>TEXT(Sheet1!C141,"dd/mm/yyyy") &amp; "," &amp; Sheet1!D141</f>
        <v/>
      </c>
      <c r="H141" s="38">
        <f>UPPER(Sheet1!J141 &amp; "," &amp; Sheet1!K141 &amp; "," &amp; Sheet1!L141)</f>
        <v/>
      </c>
      <c r="I141" s="45">
        <f>Sheet1!I141</f>
        <v/>
      </c>
      <c r="J141" s="5">
        <f>Sheet1!M141 &amp; "," &amp; TEXT(Sheet1!N141,"dd/mm/yy")</f>
        <v/>
      </c>
      <c r="K141" s="5" t="inlineStr">
        <is>
          <t>PRINTED</t>
        </is>
      </c>
      <c r="L141" s="30" t="inlineStr">
        <is>
          <t>25/03/2026</t>
        </is>
      </c>
      <c r="M141" s="30" t="inlineStr">
        <is>
          <t>MANISH KATARIA, VICE CONSUL</t>
        </is>
      </c>
      <c r="N141" s="30" t="inlineStr">
        <is>
          <t>26/02/2026</t>
        </is>
      </c>
    </row>
    <row r="142">
      <c r="A142" s="4">
        <f>Sheet1!A142 &amp; "/" &amp; "2025"</f>
        <v/>
      </c>
      <c r="B142" s="5">
        <f>Sheet1!E142</f>
        <v/>
      </c>
      <c r="C142" s="6">
        <f>UPPER(Sheet1!B142)</f>
        <v/>
      </c>
      <c r="D142" s="7">
        <f>IF(Sheet1!F142="F","FEMALE","MALE")</f>
        <v/>
      </c>
      <c r="E142" s="6">
        <f>UPPER(Sheet1!G142)</f>
        <v/>
      </c>
      <c r="F142" s="6">
        <f>UPPER(Sheet1!H142)</f>
        <v/>
      </c>
      <c r="G142" s="5">
        <f>TEXT(Sheet1!C142,"dd/mm/yyyy") &amp; "," &amp; Sheet1!D142</f>
        <v/>
      </c>
      <c r="H142" s="38">
        <f>UPPER(Sheet1!J142 &amp; "," &amp; Sheet1!K142 &amp; "," &amp; Sheet1!L142)</f>
        <v/>
      </c>
      <c r="I142" s="45">
        <f>Sheet1!I142</f>
        <v/>
      </c>
      <c r="J142" s="5">
        <f>Sheet1!M142 &amp; "," &amp; TEXT(Sheet1!N142,"dd/mm/yy")</f>
        <v/>
      </c>
      <c r="K142" s="5" t="inlineStr">
        <is>
          <t>PRINTED</t>
        </is>
      </c>
      <c r="L142" s="30" t="inlineStr">
        <is>
          <t>25/03/2026</t>
        </is>
      </c>
      <c r="M142" s="30" t="inlineStr">
        <is>
          <t>MANISH KATARIA, VICE CONSUL</t>
        </is>
      </c>
      <c r="N142" s="30" t="inlineStr">
        <is>
          <t>26/02/2026</t>
        </is>
      </c>
    </row>
    <row r="143">
      <c r="A143" s="4">
        <f>Sheet1!A143 &amp; "/" &amp; "2025"</f>
        <v/>
      </c>
      <c r="B143" s="5">
        <f>Sheet1!E143</f>
        <v/>
      </c>
      <c r="C143" s="6">
        <f>UPPER(Sheet1!B143)</f>
        <v/>
      </c>
      <c r="D143" s="7">
        <f>IF(Sheet1!F143="F","FEMALE","MALE")</f>
        <v/>
      </c>
      <c r="E143" s="6">
        <f>UPPER(Sheet1!G143)</f>
        <v/>
      </c>
      <c r="F143" s="6">
        <f>UPPER(Sheet1!H143)</f>
        <v/>
      </c>
      <c r="G143" s="5">
        <f>TEXT(Sheet1!C143,"dd/mm/yyyy") &amp; "," &amp; Sheet1!D143</f>
        <v/>
      </c>
      <c r="H143" s="38">
        <f>UPPER(Sheet1!J143 &amp; "," &amp; Sheet1!K143 &amp; "," &amp; Sheet1!L143)</f>
        <v/>
      </c>
      <c r="I143" s="45">
        <f>Sheet1!I143</f>
        <v/>
      </c>
      <c r="J143" s="5">
        <f>Sheet1!M143 &amp; "," &amp; TEXT(Sheet1!N143,"dd/mm/yy")</f>
        <v/>
      </c>
      <c r="K143" s="5" t="inlineStr">
        <is>
          <t>PRINTED</t>
        </is>
      </c>
      <c r="L143" s="30" t="inlineStr">
        <is>
          <t>25/03/2026</t>
        </is>
      </c>
      <c r="M143" s="30" t="inlineStr">
        <is>
          <t>MANISH KATARIA, VICE CONSUL</t>
        </is>
      </c>
      <c r="N143" s="30" t="inlineStr">
        <is>
          <t>26/02/2026</t>
        </is>
      </c>
    </row>
    <row r="144">
      <c r="A144" s="4">
        <f>Sheet1!A144 &amp; "/" &amp; "2025"</f>
        <v/>
      </c>
      <c r="B144" s="5">
        <f>Sheet1!E144</f>
        <v/>
      </c>
      <c r="C144" s="6">
        <f>UPPER(Sheet1!B144)</f>
        <v/>
      </c>
      <c r="D144" s="7">
        <f>IF(Sheet1!F144="F","FEMALE","MALE")</f>
        <v/>
      </c>
      <c r="E144" s="6">
        <f>UPPER(Sheet1!G144)</f>
        <v/>
      </c>
      <c r="F144" s="6">
        <f>UPPER(Sheet1!H144)</f>
        <v/>
      </c>
      <c r="G144" s="5">
        <f>TEXT(Sheet1!C144,"dd/mm/yyyy") &amp; "," &amp; Sheet1!D144</f>
        <v/>
      </c>
      <c r="H144" s="38">
        <f>UPPER(Sheet1!J144 &amp; "," &amp; Sheet1!K144 &amp; "," &amp; Sheet1!L144)</f>
        <v/>
      </c>
      <c r="I144" s="45">
        <f>Sheet1!I144</f>
        <v/>
      </c>
      <c r="J144" s="5">
        <f>Sheet1!M144 &amp; "," &amp; TEXT(Sheet1!N144,"dd/mm/yy")</f>
        <v/>
      </c>
      <c r="K144" s="5" t="inlineStr">
        <is>
          <t>PRINTED</t>
        </is>
      </c>
      <c r="L144" s="30" t="inlineStr">
        <is>
          <t>25/03/2026</t>
        </is>
      </c>
      <c r="M144" s="30" t="inlineStr">
        <is>
          <t>MANISH KATARIA, VICE CONSUL</t>
        </is>
      </c>
      <c r="N144" s="30" t="inlineStr">
        <is>
          <t>26/02/2026</t>
        </is>
      </c>
    </row>
    <row r="145">
      <c r="A145" s="4">
        <f>Sheet1!A145 &amp; "/" &amp; "2025"</f>
        <v/>
      </c>
      <c r="B145" s="5">
        <f>Sheet1!E145</f>
        <v/>
      </c>
      <c r="C145" s="6">
        <f>UPPER(Sheet1!B145)</f>
        <v/>
      </c>
      <c r="D145" s="7">
        <f>IF(Sheet1!F145="F","FEMALE","MALE")</f>
        <v/>
      </c>
      <c r="E145" s="6">
        <f>UPPER(Sheet1!G145)</f>
        <v/>
      </c>
      <c r="F145" s="6">
        <f>UPPER(Sheet1!H145)</f>
        <v/>
      </c>
      <c r="G145" s="5">
        <f>TEXT(Sheet1!C145,"dd/mm/yyyy") &amp; "," &amp; Sheet1!D145</f>
        <v/>
      </c>
      <c r="H145" s="38">
        <f>UPPER(Sheet1!J145 &amp; "," &amp; Sheet1!K145 &amp; "," &amp; Sheet1!L145)</f>
        <v/>
      </c>
      <c r="I145" s="45">
        <f>Sheet1!I145</f>
        <v/>
      </c>
      <c r="J145" s="5">
        <f>Sheet1!M145 &amp; "," &amp; TEXT(Sheet1!N145,"dd/mm/yy")</f>
        <v/>
      </c>
      <c r="K145" s="5" t="inlineStr">
        <is>
          <t>PRINTED</t>
        </is>
      </c>
      <c r="L145" s="30" t="inlineStr">
        <is>
          <t>25/03/2026</t>
        </is>
      </c>
      <c r="M145" s="30" t="inlineStr">
        <is>
          <t>MANISH KATARIA, VICE CONSUL</t>
        </is>
      </c>
      <c r="N145" s="30" t="inlineStr">
        <is>
          <t>26/02/2026</t>
        </is>
      </c>
    </row>
    <row r="146">
      <c r="A146" s="4">
        <f>Sheet1!A146 &amp; "/" &amp; "2025"</f>
        <v/>
      </c>
      <c r="B146" s="5">
        <f>Sheet1!E146</f>
        <v/>
      </c>
      <c r="C146" s="6">
        <f>UPPER(Sheet1!B146)</f>
        <v/>
      </c>
      <c r="D146" s="7">
        <f>IF(Sheet1!F146="F","FEMALE","MALE")</f>
        <v/>
      </c>
      <c r="E146" s="6">
        <f>UPPER(Sheet1!G146)</f>
        <v/>
      </c>
      <c r="F146" s="6">
        <f>UPPER(Sheet1!H146)</f>
        <v/>
      </c>
      <c r="G146" s="5">
        <f>TEXT(Sheet1!C146,"dd/mm/yyyy") &amp; "," &amp; Sheet1!D146</f>
        <v/>
      </c>
      <c r="H146" s="38">
        <f>UPPER(Sheet1!J146 &amp; "," &amp; Sheet1!K146 &amp; "," &amp; Sheet1!L146)</f>
        <v/>
      </c>
      <c r="I146" s="45">
        <f>Sheet1!I146</f>
        <v/>
      </c>
      <c r="J146" s="5">
        <f>Sheet1!M146 &amp; "," &amp; TEXT(Sheet1!N146,"dd/mm/yy")</f>
        <v/>
      </c>
      <c r="K146" s="5" t="inlineStr">
        <is>
          <t>PRINTED</t>
        </is>
      </c>
      <c r="L146" s="30" t="inlineStr">
        <is>
          <t>25/03/2026</t>
        </is>
      </c>
      <c r="M146" s="30" t="inlineStr">
        <is>
          <t>MANISH KATARIA, VICE CONSUL</t>
        </is>
      </c>
      <c r="N146" s="30" t="inlineStr">
        <is>
          <t>26/02/2026</t>
        </is>
      </c>
    </row>
    <row r="147">
      <c r="A147" s="4">
        <f>Sheet1!A147 &amp; "/" &amp; "2025"</f>
        <v/>
      </c>
      <c r="B147" s="5">
        <f>Sheet1!E147</f>
        <v/>
      </c>
      <c r="C147" s="6">
        <f>UPPER(Sheet1!B147)</f>
        <v/>
      </c>
      <c r="D147" s="7">
        <f>IF(Sheet1!F147="F","FEMALE","MALE")</f>
        <v/>
      </c>
      <c r="E147" s="6">
        <f>UPPER(Sheet1!G147)</f>
        <v/>
      </c>
      <c r="F147" s="6">
        <f>UPPER(Sheet1!H147)</f>
        <v/>
      </c>
      <c r="G147" s="5">
        <f>TEXT(Sheet1!C147,"dd/mm/yyyy") &amp; "," &amp; Sheet1!D147</f>
        <v/>
      </c>
      <c r="H147" s="38">
        <f>UPPER(Sheet1!J147 &amp; "," &amp; Sheet1!K147 &amp; "," &amp; Sheet1!L147)</f>
        <v/>
      </c>
      <c r="I147" s="45">
        <f>Sheet1!I147</f>
        <v/>
      </c>
      <c r="J147" s="5">
        <f>Sheet1!M147 &amp; "," &amp; TEXT(Sheet1!N147,"dd/mm/yy")</f>
        <v/>
      </c>
      <c r="K147" s="5" t="inlineStr">
        <is>
          <t>PRINTED</t>
        </is>
      </c>
      <c r="L147" s="30" t="inlineStr">
        <is>
          <t>25/03/2026</t>
        </is>
      </c>
      <c r="M147" s="30" t="inlineStr">
        <is>
          <t>MANISH KATARIA, VICE CONSUL</t>
        </is>
      </c>
      <c r="N147" s="30" t="inlineStr">
        <is>
          <t>26/02/2026</t>
        </is>
      </c>
    </row>
    <row r="148">
      <c r="A148" s="4">
        <f>Sheet1!A148 &amp; "/" &amp; "2025"</f>
        <v/>
      </c>
      <c r="B148" s="5">
        <f>Sheet1!E148</f>
        <v/>
      </c>
      <c r="C148" s="6">
        <f>UPPER(Sheet1!B148)</f>
        <v/>
      </c>
      <c r="D148" s="7">
        <f>IF(Sheet1!F148="F","FEMALE","MALE")</f>
        <v/>
      </c>
      <c r="E148" s="6">
        <f>UPPER(Sheet1!G148)</f>
        <v/>
      </c>
      <c r="F148" s="6">
        <f>UPPER(Sheet1!H148)</f>
        <v/>
      </c>
      <c r="G148" s="5">
        <f>TEXT(Sheet1!C148,"dd/mm/yyyy") &amp; "," &amp; Sheet1!D148</f>
        <v/>
      </c>
      <c r="H148" s="38">
        <f>UPPER(Sheet1!J148 &amp; "," &amp; Sheet1!K148 &amp; "," &amp; Sheet1!L148)</f>
        <v/>
      </c>
      <c r="I148" s="45">
        <f>Sheet1!I148</f>
        <v/>
      </c>
      <c r="J148" s="5">
        <f>Sheet1!M148 &amp; "," &amp; TEXT(Sheet1!N148,"dd/mm/yy")</f>
        <v/>
      </c>
      <c r="K148" s="5" t="inlineStr">
        <is>
          <t>PRINTED</t>
        </is>
      </c>
      <c r="L148" s="30" t="inlineStr">
        <is>
          <t>25/03/2026</t>
        </is>
      </c>
      <c r="M148" s="30" t="inlineStr">
        <is>
          <t>MANISH KATARIA, VICE CONSUL</t>
        </is>
      </c>
      <c r="N148" s="30" t="inlineStr">
        <is>
          <t>26/02/2026</t>
        </is>
      </c>
    </row>
    <row r="149">
      <c r="A149" s="4">
        <f>Sheet1!A149 &amp; "/" &amp; "2025"</f>
        <v/>
      </c>
      <c r="B149" s="5">
        <f>Sheet1!E149</f>
        <v/>
      </c>
      <c r="C149" s="6">
        <f>UPPER(Sheet1!B149)</f>
        <v/>
      </c>
      <c r="D149" s="7">
        <f>IF(Sheet1!F149="F","FEMALE","MALE")</f>
        <v/>
      </c>
      <c r="E149" s="6">
        <f>UPPER(Sheet1!G149)</f>
        <v/>
      </c>
      <c r="F149" s="6">
        <f>UPPER(Sheet1!H149)</f>
        <v/>
      </c>
      <c r="G149" s="5">
        <f>TEXT(Sheet1!C149,"dd/mm/yyyy") &amp; "," &amp; Sheet1!D149</f>
        <v/>
      </c>
      <c r="H149" s="38">
        <f>UPPER(Sheet1!J149 &amp; "," &amp; Sheet1!K149 &amp; "," &amp; Sheet1!L149)</f>
        <v/>
      </c>
      <c r="I149" s="45">
        <f>Sheet1!I149</f>
        <v/>
      </c>
      <c r="J149" s="5">
        <f>Sheet1!M149 &amp; "," &amp; TEXT(Sheet1!N149,"dd/mm/yy")</f>
        <v/>
      </c>
      <c r="K149" s="5" t="inlineStr">
        <is>
          <t>PRINTED</t>
        </is>
      </c>
      <c r="L149" s="30" t="inlineStr">
        <is>
          <t>25/03/2026</t>
        </is>
      </c>
      <c r="M149" s="30" t="inlineStr">
        <is>
          <t>MANISH KATARIA, VICE CONSUL</t>
        </is>
      </c>
      <c r="N149" s="30" t="inlineStr">
        <is>
          <t>26/02/2026</t>
        </is>
      </c>
    </row>
    <row r="150">
      <c r="A150" s="4">
        <f>Sheet1!A150 &amp; "/" &amp; "2025"</f>
        <v/>
      </c>
      <c r="B150" s="5">
        <f>Sheet1!E150</f>
        <v/>
      </c>
      <c r="C150" s="6">
        <f>UPPER(Sheet1!B150)</f>
        <v/>
      </c>
      <c r="D150" s="7">
        <f>IF(Sheet1!F150="F","FEMALE","MALE")</f>
        <v/>
      </c>
      <c r="E150" s="6">
        <f>UPPER(Sheet1!G150)</f>
        <v/>
      </c>
      <c r="F150" s="6">
        <f>UPPER(Sheet1!H150)</f>
        <v/>
      </c>
      <c r="G150" s="5">
        <f>TEXT(Sheet1!C150,"dd/mm/yyyy") &amp; "," &amp; Sheet1!D150</f>
        <v/>
      </c>
      <c r="H150" s="38">
        <f>UPPER(Sheet1!J150 &amp; "," &amp; Sheet1!K150 &amp; "," &amp; Sheet1!L150)</f>
        <v/>
      </c>
      <c r="I150" s="45">
        <f>Sheet1!I150</f>
        <v/>
      </c>
      <c r="J150" s="5">
        <f>Sheet1!M150 &amp; "," &amp; TEXT(Sheet1!N150,"dd/mm/yy")</f>
        <v/>
      </c>
      <c r="K150" s="5" t="inlineStr">
        <is>
          <t>PRINTED</t>
        </is>
      </c>
      <c r="L150" s="30" t="inlineStr">
        <is>
          <t>25/03/2026</t>
        </is>
      </c>
      <c r="M150" s="30" t="inlineStr">
        <is>
          <t>MANISH KATARIA, VICE CONSUL</t>
        </is>
      </c>
      <c r="N150" s="30" t="inlineStr">
        <is>
          <t>26/02/2026</t>
        </is>
      </c>
    </row>
    <row r="151">
      <c r="A151" s="4">
        <f>Sheet1!A151 &amp; "/" &amp; "2025"</f>
        <v/>
      </c>
      <c r="B151" s="5">
        <f>Sheet1!E151</f>
        <v/>
      </c>
      <c r="C151" s="6">
        <f>UPPER(Sheet1!B151)</f>
        <v/>
      </c>
      <c r="D151" s="7">
        <f>IF(Sheet1!F151="F","FEMALE","MALE")</f>
        <v/>
      </c>
      <c r="E151" s="6">
        <f>UPPER(Sheet1!G151)</f>
        <v/>
      </c>
      <c r="F151" s="6">
        <f>UPPER(Sheet1!H151)</f>
        <v/>
      </c>
      <c r="G151" s="5">
        <f>TEXT(Sheet1!C151,"dd/mm/yyyy") &amp; "," &amp; Sheet1!D151</f>
        <v/>
      </c>
      <c r="H151" s="38">
        <f>UPPER(Sheet1!J151 &amp; "," &amp; Sheet1!K151 &amp; "," &amp; Sheet1!L151)</f>
        <v/>
      </c>
      <c r="I151" s="45">
        <f>Sheet1!I151</f>
        <v/>
      </c>
      <c r="J151" s="5">
        <f>Sheet1!M151 &amp; "," &amp; TEXT(Sheet1!N151,"dd/mm/yy")</f>
        <v/>
      </c>
      <c r="K151" s="5" t="inlineStr">
        <is>
          <t>PRINTED</t>
        </is>
      </c>
      <c r="L151" s="30" t="inlineStr">
        <is>
          <t>25/03/2026</t>
        </is>
      </c>
      <c r="M151" s="30" t="inlineStr">
        <is>
          <t>MANISH KATARIA, VICE CONSUL</t>
        </is>
      </c>
      <c r="N151" s="30" t="inlineStr">
        <is>
          <t>26/02/2026</t>
        </is>
      </c>
    </row>
    <row r="152">
      <c r="A152" s="4">
        <f>Sheet1!A152 &amp; "/" &amp; "2025"</f>
        <v/>
      </c>
      <c r="B152" s="5">
        <f>Sheet1!E152</f>
        <v/>
      </c>
      <c r="C152" s="6">
        <f>UPPER(Sheet1!B152)</f>
        <v/>
      </c>
      <c r="D152" s="7">
        <f>IF(Sheet1!F152="F","FEMALE","MALE")</f>
        <v/>
      </c>
      <c r="E152" s="6">
        <f>UPPER(Sheet1!G152)</f>
        <v/>
      </c>
      <c r="F152" s="6">
        <f>UPPER(Sheet1!H152)</f>
        <v/>
      </c>
      <c r="G152" s="5">
        <f>TEXT(Sheet1!C152,"dd/mm/yyyy") &amp; "," &amp; Sheet1!D152</f>
        <v/>
      </c>
      <c r="H152" s="38">
        <f>UPPER(Sheet1!J152 &amp; "," &amp; Sheet1!K152 &amp; "," &amp; Sheet1!L152)</f>
        <v/>
      </c>
      <c r="I152" s="45">
        <f>Sheet1!I152</f>
        <v/>
      </c>
      <c r="J152" s="5">
        <f>Sheet1!M152 &amp; "," &amp; TEXT(Sheet1!N152,"dd/mm/yy")</f>
        <v/>
      </c>
      <c r="K152" s="5" t="inlineStr">
        <is>
          <t>PRINTED</t>
        </is>
      </c>
      <c r="L152" s="30" t="inlineStr">
        <is>
          <t>25/03/2026</t>
        </is>
      </c>
      <c r="M152" s="30" t="inlineStr">
        <is>
          <t>MANISH KATARIA, VICE CONSUL</t>
        </is>
      </c>
      <c r="N152" s="30" t="inlineStr">
        <is>
          <t>26/02/2026</t>
        </is>
      </c>
    </row>
    <row r="153">
      <c r="A153" s="4">
        <f>Sheet1!A153 &amp; "/" &amp; "2025"</f>
        <v/>
      </c>
      <c r="B153" s="5">
        <f>Sheet1!E153</f>
        <v/>
      </c>
      <c r="C153" s="6">
        <f>UPPER(Sheet1!B153)</f>
        <v/>
      </c>
      <c r="D153" s="7">
        <f>IF(Sheet1!F153="F","FEMALE","MALE")</f>
        <v/>
      </c>
      <c r="E153" s="6">
        <f>UPPER(Sheet1!G153)</f>
        <v/>
      </c>
      <c r="F153" s="6">
        <f>UPPER(Sheet1!H153)</f>
        <v/>
      </c>
      <c r="G153" s="5">
        <f>TEXT(Sheet1!C153,"dd/mm/yyyy") &amp; "," &amp; Sheet1!D153</f>
        <v/>
      </c>
      <c r="H153" s="38">
        <f>UPPER(Sheet1!J153 &amp; "," &amp; Sheet1!K153 &amp; "," &amp; Sheet1!L153)</f>
        <v/>
      </c>
      <c r="I153" s="45">
        <f>Sheet1!I153</f>
        <v/>
      </c>
      <c r="J153" s="5">
        <f>Sheet1!M153 &amp; "," &amp; TEXT(Sheet1!N153,"dd/mm/yy")</f>
        <v/>
      </c>
      <c r="K153" s="5" t="inlineStr">
        <is>
          <t>PRINTED</t>
        </is>
      </c>
      <c r="L153" s="30" t="inlineStr">
        <is>
          <t>25/03/2026</t>
        </is>
      </c>
      <c r="M153" s="30" t="inlineStr">
        <is>
          <t>MANISH KATARIA, VICE CONSUL</t>
        </is>
      </c>
      <c r="N153" s="30" t="inlineStr">
        <is>
          <t>26/02/2026</t>
        </is>
      </c>
    </row>
    <row r="154">
      <c r="A154" s="4">
        <f>Sheet1!A154 &amp; "/" &amp; "2025"</f>
        <v/>
      </c>
      <c r="B154" s="5">
        <f>Sheet1!E154</f>
        <v/>
      </c>
      <c r="C154" s="6">
        <f>UPPER(Sheet1!B154)</f>
        <v/>
      </c>
      <c r="D154" s="7">
        <f>IF(Sheet1!F154="F","FEMALE","MALE")</f>
        <v/>
      </c>
      <c r="E154" s="6">
        <f>UPPER(Sheet1!G154)</f>
        <v/>
      </c>
      <c r="F154" s="6">
        <f>UPPER(Sheet1!H154)</f>
        <v/>
      </c>
      <c r="G154" s="5">
        <f>TEXT(Sheet1!C154,"dd/mm/yyyy") &amp; "," &amp; Sheet1!D154</f>
        <v/>
      </c>
      <c r="H154" s="38">
        <f>UPPER(Sheet1!J154 &amp; "," &amp; Sheet1!K154 &amp; "," &amp; Sheet1!L154)</f>
        <v/>
      </c>
      <c r="I154" s="45">
        <f>Sheet1!I154</f>
        <v/>
      </c>
      <c r="J154" s="5">
        <f>Sheet1!M154 &amp; "," &amp; TEXT(Sheet1!N154,"dd/mm/yy")</f>
        <v/>
      </c>
      <c r="K154" s="5" t="inlineStr">
        <is>
          <t>PRINTED</t>
        </is>
      </c>
      <c r="L154" s="30" t="inlineStr">
        <is>
          <t>25/03/2026</t>
        </is>
      </c>
      <c r="M154" s="30" t="inlineStr">
        <is>
          <t>MANISH KATARIA, VICE CONSUL</t>
        </is>
      </c>
      <c r="N154" s="30" t="inlineStr">
        <is>
          <t>26/02/2026</t>
        </is>
      </c>
    </row>
    <row r="155">
      <c r="A155" s="4">
        <f>Sheet1!A155 &amp; "/" &amp; "2025"</f>
        <v/>
      </c>
      <c r="B155" s="5">
        <f>Sheet1!E155</f>
        <v/>
      </c>
      <c r="C155" s="6">
        <f>UPPER(Sheet1!B155)</f>
        <v/>
      </c>
      <c r="D155" s="7">
        <f>IF(Sheet1!F155="F","FEMALE","MALE")</f>
        <v/>
      </c>
      <c r="E155" s="6">
        <f>UPPER(Sheet1!G155)</f>
        <v/>
      </c>
      <c r="F155" s="6">
        <f>UPPER(Sheet1!H155)</f>
        <v/>
      </c>
      <c r="G155" s="5">
        <f>TEXT(Sheet1!C155,"dd/mm/yyyy") &amp; "," &amp; Sheet1!D155</f>
        <v/>
      </c>
      <c r="H155" s="38">
        <f>UPPER(Sheet1!J155 &amp; "," &amp; Sheet1!K155 &amp; "," &amp; Sheet1!L155)</f>
        <v/>
      </c>
      <c r="I155" s="45">
        <f>Sheet1!I155</f>
        <v/>
      </c>
      <c r="J155" s="5">
        <f>Sheet1!M155 &amp; "," &amp; TEXT(Sheet1!N155,"dd/mm/yy")</f>
        <v/>
      </c>
      <c r="K155" s="5" t="inlineStr">
        <is>
          <t>PRINTED</t>
        </is>
      </c>
      <c r="L155" s="30" t="inlineStr">
        <is>
          <t>25/03/2026</t>
        </is>
      </c>
      <c r="M155" s="30" t="inlineStr">
        <is>
          <t>MANISH KATARIA, VICE CONSUL</t>
        </is>
      </c>
      <c r="N155" s="30" t="inlineStr">
        <is>
          <t>26/02/2026</t>
        </is>
      </c>
    </row>
    <row r="156">
      <c r="A156" s="4">
        <f>Sheet1!A156 &amp; "/" &amp; "2025"</f>
        <v/>
      </c>
      <c r="B156" s="5">
        <f>Sheet1!E156</f>
        <v/>
      </c>
      <c r="C156" s="6">
        <f>UPPER(Sheet1!B156)</f>
        <v/>
      </c>
      <c r="D156" s="7">
        <f>IF(Sheet1!F156="F","FEMALE","MALE")</f>
        <v/>
      </c>
      <c r="E156" s="6">
        <f>UPPER(Sheet1!G156)</f>
        <v/>
      </c>
      <c r="F156" s="6">
        <f>UPPER(Sheet1!H156)</f>
        <v/>
      </c>
      <c r="G156" s="5">
        <f>TEXT(Sheet1!C156,"dd/mm/yyyy") &amp; "," &amp; Sheet1!D156</f>
        <v/>
      </c>
      <c r="H156" s="38">
        <f>UPPER(Sheet1!J156 &amp; "," &amp; Sheet1!K156 &amp; "," &amp; Sheet1!L156)</f>
        <v/>
      </c>
      <c r="I156" s="45">
        <f>Sheet1!I156</f>
        <v/>
      </c>
      <c r="J156" s="5">
        <f>Sheet1!M156 &amp; "," &amp; TEXT(Sheet1!N156,"dd/mm/yy")</f>
        <v/>
      </c>
      <c r="K156" s="5" t="inlineStr">
        <is>
          <t>PRINTED</t>
        </is>
      </c>
      <c r="L156" s="30" t="inlineStr">
        <is>
          <t>25/03/2026</t>
        </is>
      </c>
      <c r="M156" s="30" t="inlineStr">
        <is>
          <t>MANISH KATARIA, VICE CONSUL</t>
        </is>
      </c>
      <c r="N156" s="30" t="inlineStr">
        <is>
          <t>26/02/2026</t>
        </is>
      </c>
    </row>
    <row r="157">
      <c r="A157" s="4">
        <f>Sheet1!A157 &amp; "/" &amp; "2025"</f>
        <v/>
      </c>
      <c r="B157" s="5">
        <f>Sheet1!E157</f>
        <v/>
      </c>
      <c r="C157" s="6">
        <f>UPPER(Sheet1!B157)</f>
        <v/>
      </c>
      <c r="D157" s="7">
        <f>IF(Sheet1!F157="F","FEMALE","MALE")</f>
        <v/>
      </c>
      <c r="E157" s="6">
        <f>UPPER(Sheet1!G157)</f>
        <v/>
      </c>
      <c r="F157" s="6">
        <f>UPPER(Sheet1!H157)</f>
        <v/>
      </c>
      <c r="G157" s="5">
        <f>TEXT(Sheet1!C157,"dd/mm/yyyy") &amp; "," &amp; Sheet1!D157</f>
        <v/>
      </c>
      <c r="H157" s="38">
        <f>UPPER(Sheet1!J157 &amp; "," &amp; Sheet1!K157 &amp; "," &amp; Sheet1!L157)</f>
        <v/>
      </c>
      <c r="I157" s="45">
        <f>Sheet1!I157</f>
        <v/>
      </c>
      <c r="J157" s="5">
        <f>Sheet1!M157 &amp; "," &amp; TEXT(Sheet1!N157,"dd/mm/yy")</f>
        <v/>
      </c>
      <c r="K157" s="5" t="inlineStr">
        <is>
          <t>PRINTED</t>
        </is>
      </c>
      <c r="L157" s="30" t="inlineStr">
        <is>
          <t>25/03/2026</t>
        </is>
      </c>
      <c r="M157" s="30" t="inlineStr">
        <is>
          <t>MANISH KATARIA, VICE CONSUL</t>
        </is>
      </c>
      <c r="N157" s="30" t="inlineStr">
        <is>
          <t>26/02/2026</t>
        </is>
      </c>
    </row>
    <row r="158">
      <c r="A158" s="4">
        <f>Sheet1!A158 &amp; "/" &amp; "2025"</f>
        <v/>
      </c>
      <c r="B158" s="5">
        <f>Sheet1!E158</f>
        <v/>
      </c>
      <c r="C158" s="6">
        <f>UPPER(Sheet1!B158)</f>
        <v/>
      </c>
      <c r="D158" s="7">
        <f>IF(Sheet1!F158="F","FEMALE","MALE")</f>
        <v/>
      </c>
      <c r="E158" s="6">
        <f>UPPER(Sheet1!G158)</f>
        <v/>
      </c>
      <c r="F158" s="6">
        <f>UPPER(Sheet1!H158)</f>
        <v/>
      </c>
      <c r="G158" s="5">
        <f>TEXT(Sheet1!C158,"dd/mm/yyyy") &amp; "," &amp; Sheet1!D158</f>
        <v/>
      </c>
      <c r="H158" s="38">
        <f>UPPER(Sheet1!J158 &amp; "," &amp; Sheet1!K158 &amp; "," &amp; Sheet1!L158)</f>
        <v/>
      </c>
      <c r="I158" s="45">
        <f>Sheet1!I158</f>
        <v/>
      </c>
      <c r="J158" s="5">
        <f>Sheet1!M158 &amp; "," &amp; TEXT(Sheet1!N158,"dd/mm/yy")</f>
        <v/>
      </c>
      <c r="K158" s="5" t="inlineStr">
        <is>
          <t>PRINTED</t>
        </is>
      </c>
      <c r="L158" s="30" t="inlineStr">
        <is>
          <t>25/03/2026</t>
        </is>
      </c>
      <c r="M158" s="30" t="inlineStr">
        <is>
          <t>MANISH KATARIA, VICE CONSUL</t>
        </is>
      </c>
      <c r="N158" s="30" t="inlineStr">
        <is>
          <t>26/02/2026</t>
        </is>
      </c>
    </row>
    <row r="159">
      <c r="A159" s="4">
        <f>Sheet1!A159 &amp; "/" &amp; "2025"</f>
        <v/>
      </c>
      <c r="B159" s="5">
        <f>Sheet1!E159</f>
        <v/>
      </c>
      <c r="C159" s="6">
        <f>UPPER(Sheet1!B159)</f>
        <v/>
      </c>
      <c r="D159" s="7">
        <f>IF(Sheet1!F159="F","FEMALE","MALE")</f>
        <v/>
      </c>
      <c r="E159" s="6">
        <f>UPPER(Sheet1!G159)</f>
        <v/>
      </c>
      <c r="F159" s="6">
        <f>UPPER(Sheet1!H159)</f>
        <v/>
      </c>
      <c r="G159" s="5">
        <f>TEXT(Sheet1!C159,"dd/mm/yyyy") &amp; "," &amp; Sheet1!D159</f>
        <v/>
      </c>
      <c r="H159" s="38">
        <f>UPPER(Sheet1!J159 &amp; "," &amp; Sheet1!K159 &amp; "," &amp; Sheet1!L159)</f>
        <v/>
      </c>
      <c r="I159" s="45">
        <f>Sheet1!I159</f>
        <v/>
      </c>
      <c r="J159" s="5">
        <f>Sheet1!M159 &amp; "," &amp; TEXT(Sheet1!N159,"dd/mm/yy")</f>
        <v/>
      </c>
      <c r="K159" s="5" t="inlineStr">
        <is>
          <t>PRINTED</t>
        </is>
      </c>
      <c r="L159" s="30" t="inlineStr">
        <is>
          <t>25/03/2026</t>
        </is>
      </c>
      <c r="M159" s="30" t="inlineStr">
        <is>
          <t>MANISH KATARIA, VICE CONSUL</t>
        </is>
      </c>
      <c r="N159" s="30" t="inlineStr">
        <is>
          <t>26/02/2026</t>
        </is>
      </c>
    </row>
    <row r="160">
      <c r="A160" s="4">
        <f>Sheet1!A160 &amp; "/" &amp; "2025"</f>
        <v/>
      </c>
      <c r="B160" s="5">
        <f>Sheet1!E160</f>
        <v/>
      </c>
      <c r="C160" s="6">
        <f>UPPER(Sheet1!B160)</f>
        <v/>
      </c>
      <c r="D160" s="7">
        <f>IF(Sheet1!F160="F","FEMALE","MALE")</f>
        <v/>
      </c>
      <c r="E160" s="6">
        <f>UPPER(Sheet1!G160)</f>
        <v/>
      </c>
      <c r="F160" s="6">
        <f>UPPER(Sheet1!H160)</f>
        <v/>
      </c>
      <c r="G160" s="5">
        <f>TEXT(Sheet1!C160,"dd/mm/yyyy") &amp; "," &amp; Sheet1!D160</f>
        <v/>
      </c>
      <c r="H160" s="38">
        <f>UPPER(Sheet1!J160 &amp; "," &amp; Sheet1!K160 &amp; "," &amp; Sheet1!L160)</f>
        <v/>
      </c>
      <c r="I160" s="45">
        <f>Sheet1!I160</f>
        <v/>
      </c>
      <c r="J160" s="5">
        <f>Sheet1!M160 &amp; "," &amp; TEXT(Sheet1!N160,"dd/mm/yy")</f>
        <v/>
      </c>
      <c r="K160" s="5" t="inlineStr">
        <is>
          <t>PRINTED</t>
        </is>
      </c>
      <c r="L160" s="30" t="inlineStr">
        <is>
          <t>25/03/2026</t>
        </is>
      </c>
      <c r="M160" s="30" t="inlineStr">
        <is>
          <t>MANISH KATARIA, VICE CONSUL</t>
        </is>
      </c>
      <c r="N160" s="30" t="inlineStr">
        <is>
          <t>26/02/2026</t>
        </is>
      </c>
    </row>
    <row r="161">
      <c r="A161" s="4">
        <f>Sheet1!A161 &amp; "/" &amp; "2025"</f>
        <v/>
      </c>
      <c r="B161" s="5">
        <f>Sheet1!E161</f>
        <v/>
      </c>
      <c r="C161" s="6">
        <f>UPPER(Sheet1!B161)</f>
        <v/>
      </c>
      <c r="D161" s="7">
        <f>IF(Sheet1!F161="F","FEMALE","MALE")</f>
        <v/>
      </c>
      <c r="E161" s="6">
        <f>UPPER(Sheet1!G161)</f>
        <v/>
      </c>
      <c r="F161" s="6">
        <f>UPPER(Sheet1!H161)</f>
        <v/>
      </c>
      <c r="G161" s="5">
        <f>TEXT(Sheet1!C161,"dd/mm/yyyy") &amp; "," &amp; Sheet1!D161</f>
        <v/>
      </c>
      <c r="H161" s="38">
        <f>UPPER(Sheet1!J161 &amp; "," &amp; Sheet1!K161 &amp; "," &amp; Sheet1!L161)</f>
        <v/>
      </c>
      <c r="I161" s="45">
        <f>Sheet1!I161</f>
        <v/>
      </c>
      <c r="J161" s="5">
        <f>Sheet1!M161 &amp; "," &amp; TEXT(Sheet1!N161,"dd/mm/yy")</f>
        <v/>
      </c>
      <c r="K161" s="5" t="inlineStr">
        <is>
          <t>PRINTED</t>
        </is>
      </c>
      <c r="L161" s="30" t="inlineStr">
        <is>
          <t>25/03/2026</t>
        </is>
      </c>
      <c r="M161" s="30" t="inlineStr">
        <is>
          <t>MANISH KATARIA, VICE CONSUL</t>
        </is>
      </c>
      <c r="N161" s="30" t="inlineStr">
        <is>
          <t>26/02/2026</t>
        </is>
      </c>
    </row>
    <row r="162">
      <c r="A162" s="4">
        <f>Sheet1!A162 &amp; "/" &amp; "2025"</f>
        <v/>
      </c>
      <c r="B162" s="5">
        <f>Sheet1!E162</f>
        <v/>
      </c>
      <c r="C162" s="6">
        <f>UPPER(Sheet1!B162)</f>
        <v/>
      </c>
      <c r="D162" s="7">
        <f>IF(Sheet1!F162="F","FEMALE","MALE")</f>
        <v/>
      </c>
      <c r="E162" s="6">
        <f>UPPER(Sheet1!G162)</f>
        <v/>
      </c>
      <c r="F162" s="6">
        <f>UPPER(Sheet1!H162)</f>
        <v/>
      </c>
      <c r="G162" s="5">
        <f>TEXT(Sheet1!C162,"dd/mm/yyyy") &amp; "," &amp; Sheet1!D162</f>
        <v/>
      </c>
      <c r="H162" s="38">
        <f>UPPER(Sheet1!J162 &amp; "," &amp; Sheet1!K162 &amp; "," &amp; Sheet1!L162)</f>
        <v/>
      </c>
      <c r="I162" s="45">
        <f>Sheet1!I162</f>
        <v/>
      </c>
      <c r="J162" s="5">
        <f>Sheet1!M162 &amp; "," &amp; TEXT(Sheet1!N162,"dd/mm/yy")</f>
        <v/>
      </c>
      <c r="K162" s="5" t="inlineStr">
        <is>
          <t>PRINTED</t>
        </is>
      </c>
      <c r="L162" s="30" t="inlineStr">
        <is>
          <t>25/03/2026</t>
        </is>
      </c>
      <c r="M162" s="30" t="inlineStr">
        <is>
          <t>MANISH KATARIA, VICE CONSUL</t>
        </is>
      </c>
      <c r="N162" s="30" t="inlineStr">
        <is>
          <t>26/02/2026</t>
        </is>
      </c>
    </row>
    <row r="163">
      <c r="A163" s="4">
        <f>Sheet1!A163 &amp; "/" &amp; "2025"</f>
        <v/>
      </c>
      <c r="B163" s="5">
        <f>Sheet1!E163</f>
        <v/>
      </c>
      <c r="C163" s="6">
        <f>UPPER(Sheet1!B163)</f>
        <v/>
      </c>
      <c r="D163" s="7">
        <f>IF(Sheet1!F163="F","FEMALE","MALE")</f>
        <v/>
      </c>
      <c r="E163" s="6">
        <f>UPPER(Sheet1!G163)</f>
        <v/>
      </c>
      <c r="F163" s="6">
        <f>UPPER(Sheet1!H163)</f>
        <v/>
      </c>
      <c r="G163" s="5">
        <f>TEXT(Sheet1!C163,"dd/mm/yyyy") &amp; "," &amp; Sheet1!D163</f>
        <v/>
      </c>
      <c r="H163" s="38">
        <f>UPPER(Sheet1!J163 &amp; "," &amp; Sheet1!K163 &amp; "," &amp; Sheet1!L163)</f>
        <v/>
      </c>
      <c r="I163" s="45">
        <f>Sheet1!I163</f>
        <v/>
      </c>
      <c r="J163" s="5">
        <f>Sheet1!M163 &amp; "," &amp; TEXT(Sheet1!N163,"dd/mm/yy")</f>
        <v/>
      </c>
      <c r="K163" s="5" t="inlineStr">
        <is>
          <t>PRINTED</t>
        </is>
      </c>
      <c r="L163" s="30" t="inlineStr">
        <is>
          <t>25/03/2026</t>
        </is>
      </c>
      <c r="M163" s="30" t="inlineStr">
        <is>
          <t>MANISH KATARIA, VICE CONSUL</t>
        </is>
      </c>
      <c r="N163" s="30" t="inlineStr">
        <is>
          <t>26/02/2026</t>
        </is>
      </c>
    </row>
    <row r="164">
      <c r="A164" s="4">
        <f>Sheet1!A164 &amp; "/" &amp; "2025"</f>
        <v/>
      </c>
      <c r="B164" s="5">
        <f>Sheet1!E164</f>
        <v/>
      </c>
      <c r="C164" s="6">
        <f>UPPER(Sheet1!B164)</f>
        <v/>
      </c>
      <c r="D164" s="7">
        <f>IF(Sheet1!F164="F","FEMALE","MALE")</f>
        <v/>
      </c>
      <c r="E164" s="6">
        <f>UPPER(Sheet1!G164)</f>
        <v/>
      </c>
      <c r="F164" s="6">
        <f>UPPER(Sheet1!H164)</f>
        <v/>
      </c>
      <c r="G164" s="5">
        <f>TEXT(Sheet1!C164,"dd/mm/yyyy") &amp; "," &amp; Sheet1!D164</f>
        <v/>
      </c>
      <c r="H164" s="38">
        <f>UPPER(Sheet1!J164 &amp; "," &amp; Sheet1!K164 &amp; "," &amp; Sheet1!L164)</f>
        <v/>
      </c>
      <c r="I164" s="45">
        <f>Sheet1!I164</f>
        <v/>
      </c>
      <c r="J164" s="5">
        <f>Sheet1!M164 &amp; "," &amp; TEXT(Sheet1!N164,"dd/mm/yy")</f>
        <v/>
      </c>
      <c r="K164" s="5" t="inlineStr">
        <is>
          <t>PRINTED</t>
        </is>
      </c>
      <c r="L164" s="30" t="inlineStr">
        <is>
          <t>25/03/2026</t>
        </is>
      </c>
      <c r="M164" s="30" t="inlineStr">
        <is>
          <t>MANISH KATARIA, VICE CONSUL</t>
        </is>
      </c>
      <c r="N164" s="30" t="inlineStr">
        <is>
          <t>26/02/2026</t>
        </is>
      </c>
    </row>
    <row r="165">
      <c r="A165" s="4">
        <f>Sheet1!A165 &amp; "/" &amp; "2025"</f>
        <v/>
      </c>
      <c r="B165" s="5">
        <f>Sheet1!E165</f>
        <v/>
      </c>
      <c r="C165" s="6">
        <f>UPPER(Sheet1!B165)</f>
        <v/>
      </c>
      <c r="D165" s="7">
        <f>IF(Sheet1!F165="F","FEMALE","MALE")</f>
        <v/>
      </c>
      <c r="E165" s="6">
        <f>UPPER(Sheet1!G165)</f>
        <v/>
      </c>
      <c r="F165" s="6">
        <f>UPPER(Sheet1!H165)</f>
        <v/>
      </c>
      <c r="G165" s="5">
        <f>TEXT(Sheet1!C165,"dd/mm/yyyy") &amp; "," &amp; Sheet1!D165</f>
        <v/>
      </c>
      <c r="H165" s="38">
        <f>UPPER(Sheet1!J165 &amp; "," &amp; Sheet1!K165 &amp; "," &amp; Sheet1!L165)</f>
        <v/>
      </c>
      <c r="I165" s="45">
        <f>Sheet1!I165</f>
        <v/>
      </c>
      <c r="J165" s="5">
        <f>Sheet1!M165 &amp; "," &amp; TEXT(Sheet1!N165,"dd/mm/yy")</f>
        <v/>
      </c>
      <c r="K165" s="5" t="inlineStr">
        <is>
          <t>PRINTED</t>
        </is>
      </c>
      <c r="L165" s="30" t="inlineStr">
        <is>
          <t>25/03/2026</t>
        </is>
      </c>
      <c r="M165" s="30" t="inlineStr">
        <is>
          <t>MANISH KATARIA, VICE CONSUL</t>
        </is>
      </c>
      <c r="N165" s="30" t="inlineStr">
        <is>
          <t>26/02/2026</t>
        </is>
      </c>
    </row>
    <row r="166">
      <c r="A166" s="4">
        <f>Sheet1!A166 &amp; "/" &amp; "2025"</f>
        <v/>
      </c>
      <c r="B166" s="5">
        <f>Sheet1!E166</f>
        <v/>
      </c>
      <c r="C166" s="6">
        <f>UPPER(Sheet1!B166)</f>
        <v/>
      </c>
      <c r="D166" s="7">
        <f>IF(Sheet1!F166="F","FEMALE","MALE")</f>
        <v/>
      </c>
      <c r="E166" s="6">
        <f>UPPER(Sheet1!G166)</f>
        <v/>
      </c>
      <c r="F166" s="6">
        <f>UPPER(Sheet1!H166)</f>
        <v/>
      </c>
      <c r="G166" s="5">
        <f>TEXT(Sheet1!C166,"dd/mm/yyyy") &amp; "," &amp; Sheet1!D166</f>
        <v/>
      </c>
      <c r="H166" s="38">
        <f>UPPER(Sheet1!J166 &amp; "," &amp; Sheet1!K166 &amp; "," &amp; Sheet1!L166)</f>
        <v/>
      </c>
      <c r="I166" s="45">
        <f>Sheet1!I166</f>
        <v/>
      </c>
      <c r="J166" s="5">
        <f>Sheet1!M166 &amp; "," &amp; TEXT(Sheet1!N166,"dd/mm/yy")</f>
        <v/>
      </c>
      <c r="K166" s="5" t="inlineStr">
        <is>
          <t>PRINTED</t>
        </is>
      </c>
      <c r="L166" s="30" t="inlineStr">
        <is>
          <t>25/03/2026</t>
        </is>
      </c>
      <c r="M166" s="30" t="inlineStr">
        <is>
          <t>MANISH KATARIA, VICE CONSUL</t>
        </is>
      </c>
      <c r="N166" s="30" t="inlineStr">
        <is>
          <t>26/02/2026</t>
        </is>
      </c>
    </row>
    <row r="167">
      <c r="A167" s="4">
        <f>Sheet1!A167 &amp; "/" &amp; "2025"</f>
        <v/>
      </c>
      <c r="B167" s="5">
        <f>Sheet1!E167</f>
        <v/>
      </c>
      <c r="C167" s="6">
        <f>UPPER(Sheet1!B167)</f>
        <v/>
      </c>
      <c r="D167" s="7">
        <f>IF(Sheet1!F167="F","FEMALE","MALE")</f>
        <v/>
      </c>
      <c r="E167" s="6">
        <f>UPPER(Sheet1!G167)</f>
        <v/>
      </c>
      <c r="F167" s="6">
        <f>UPPER(Sheet1!H167)</f>
        <v/>
      </c>
      <c r="G167" s="5">
        <f>TEXT(Sheet1!C167,"dd/mm/yyyy") &amp; "," &amp; Sheet1!D167</f>
        <v/>
      </c>
      <c r="H167" s="38">
        <f>UPPER(Sheet1!J167 &amp; "," &amp; Sheet1!K167 &amp; "," &amp; Sheet1!L167)</f>
        <v/>
      </c>
      <c r="I167" s="45">
        <f>Sheet1!I167</f>
        <v/>
      </c>
      <c r="J167" s="5">
        <f>Sheet1!M167 &amp; "," &amp; TEXT(Sheet1!N167,"dd/mm/yy")</f>
        <v/>
      </c>
      <c r="K167" s="5" t="inlineStr">
        <is>
          <t>PRINTED</t>
        </is>
      </c>
      <c r="L167" s="30" t="inlineStr">
        <is>
          <t>25/03/2026</t>
        </is>
      </c>
      <c r="M167" s="30" t="inlineStr">
        <is>
          <t>MANISH KATARIA, VICE CONSUL</t>
        </is>
      </c>
      <c r="N167" s="30" t="inlineStr">
        <is>
          <t>26/02/2026</t>
        </is>
      </c>
    </row>
    <row r="168">
      <c r="A168" s="4">
        <f>Sheet1!A168 &amp; "/" &amp; "2025"</f>
        <v/>
      </c>
      <c r="B168" s="5">
        <f>Sheet1!E168</f>
        <v/>
      </c>
      <c r="C168" s="6">
        <f>UPPER(Sheet1!B168)</f>
        <v/>
      </c>
      <c r="D168" s="7">
        <f>IF(Sheet1!F168="F","FEMALE","MALE")</f>
        <v/>
      </c>
      <c r="E168" s="6">
        <f>UPPER(Sheet1!G168)</f>
        <v/>
      </c>
      <c r="F168" s="6">
        <f>UPPER(Sheet1!H168)</f>
        <v/>
      </c>
      <c r="G168" s="5">
        <f>TEXT(Sheet1!C168,"dd/mm/yyyy") &amp; "," &amp; Sheet1!D168</f>
        <v/>
      </c>
      <c r="H168" s="38">
        <f>UPPER(Sheet1!J168 &amp; "," &amp; Sheet1!K168 &amp; "," &amp; Sheet1!L168)</f>
        <v/>
      </c>
      <c r="I168" s="45">
        <f>Sheet1!I168</f>
        <v/>
      </c>
      <c r="J168" s="5">
        <f>Sheet1!M168 &amp; "," &amp; TEXT(Sheet1!N168,"dd/mm/yy")</f>
        <v/>
      </c>
      <c r="K168" s="5" t="inlineStr">
        <is>
          <t>PRINTED</t>
        </is>
      </c>
      <c r="L168" s="30" t="inlineStr">
        <is>
          <t>25/03/2026</t>
        </is>
      </c>
      <c r="M168" s="30" t="inlineStr">
        <is>
          <t>MANISH KATARIA, VICE CONSUL</t>
        </is>
      </c>
      <c r="N168" s="30" t="inlineStr">
        <is>
          <t>26/02/2026</t>
        </is>
      </c>
    </row>
    <row r="169">
      <c r="A169" s="4">
        <f>Sheet1!A169 &amp; "/" &amp; "2025"</f>
        <v/>
      </c>
      <c r="B169" s="5">
        <f>Sheet1!E169</f>
        <v/>
      </c>
      <c r="C169" s="6">
        <f>UPPER(Sheet1!B169)</f>
        <v/>
      </c>
      <c r="D169" s="7">
        <f>IF(Sheet1!F169="F","FEMALE","MALE")</f>
        <v/>
      </c>
      <c r="E169" s="6">
        <f>UPPER(Sheet1!G169)</f>
        <v/>
      </c>
      <c r="F169" s="6">
        <f>UPPER(Sheet1!H169)</f>
        <v/>
      </c>
      <c r="G169" s="5">
        <f>TEXT(Sheet1!C169,"dd/mm/yyyy") &amp; "," &amp; Sheet1!D169</f>
        <v/>
      </c>
      <c r="H169" s="38">
        <f>UPPER(Sheet1!J169 &amp; "," &amp; Sheet1!K169 &amp; "," &amp; Sheet1!L169)</f>
        <v/>
      </c>
      <c r="I169" s="45">
        <f>Sheet1!I169</f>
        <v/>
      </c>
      <c r="J169" s="5">
        <f>Sheet1!M169 &amp; "," &amp; TEXT(Sheet1!N169,"dd/mm/yy")</f>
        <v/>
      </c>
      <c r="K169" s="5" t="inlineStr">
        <is>
          <t>PRINTED</t>
        </is>
      </c>
      <c r="L169" s="30" t="inlineStr">
        <is>
          <t>25/03/2026</t>
        </is>
      </c>
      <c r="M169" s="30" t="inlineStr">
        <is>
          <t>MANISH KATARIA, VICE CONSUL</t>
        </is>
      </c>
      <c r="N169" s="30" t="inlineStr">
        <is>
          <t>26/02/2026</t>
        </is>
      </c>
    </row>
    <row r="170">
      <c r="A170" s="4">
        <f>Sheet1!A170 &amp; "/" &amp; "2025"</f>
        <v/>
      </c>
      <c r="B170" s="5">
        <f>Sheet1!E170</f>
        <v/>
      </c>
      <c r="C170" s="6">
        <f>UPPER(Sheet1!B170)</f>
        <v/>
      </c>
      <c r="D170" s="7">
        <f>IF(Sheet1!F170="F","FEMALE","MALE")</f>
        <v/>
      </c>
      <c r="E170" s="6">
        <f>UPPER(Sheet1!G170)</f>
        <v/>
      </c>
      <c r="F170" s="6">
        <f>UPPER(Sheet1!H170)</f>
        <v/>
      </c>
      <c r="G170" s="5">
        <f>TEXT(Sheet1!C170,"dd/mm/yyyy") &amp; "," &amp; Sheet1!D170</f>
        <v/>
      </c>
      <c r="H170" s="38">
        <f>UPPER(Sheet1!J170 &amp; "," &amp; Sheet1!K170 &amp; "," &amp; Sheet1!L170)</f>
        <v/>
      </c>
      <c r="I170" s="45">
        <f>Sheet1!I170</f>
        <v/>
      </c>
      <c r="J170" s="5">
        <f>Sheet1!M170 &amp; "," &amp; TEXT(Sheet1!N170,"dd/mm/yy")</f>
        <v/>
      </c>
      <c r="K170" s="5" t="inlineStr">
        <is>
          <t>PRINTED</t>
        </is>
      </c>
      <c r="L170" s="30" t="inlineStr">
        <is>
          <t>25/03/2026</t>
        </is>
      </c>
      <c r="M170" s="30" t="inlineStr">
        <is>
          <t>MANISH KATARIA, VICE CONSUL</t>
        </is>
      </c>
      <c r="N170" s="30" t="inlineStr">
        <is>
          <t>26/02/2026</t>
        </is>
      </c>
    </row>
    <row r="171">
      <c r="A171" s="4">
        <f>Sheet1!A171 &amp; "/" &amp; "2025"</f>
        <v/>
      </c>
      <c r="B171" s="5">
        <f>Sheet1!E171</f>
        <v/>
      </c>
      <c r="C171" s="6">
        <f>UPPER(Sheet1!B171)</f>
        <v/>
      </c>
      <c r="D171" s="7">
        <f>IF(Sheet1!F171="F","FEMALE","MALE")</f>
        <v/>
      </c>
      <c r="E171" s="6">
        <f>UPPER(Sheet1!G171)</f>
        <v/>
      </c>
      <c r="F171" s="6">
        <f>UPPER(Sheet1!H171)</f>
        <v/>
      </c>
      <c r="G171" s="5">
        <f>TEXT(Sheet1!C171,"dd/mm/yyyy") &amp; "," &amp; Sheet1!D171</f>
        <v/>
      </c>
      <c r="H171" s="38">
        <f>UPPER(Sheet1!J171 &amp; "," &amp; Sheet1!K171 &amp; "," &amp; Sheet1!L171)</f>
        <v/>
      </c>
      <c r="I171" s="45">
        <f>Sheet1!I171</f>
        <v/>
      </c>
      <c r="J171" s="5">
        <f>Sheet1!M171 &amp; "," &amp; TEXT(Sheet1!N171,"dd/mm/yy")</f>
        <v/>
      </c>
      <c r="K171" s="5" t="inlineStr">
        <is>
          <t>PRINTED</t>
        </is>
      </c>
      <c r="L171" s="30" t="inlineStr">
        <is>
          <t>25/03/2026</t>
        </is>
      </c>
      <c r="M171" s="30" t="inlineStr">
        <is>
          <t>MANISH KATARIA, VICE CONSUL</t>
        </is>
      </c>
      <c r="N171" s="30" t="inlineStr">
        <is>
          <t>26/02/2026</t>
        </is>
      </c>
    </row>
    <row r="172">
      <c r="A172" s="4">
        <f>Sheet1!A172 &amp; "/" &amp; "2025"</f>
        <v/>
      </c>
      <c r="B172" s="5">
        <f>Sheet1!E172</f>
        <v/>
      </c>
      <c r="C172" s="6">
        <f>UPPER(Sheet1!B172)</f>
        <v/>
      </c>
      <c r="D172" s="7">
        <f>IF(Sheet1!F172="F","FEMALE","MALE")</f>
        <v/>
      </c>
      <c r="E172" s="6">
        <f>UPPER(Sheet1!G172)</f>
        <v/>
      </c>
      <c r="F172" s="6">
        <f>UPPER(Sheet1!H172)</f>
        <v/>
      </c>
      <c r="G172" s="5">
        <f>TEXT(Sheet1!C172,"dd/mm/yyyy") &amp; "," &amp; Sheet1!D172</f>
        <v/>
      </c>
      <c r="H172" s="38">
        <f>UPPER(Sheet1!J172 &amp; "," &amp; Sheet1!K172 &amp; "," &amp; Sheet1!L172)</f>
        <v/>
      </c>
      <c r="I172" s="45">
        <f>Sheet1!I172</f>
        <v/>
      </c>
      <c r="J172" s="5">
        <f>Sheet1!M172 &amp; "," &amp; TEXT(Sheet1!N172,"dd/mm/yy")</f>
        <v/>
      </c>
      <c r="K172" s="5" t="inlineStr">
        <is>
          <t>PRINTED</t>
        </is>
      </c>
      <c r="L172" s="30" t="inlineStr">
        <is>
          <t>25/03/2026</t>
        </is>
      </c>
      <c r="M172" s="30" t="inlineStr">
        <is>
          <t>MANISH KATARIA, VICE CONSUL</t>
        </is>
      </c>
      <c r="N172" s="30" t="inlineStr">
        <is>
          <t>26/02/2026</t>
        </is>
      </c>
    </row>
    <row r="173">
      <c r="A173" s="4">
        <f>Sheet1!A173 &amp; "/" &amp; "2025"</f>
        <v/>
      </c>
      <c r="B173" s="5">
        <f>Sheet1!E173</f>
        <v/>
      </c>
      <c r="C173" s="6">
        <f>UPPER(Sheet1!B173)</f>
        <v/>
      </c>
      <c r="D173" s="7">
        <f>IF(Sheet1!F173="F","FEMALE","MALE")</f>
        <v/>
      </c>
      <c r="E173" s="6">
        <f>UPPER(Sheet1!G173)</f>
        <v/>
      </c>
      <c r="F173" s="6">
        <f>UPPER(Sheet1!H173)</f>
        <v/>
      </c>
      <c r="G173" s="5">
        <f>TEXT(Sheet1!C173,"dd/mm/yyyy") &amp; "," &amp; Sheet1!D173</f>
        <v/>
      </c>
      <c r="H173" s="38">
        <f>UPPER(Sheet1!J173 &amp; "," &amp; Sheet1!K173 &amp; "," &amp; Sheet1!L173)</f>
        <v/>
      </c>
      <c r="I173" s="45">
        <f>Sheet1!I173</f>
        <v/>
      </c>
      <c r="J173" s="5">
        <f>Sheet1!M173 &amp; "," &amp; TEXT(Sheet1!N173,"dd/mm/yy")</f>
        <v/>
      </c>
      <c r="K173" s="5" t="inlineStr">
        <is>
          <t>PRINTED</t>
        </is>
      </c>
      <c r="L173" s="30" t="inlineStr">
        <is>
          <t>25/03/2026</t>
        </is>
      </c>
      <c r="M173" s="30" t="inlineStr">
        <is>
          <t>MANISH KATARIA, VICE CONSUL</t>
        </is>
      </c>
      <c r="N173" s="30" t="inlineStr">
        <is>
          <t>26/02/2026</t>
        </is>
      </c>
    </row>
    <row r="174">
      <c r="A174" s="4">
        <f>Sheet1!A174 &amp; "/" &amp; "2025"</f>
        <v/>
      </c>
      <c r="B174" s="5">
        <f>Sheet1!E174</f>
        <v/>
      </c>
      <c r="C174" s="6">
        <f>UPPER(Sheet1!B174)</f>
        <v/>
      </c>
      <c r="D174" s="7">
        <f>IF(Sheet1!F174="F","FEMALE","MALE")</f>
        <v/>
      </c>
      <c r="E174" s="6">
        <f>UPPER(Sheet1!G174)</f>
        <v/>
      </c>
      <c r="F174" s="6">
        <f>UPPER(Sheet1!H174)</f>
        <v/>
      </c>
      <c r="G174" s="5">
        <f>TEXT(Sheet1!C174,"dd/mm/yyyy") &amp; "," &amp; Sheet1!D174</f>
        <v/>
      </c>
      <c r="H174" s="38">
        <f>UPPER(Sheet1!J174 &amp; "," &amp; Sheet1!K174 &amp; "," &amp; Sheet1!L174)</f>
        <v/>
      </c>
      <c r="I174" s="45">
        <f>Sheet1!I174</f>
        <v/>
      </c>
      <c r="J174" s="5">
        <f>Sheet1!M174 &amp; "," &amp; TEXT(Sheet1!N174,"dd/mm/yy")</f>
        <v/>
      </c>
      <c r="K174" s="5" t="inlineStr">
        <is>
          <t>PRINTED</t>
        </is>
      </c>
      <c r="L174" s="30" t="inlineStr">
        <is>
          <t>25/03/2026</t>
        </is>
      </c>
      <c r="M174" s="30" t="inlineStr">
        <is>
          <t>MANISH KATARIA, VICE CONSUL</t>
        </is>
      </c>
      <c r="N174" s="30" t="inlineStr">
        <is>
          <t>26/02/2026</t>
        </is>
      </c>
    </row>
    <row r="175">
      <c r="A175" s="4">
        <f>Sheet1!A175 &amp; "/" &amp; "2025"</f>
        <v/>
      </c>
      <c r="B175" s="5">
        <f>Sheet1!E175</f>
        <v/>
      </c>
      <c r="C175" s="6">
        <f>UPPER(Sheet1!B175)</f>
        <v/>
      </c>
      <c r="D175" s="7">
        <f>IF(Sheet1!F175="F","FEMALE","MALE")</f>
        <v/>
      </c>
      <c r="E175" s="6">
        <f>UPPER(Sheet1!G175)</f>
        <v/>
      </c>
      <c r="F175" s="6">
        <f>UPPER(Sheet1!H175)</f>
        <v/>
      </c>
      <c r="G175" s="5">
        <f>TEXT(Sheet1!C175,"dd/mm/yyyy") &amp; "," &amp; Sheet1!D175</f>
        <v/>
      </c>
      <c r="H175" s="38">
        <f>UPPER(Sheet1!J175 &amp; "," &amp; Sheet1!K175 &amp; "," &amp; Sheet1!L175)</f>
        <v/>
      </c>
      <c r="I175" s="45">
        <f>Sheet1!I175</f>
        <v/>
      </c>
      <c r="J175" s="5">
        <f>Sheet1!M175 &amp; "," &amp; TEXT(Sheet1!N175,"dd/mm/yy")</f>
        <v/>
      </c>
      <c r="K175" s="5" t="inlineStr">
        <is>
          <t>PRINTED</t>
        </is>
      </c>
      <c r="L175" s="30" t="inlineStr">
        <is>
          <t>25/03/2026</t>
        </is>
      </c>
      <c r="M175" s="30" t="inlineStr">
        <is>
          <t>MANISH KATARIA, VICE CONSUL</t>
        </is>
      </c>
      <c r="N175" s="30" t="inlineStr">
        <is>
          <t>26/02/2026</t>
        </is>
      </c>
    </row>
    <row r="176">
      <c r="A176" s="4">
        <f>Sheet1!A176 &amp; "/" &amp; "2025"</f>
        <v/>
      </c>
      <c r="B176" s="5">
        <f>Sheet1!E176</f>
        <v/>
      </c>
      <c r="C176" s="6">
        <f>UPPER(Sheet1!B176)</f>
        <v/>
      </c>
      <c r="D176" s="7">
        <f>IF(Sheet1!F176="F","FEMALE","MALE")</f>
        <v/>
      </c>
      <c r="E176" s="6">
        <f>UPPER(Sheet1!G176)</f>
        <v/>
      </c>
      <c r="F176" s="6">
        <f>UPPER(Sheet1!H176)</f>
        <v/>
      </c>
      <c r="G176" s="5">
        <f>TEXT(Sheet1!C176,"dd/mm/yyyy") &amp; "," &amp; Sheet1!D176</f>
        <v/>
      </c>
      <c r="H176" s="38">
        <f>UPPER(Sheet1!J176 &amp; "," &amp; Sheet1!K176 &amp; "," &amp; Sheet1!L176)</f>
        <v/>
      </c>
      <c r="I176" s="45">
        <f>Sheet1!I176</f>
        <v/>
      </c>
      <c r="J176" s="5">
        <f>Sheet1!M176 &amp; "," &amp; TEXT(Sheet1!N176,"dd/mm/yy")</f>
        <v/>
      </c>
      <c r="K176" s="5" t="inlineStr">
        <is>
          <t>PRINTED</t>
        </is>
      </c>
      <c r="L176" s="30" t="inlineStr">
        <is>
          <t>25/03/2026</t>
        </is>
      </c>
      <c r="M176" s="30" t="inlineStr">
        <is>
          <t>MANISH KATARIA, VICE CONSUL</t>
        </is>
      </c>
      <c r="N176" s="30" t="inlineStr">
        <is>
          <t>26/02/2026</t>
        </is>
      </c>
    </row>
    <row r="177">
      <c r="A177" s="4">
        <f>Sheet1!A177 &amp; "/" &amp; "2025"</f>
        <v/>
      </c>
      <c r="B177" s="5">
        <f>Sheet1!E177</f>
        <v/>
      </c>
      <c r="C177" s="6">
        <f>UPPER(Sheet1!B177)</f>
        <v/>
      </c>
      <c r="D177" s="7">
        <f>IF(Sheet1!F177="F","FEMALE","MALE")</f>
        <v/>
      </c>
      <c r="E177" s="6">
        <f>UPPER(Sheet1!G177)</f>
        <v/>
      </c>
      <c r="F177" s="6">
        <f>UPPER(Sheet1!H177)</f>
        <v/>
      </c>
      <c r="G177" s="5">
        <f>TEXT(Sheet1!C177,"dd/mm/yyyy") &amp; "," &amp; Sheet1!D177</f>
        <v/>
      </c>
      <c r="H177" s="38">
        <f>UPPER(Sheet1!J177 &amp; "," &amp; Sheet1!K177 &amp; "," &amp; Sheet1!L177)</f>
        <v/>
      </c>
      <c r="I177" s="45">
        <f>Sheet1!I177</f>
        <v/>
      </c>
      <c r="J177" s="5">
        <f>Sheet1!M177 &amp; "," &amp; TEXT(Sheet1!N177,"dd/mm/yy")</f>
        <v/>
      </c>
      <c r="K177" s="5" t="inlineStr">
        <is>
          <t>PRINTED</t>
        </is>
      </c>
      <c r="L177" s="30" t="inlineStr">
        <is>
          <t>25/03/2026</t>
        </is>
      </c>
      <c r="M177" s="30" t="inlineStr">
        <is>
          <t>MANISH KATARIA, VICE CONSUL</t>
        </is>
      </c>
      <c r="N177" s="30" t="inlineStr">
        <is>
          <t>26/02/2026</t>
        </is>
      </c>
    </row>
    <row r="178">
      <c r="A178" s="4">
        <f>Sheet1!A178 &amp; "/" &amp; "2025"</f>
        <v/>
      </c>
      <c r="B178" s="5">
        <f>Sheet1!E178</f>
        <v/>
      </c>
      <c r="C178" s="6">
        <f>UPPER(Sheet1!B178)</f>
        <v/>
      </c>
      <c r="D178" s="7">
        <f>IF(Sheet1!F178="F","FEMALE","MALE")</f>
        <v/>
      </c>
      <c r="E178" s="6">
        <f>UPPER(Sheet1!G178)</f>
        <v/>
      </c>
      <c r="F178" s="6">
        <f>UPPER(Sheet1!H178)</f>
        <v/>
      </c>
      <c r="G178" s="5">
        <f>TEXT(Sheet1!C178,"dd/mm/yyyy") &amp; "," &amp; Sheet1!D178</f>
        <v/>
      </c>
      <c r="H178" s="38">
        <f>UPPER(Sheet1!J178 &amp; "," &amp; Sheet1!K178 &amp; "," &amp; Sheet1!L178)</f>
        <v/>
      </c>
      <c r="I178" s="45">
        <f>Sheet1!I178</f>
        <v/>
      </c>
      <c r="J178" s="5">
        <f>Sheet1!M178 &amp; "," &amp; TEXT(Sheet1!N178,"dd/mm/yy")</f>
        <v/>
      </c>
      <c r="K178" s="5" t="inlineStr">
        <is>
          <t>PRINTED</t>
        </is>
      </c>
      <c r="L178" s="30" t="inlineStr">
        <is>
          <t>25/03/2026</t>
        </is>
      </c>
      <c r="M178" s="30" t="inlineStr">
        <is>
          <t>MANISH KATARIA, VICE CONSUL</t>
        </is>
      </c>
      <c r="N178" s="30" t="inlineStr">
        <is>
          <t>26/02/2026</t>
        </is>
      </c>
    </row>
    <row r="179">
      <c r="A179" s="4">
        <f>Sheet1!A179 &amp; "/" &amp; "2025"</f>
        <v/>
      </c>
      <c r="B179" s="5">
        <f>Sheet1!E179</f>
        <v/>
      </c>
      <c r="C179" s="6">
        <f>UPPER(Sheet1!B179)</f>
        <v/>
      </c>
      <c r="D179" s="7">
        <f>IF(Sheet1!F179="F","FEMALE","MALE")</f>
        <v/>
      </c>
      <c r="E179" s="6">
        <f>UPPER(Sheet1!G179)</f>
        <v/>
      </c>
      <c r="F179" s="6">
        <f>UPPER(Sheet1!H179)</f>
        <v/>
      </c>
      <c r="G179" s="5">
        <f>TEXT(Sheet1!C179,"dd/mm/yyyy") &amp; "," &amp; Sheet1!D179</f>
        <v/>
      </c>
      <c r="H179" s="38">
        <f>UPPER(Sheet1!J179 &amp; "," &amp; Sheet1!K179 &amp; "," &amp; Sheet1!L179)</f>
        <v/>
      </c>
      <c r="I179" s="45">
        <f>Sheet1!I179</f>
        <v/>
      </c>
      <c r="J179" s="5">
        <f>Sheet1!M179 &amp; "," &amp; TEXT(Sheet1!N179,"dd/mm/yy")</f>
        <v/>
      </c>
      <c r="K179" s="5" t="inlineStr">
        <is>
          <t>PRINTED</t>
        </is>
      </c>
      <c r="L179" s="30" t="inlineStr">
        <is>
          <t>25/03/2026</t>
        </is>
      </c>
      <c r="M179" s="30" t="inlineStr">
        <is>
          <t>MANISH KATARIA, VICE CONSUL</t>
        </is>
      </c>
      <c r="N179" s="30" t="inlineStr">
        <is>
          <t>26/02/2026</t>
        </is>
      </c>
    </row>
    <row r="180">
      <c r="A180" s="4">
        <f>Sheet1!A180 &amp; "/" &amp; "2025"</f>
        <v/>
      </c>
      <c r="B180" s="5">
        <f>Sheet1!E180</f>
        <v/>
      </c>
      <c r="C180" s="6">
        <f>UPPER(Sheet1!B180)</f>
        <v/>
      </c>
      <c r="D180" s="7">
        <f>IF(Sheet1!F180="F","FEMALE","MALE")</f>
        <v/>
      </c>
      <c r="E180" s="6">
        <f>UPPER(Sheet1!G180)</f>
        <v/>
      </c>
      <c r="F180" s="6">
        <f>UPPER(Sheet1!H180)</f>
        <v/>
      </c>
      <c r="G180" s="5">
        <f>TEXT(Sheet1!C180,"dd/mm/yyyy") &amp; "," &amp; Sheet1!D180</f>
        <v/>
      </c>
      <c r="H180" s="38">
        <f>UPPER(Sheet1!J180 &amp; "," &amp; Sheet1!K180 &amp; "," &amp; Sheet1!L180)</f>
        <v/>
      </c>
      <c r="I180" s="45">
        <f>Sheet1!I180</f>
        <v/>
      </c>
      <c r="J180" s="5">
        <f>Sheet1!M180 &amp; "," &amp; TEXT(Sheet1!N180,"dd/mm/yy")</f>
        <v/>
      </c>
      <c r="K180" s="5" t="inlineStr">
        <is>
          <t>PRINTED</t>
        </is>
      </c>
      <c r="L180" s="30" t="inlineStr">
        <is>
          <t>25/03/2026</t>
        </is>
      </c>
      <c r="M180" s="30" t="inlineStr">
        <is>
          <t>MANISH KATARIA, VICE CONSUL</t>
        </is>
      </c>
      <c r="N180" s="30" t="inlineStr">
        <is>
          <t>26/02/2026</t>
        </is>
      </c>
    </row>
    <row r="181">
      <c r="A181" s="4">
        <f>Sheet1!A181 &amp; "/" &amp; "2025"</f>
        <v/>
      </c>
      <c r="B181" s="5">
        <f>Sheet1!E181</f>
        <v/>
      </c>
      <c r="C181" s="6">
        <f>UPPER(Sheet1!B181)</f>
        <v/>
      </c>
      <c r="D181" s="7">
        <f>IF(Sheet1!F181="F","FEMALE","MALE")</f>
        <v/>
      </c>
      <c r="E181" s="6">
        <f>UPPER(Sheet1!G181)</f>
        <v/>
      </c>
      <c r="F181" s="6">
        <f>UPPER(Sheet1!H181)</f>
        <v/>
      </c>
      <c r="G181" s="5">
        <f>TEXT(Sheet1!C181,"dd/mm/yyyy") &amp; "," &amp; Sheet1!D181</f>
        <v/>
      </c>
      <c r="H181" s="38">
        <f>UPPER(Sheet1!J181 &amp; "," &amp; Sheet1!K181 &amp; "," &amp; Sheet1!L181)</f>
        <v/>
      </c>
      <c r="I181" s="45">
        <f>Sheet1!I181</f>
        <v/>
      </c>
      <c r="J181" s="5">
        <f>Sheet1!M181 &amp; "," &amp; TEXT(Sheet1!N181,"dd/mm/yy")</f>
        <v/>
      </c>
      <c r="K181" s="5" t="inlineStr">
        <is>
          <t>PRINTED</t>
        </is>
      </c>
      <c r="L181" s="30" t="inlineStr">
        <is>
          <t>25/03/2026</t>
        </is>
      </c>
      <c r="M181" s="30" t="inlineStr">
        <is>
          <t>MANISH KATARIA, VICE CONSUL</t>
        </is>
      </c>
      <c r="N181" s="30" t="inlineStr">
        <is>
          <t>26/02/2026</t>
        </is>
      </c>
    </row>
    <row r="182">
      <c r="A182" s="4">
        <f>Sheet1!A182 &amp; "/" &amp; "2025"</f>
        <v/>
      </c>
      <c r="B182" s="5">
        <f>Sheet1!E182</f>
        <v/>
      </c>
      <c r="C182" s="6">
        <f>UPPER(Sheet1!B182)</f>
        <v/>
      </c>
      <c r="D182" s="7">
        <f>IF(Sheet1!F182="F","FEMALE","MALE")</f>
        <v/>
      </c>
      <c r="E182" s="6">
        <f>UPPER(Sheet1!G182)</f>
        <v/>
      </c>
      <c r="F182" s="6">
        <f>UPPER(Sheet1!H182)</f>
        <v/>
      </c>
      <c r="G182" s="5">
        <f>TEXT(Sheet1!C182,"dd/mm/yyyy") &amp; "," &amp; Sheet1!D182</f>
        <v/>
      </c>
      <c r="H182" s="38">
        <f>UPPER(Sheet1!J182 &amp; "," &amp; Sheet1!K182 &amp; "," &amp; Sheet1!L182)</f>
        <v/>
      </c>
      <c r="I182" s="45">
        <f>Sheet1!I182</f>
        <v/>
      </c>
      <c r="J182" s="5">
        <f>Sheet1!M182 &amp; "," &amp; TEXT(Sheet1!N182,"dd/mm/yy")</f>
        <v/>
      </c>
      <c r="K182" s="5" t="inlineStr">
        <is>
          <t>PRINTED</t>
        </is>
      </c>
      <c r="L182" s="30" t="inlineStr">
        <is>
          <t>25/03/2026</t>
        </is>
      </c>
      <c r="M182" s="30" t="inlineStr">
        <is>
          <t>MANISH KATARIA, VICE CONSUL</t>
        </is>
      </c>
      <c r="N182" s="30" t="inlineStr">
        <is>
          <t>26/02/2026</t>
        </is>
      </c>
    </row>
    <row r="183">
      <c r="A183" s="4">
        <f>Sheet1!A183 &amp; "/" &amp; "2025"</f>
        <v/>
      </c>
      <c r="B183" s="5">
        <f>Sheet1!E183</f>
        <v/>
      </c>
      <c r="C183" s="6">
        <f>UPPER(Sheet1!B183)</f>
        <v/>
      </c>
      <c r="D183" s="7">
        <f>IF(Sheet1!F183="F","FEMALE","MALE")</f>
        <v/>
      </c>
      <c r="E183" s="6">
        <f>UPPER(Sheet1!G183)</f>
        <v/>
      </c>
      <c r="F183" s="6">
        <f>UPPER(Sheet1!H183)</f>
        <v/>
      </c>
      <c r="G183" s="5">
        <f>TEXT(Sheet1!C183,"dd/mm/yyyy") &amp; "," &amp; Sheet1!D183</f>
        <v/>
      </c>
      <c r="H183" s="38">
        <f>UPPER(Sheet1!J183 &amp; "," &amp; Sheet1!K183 &amp; "," &amp; Sheet1!L183)</f>
        <v/>
      </c>
      <c r="I183" s="45">
        <f>Sheet1!I183</f>
        <v/>
      </c>
      <c r="J183" s="5">
        <f>Sheet1!M183 &amp; "," &amp; TEXT(Sheet1!N183,"dd/mm/yy")</f>
        <v/>
      </c>
      <c r="K183" s="5" t="inlineStr">
        <is>
          <t>PRINTED</t>
        </is>
      </c>
      <c r="L183" s="30" t="inlineStr">
        <is>
          <t>25/03/2026</t>
        </is>
      </c>
      <c r="M183" s="30" t="inlineStr">
        <is>
          <t>MANISH KATARIA, VICE CONSUL</t>
        </is>
      </c>
      <c r="N183" s="30" t="inlineStr">
        <is>
          <t>26/02/2026</t>
        </is>
      </c>
    </row>
    <row r="184">
      <c r="A184" s="4">
        <f>Sheet1!A184 &amp; "/" &amp; "2025"</f>
        <v/>
      </c>
      <c r="B184" s="5">
        <f>Sheet1!E184</f>
        <v/>
      </c>
      <c r="C184" s="6">
        <f>UPPER(Sheet1!B184)</f>
        <v/>
      </c>
      <c r="D184" s="7">
        <f>IF(Sheet1!F184="F","FEMALE","MALE")</f>
        <v/>
      </c>
      <c r="E184" s="6">
        <f>UPPER(Sheet1!G184)</f>
        <v/>
      </c>
      <c r="F184" s="6">
        <f>UPPER(Sheet1!H184)</f>
        <v/>
      </c>
      <c r="G184" s="5">
        <f>TEXT(Sheet1!C184,"dd/mm/yyyy") &amp; "," &amp; Sheet1!D184</f>
        <v/>
      </c>
      <c r="H184" s="38">
        <f>UPPER(Sheet1!J184 &amp; "," &amp; Sheet1!K184 &amp; "," &amp; Sheet1!L184)</f>
        <v/>
      </c>
      <c r="I184" s="45">
        <f>Sheet1!I184</f>
        <v/>
      </c>
      <c r="J184" s="5">
        <f>Sheet1!M184 &amp; "," &amp; TEXT(Sheet1!N184,"dd/mm/yy")</f>
        <v/>
      </c>
      <c r="K184" s="5" t="inlineStr">
        <is>
          <t>PRINTED</t>
        </is>
      </c>
      <c r="L184" s="30" t="inlineStr">
        <is>
          <t>25/03/2026</t>
        </is>
      </c>
      <c r="M184" s="30" t="inlineStr">
        <is>
          <t>MANISH KATARIA, VICE CONSUL</t>
        </is>
      </c>
      <c r="N184" s="30" t="inlineStr">
        <is>
          <t>26/02/2026</t>
        </is>
      </c>
    </row>
    <row r="185">
      <c r="A185" s="4">
        <f>Sheet1!A185 &amp; "/" &amp; "2025"</f>
        <v/>
      </c>
      <c r="B185" s="5">
        <f>Sheet1!E185</f>
        <v/>
      </c>
      <c r="C185" s="6">
        <f>UPPER(Sheet1!B185)</f>
        <v/>
      </c>
      <c r="D185" s="7">
        <f>IF(Sheet1!F185="F","FEMALE","MALE")</f>
        <v/>
      </c>
      <c r="E185" s="6">
        <f>UPPER(Sheet1!G185)</f>
        <v/>
      </c>
      <c r="F185" s="6">
        <f>UPPER(Sheet1!H185)</f>
        <v/>
      </c>
      <c r="G185" s="5">
        <f>TEXT(Sheet1!C185,"dd/mm/yyyy") &amp; "," &amp; Sheet1!D185</f>
        <v/>
      </c>
      <c r="H185" s="38">
        <f>UPPER(Sheet1!J185 &amp; "," &amp; Sheet1!K185 &amp; "," &amp; Sheet1!L185)</f>
        <v/>
      </c>
      <c r="I185" s="45">
        <f>Sheet1!I185</f>
        <v/>
      </c>
      <c r="J185" s="5">
        <f>Sheet1!M185 &amp; "," &amp; TEXT(Sheet1!N185,"dd/mm/yy")</f>
        <v/>
      </c>
      <c r="K185" s="5" t="inlineStr">
        <is>
          <t>PRINTED</t>
        </is>
      </c>
      <c r="L185" s="30" t="inlineStr">
        <is>
          <t>25/03/2026</t>
        </is>
      </c>
      <c r="M185" s="30" t="inlineStr">
        <is>
          <t>MANISH KATARIA, VICE CONSUL</t>
        </is>
      </c>
      <c r="N185" s="30" t="inlineStr">
        <is>
          <t>26/02/2026</t>
        </is>
      </c>
    </row>
    <row r="186">
      <c r="A186" s="4">
        <f>Sheet1!A186 &amp; "/" &amp; "2025"</f>
        <v/>
      </c>
      <c r="B186" s="5">
        <f>Sheet1!E186</f>
        <v/>
      </c>
      <c r="C186" s="6">
        <f>UPPER(Sheet1!B186)</f>
        <v/>
      </c>
      <c r="D186" s="7">
        <f>IF(Sheet1!F186="F","FEMALE","MALE")</f>
        <v/>
      </c>
      <c r="E186" s="6">
        <f>UPPER(Sheet1!G186)</f>
        <v/>
      </c>
      <c r="F186" s="6">
        <f>UPPER(Sheet1!H186)</f>
        <v/>
      </c>
      <c r="G186" s="5">
        <f>TEXT(Sheet1!C186,"dd/mm/yyyy") &amp; "," &amp; Sheet1!D186</f>
        <v/>
      </c>
      <c r="H186" s="38">
        <f>UPPER(Sheet1!J186 &amp; "," &amp; Sheet1!K186 &amp; "," &amp; Sheet1!L186)</f>
        <v/>
      </c>
      <c r="I186" s="45">
        <f>Sheet1!I186</f>
        <v/>
      </c>
      <c r="J186" s="5">
        <f>Sheet1!M186 &amp; "," &amp; TEXT(Sheet1!N186,"dd/mm/yy")</f>
        <v/>
      </c>
      <c r="K186" s="5" t="inlineStr">
        <is>
          <t>PRINTED</t>
        </is>
      </c>
      <c r="L186" s="30" t="inlineStr">
        <is>
          <t>25/03/2026</t>
        </is>
      </c>
      <c r="M186" s="30" t="inlineStr">
        <is>
          <t>MANISH KATARIA, VICE CONSUL</t>
        </is>
      </c>
      <c r="N186" s="30" t="inlineStr">
        <is>
          <t>26/02/2026</t>
        </is>
      </c>
    </row>
    <row r="187">
      <c r="A187" s="4">
        <f>Sheet1!A187 &amp; "/" &amp; "2025"</f>
        <v/>
      </c>
      <c r="B187" s="5">
        <f>Sheet1!E187</f>
        <v/>
      </c>
      <c r="C187" s="6">
        <f>UPPER(Sheet1!B187)</f>
        <v/>
      </c>
      <c r="D187" s="7">
        <f>IF(Sheet1!F187="F","FEMALE","MALE")</f>
        <v/>
      </c>
      <c r="E187" s="6">
        <f>UPPER(Sheet1!G187)</f>
        <v/>
      </c>
      <c r="F187" s="6">
        <f>UPPER(Sheet1!H187)</f>
        <v/>
      </c>
      <c r="G187" s="5">
        <f>TEXT(Sheet1!C187,"dd/mm/yyyy") &amp; "," &amp; Sheet1!D187</f>
        <v/>
      </c>
      <c r="H187" s="38">
        <f>UPPER(Sheet1!J187 &amp; "," &amp; Sheet1!K187 &amp; "," &amp; Sheet1!L187)</f>
        <v/>
      </c>
      <c r="I187" s="45">
        <f>Sheet1!I187</f>
        <v/>
      </c>
      <c r="J187" s="5">
        <f>Sheet1!M187 &amp; "," &amp; TEXT(Sheet1!N187,"dd/mm/yy")</f>
        <v/>
      </c>
      <c r="K187" s="5" t="inlineStr">
        <is>
          <t>PRINTED</t>
        </is>
      </c>
      <c r="L187" s="30" t="inlineStr">
        <is>
          <t>25/03/2026</t>
        </is>
      </c>
      <c r="M187" s="30" t="inlineStr">
        <is>
          <t>MANISH KATARIA, VICE CONSUL</t>
        </is>
      </c>
      <c r="N187" s="30" t="inlineStr">
        <is>
          <t>26/02/2026</t>
        </is>
      </c>
    </row>
    <row r="188">
      <c r="A188" s="4">
        <f>Sheet1!A188 &amp; "/" &amp; "2025"</f>
        <v/>
      </c>
      <c r="B188" s="5">
        <f>Sheet1!E188</f>
        <v/>
      </c>
      <c r="C188" s="6">
        <f>UPPER(Sheet1!B188)</f>
        <v/>
      </c>
      <c r="D188" s="7">
        <f>IF(Sheet1!F188="F","FEMALE","MALE")</f>
        <v/>
      </c>
      <c r="E188" s="6">
        <f>UPPER(Sheet1!G188)</f>
        <v/>
      </c>
      <c r="F188" s="6">
        <f>UPPER(Sheet1!H188)</f>
        <v/>
      </c>
      <c r="G188" s="5">
        <f>TEXT(Sheet1!C188,"dd/mm/yyyy") &amp; "," &amp; Sheet1!D188</f>
        <v/>
      </c>
      <c r="H188" s="38">
        <f>UPPER(Sheet1!J188 &amp; "," &amp; Sheet1!K188 &amp; "," &amp; Sheet1!L188)</f>
        <v/>
      </c>
      <c r="I188" s="45">
        <f>Sheet1!I188</f>
        <v/>
      </c>
      <c r="J188" s="5">
        <f>Sheet1!M188 &amp; "," &amp; TEXT(Sheet1!N188,"dd/mm/yy")</f>
        <v/>
      </c>
      <c r="K188" s="5" t="inlineStr">
        <is>
          <t>PRINTED</t>
        </is>
      </c>
      <c r="L188" s="30" t="inlineStr">
        <is>
          <t>25/03/2026</t>
        </is>
      </c>
      <c r="M188" s="30" t="inlineStr">
        <is>
          <t>MANISH KATARIA, VICE CONSUL</t>
        </is>
      </c>
      <c r="N188" s="30" t="inlineStr">
        <is>
          <t>26/02/2026</t>
        </is>
      </c>
    </row>
    <row r="189">
      <c r="A189" s="4">
        <f>Sheet1!A189 &amp; "/" &amp; "2025"</f>
        <v/>
      </c>
      <c r="B189" s="5">
        <f>Sheet1!E189</f>
        <v/>
      </c>
      <c r="C189" s="6">
        <f>UPPER(Sheet1!B189)</f>
        <v/>
      </c>
      <c r="D189" s="7">
        <f>IF(Sheet1!F189="F","FEMALE","MALE")</f>
        <v/>
      </c>
      <c r="E189" s="6">
        <f>UPPER(Sheet1!G189)</f>
        <v/>
      </c>
      <c r="F189" s="6">
        <f>UPPER(Sheet1!H189)</f>
        <v/>
      </c>
      <c r="G189" s="5">
        <f>TEXT(Sheet1!C189,"dd/mm/yyyy") &amp; "," &amp; Sheet1!D189</f>
        <v/>
      </c>
      <c r="H189" s="38">
        <f>UPPER(Sheet1!J189 &amp; "," &amp; Sheet1!K189 &amp; "," &amp; Sheet1!L189)</f>
        <v/>
      </c>
      <c r="I189" s="45">
        <f>Sheet1!I189</f>
        <v/>
      </c>
      <c r="J189" s="5">
        <f>Sheet1!M189 &amp; "," &amp; TEXT(Sheet1!N189,"dd/mm/yy")</f>
        <v/>
      </c>
      <c r="K189" s="5" t="inlineStr">
        <is>
          <t>PRINTED</t>
        </is>
      </c>
      <c r="L189" s="30" t="inlineStr">
        <is>
          <t>25/03/2026</t>
        </is>
      </c>
      <c r="M189" s="30" t="inlineStr">
        <is>
          <t>MANISH KATARIA, VICE CONSUL</t>
        </is>
      </c>
      <c r="N189" s="30" t="inlineStr">
        <is>
          <t>26/02/2026</t>
        </is>
      </c>
    </row>
    <row r="190">
      <c r="A190" s="4">
        <f>Sheet1!A190 &amp; "/" &amp; "2025"</f>
        <v/>
      </c>
      <c r="B190" s="5">
        <f>Sheet1!E190</f>
        <v/>
      </c>
      <c r="C190" s="6">
        <f>UPPER(Sheet1!B190)</f>
        <v/>
      </c>
      <c r="D190" s="7">
        <f>IF(Sheet1!F190="F","FEMALE","MALE")</f>
        <v/>
      </c>
      <c r="E190" s="6">
        <f>UPPER(Sheet1!G190)</f>
        <v/>
      </c>
      <c r="F190" s="6">
        <f>UPPER(Sheet1!H190)</f>
        <v/>
      </c>
      <c r="G190" s="5">
        <f>TEXT(Sheet1!C190,"dd/mm/yyyy") &amp; "," &amp; Sheet1!D190</f>
        <v/>
      </c>
      <c r="H190" s="38">
        <f>UPPER(Sheet1!J190 &amp; "," &amp; Sheet1!K190 &amp; "," &amp; Sheet1!L190)</f>
        <v/>
      </c>
      <c r="I190" s="45">
        <f>Sheet1!I190</f>
        <v/>
      </c>
      <c r="J190" s="5">
        <f>Sheet1!M190 &amp; "," &amp; TEXT(Sheet1!N190,"dd/mm/yy")</f>
        <v/>
      </c>
      <c r="K190" s="5" t="inlineStr">
        <is>
          <t>PRINTED</t>
        </is>
      </c>
      <c r="L190" s="30" t="inlineStr">
        <is>
          <t>25/03/2026</t>
        </is>
      </c>
      <c r="M190" s="30" t="inlineStr">
        <is>
          <t>MANISH KATARIA, VICE CONSUL</t>
        </is>
      </c>
      <c r="N190" s="30" t="inlineStr">
        <is>
          <t>26/02/2026</t>
        </is>
      </c>
    </row>
    <row r="191">
      <c r="A191" s="4">
        <f>Sheet1!A191 &amp; "/" &amp; "2025"</f>
        <v/>
      </c>
      <c r="B191" s="5">
        <f>Sheet1!E191</f>
        <v/>
      </c>
      <c r="C191" s="6">
        <f>UPPER(Sheet1!B191)</f>
        <v/>
      </c>
      <c r="D191" s="7">
        <f>IF(Sheet1!F191="F","FEMALE","MALE")</f>
        <v/>
      </c>
      <c r="E191" s="6">
        <f>UPPER(Sheet1!G191)</f>
        <v/>
      </c>
      <c r="F191" s="6">
        <f>UPPER(Sheet1!H191)</f>
        <v/>
      </c>
      <c r="G191" s="5">
        <f>TEXT(Sheet1!C191,"dd/mm/yyyy") &amp; "," &amp; Sheet1!D191</f>
        <v/>
      </c>
      <c r="H191" s="38">
        <f>UPPER(Sheet1!J191 &amp; "," &amp; Sheet1!K191 &amp; "," &amp; Sheet1!L191)</f>
        <v/>
      </c>
      <c r="I191" s="45">
        <f>Sheet1!I191</f>
        <v/>
      </c>
      <c r="J191" s="5">
        <f>Sheet1!M191 &amp; "," &amp; TEXT(Sheet1!N191,"dd/mm/yy")</f>
        <v/>
      </c>
      <c r="K191" s="5" t="inlineStr">
        <is>
          <t>PRINTED</t>
        </is>
      </c>
      <c r="L191" s="30" t="inlineStr">
        <is>
          <t>25/03/2026</t>
        </is>
      </c>
      <c r="M191" s="30" t="inlineStr">
        <is>
          <t>MANISH KATARIA, VICE CONSUL</t>
        </is>
      </c>
      <c r="N191" s="30" t="inlineStr">
        <is>
          <t>26/02/2026</t>
        </is>
      </c>
    </row>
    <row r="192">
      <c r="A192" s="4">
        <f>Sheet1!A192 &amp; "/" &amp; "2025"</f>
        <v/>
      </c>
      <c r="B192" s="5">
        <f>Sheet1!E192</f>
        <v/>
      </c>
      <c r="C192" s="6">
        <f>UPPER(Sheet1!B192)</f>
        <v/>
      </c>
      <c r="D192" s="7">
        <f>IF(Sheet1!F192="F","FEMALE","MALE")</f>
        <v/>
      </c>
      <c r="E192" s="6">
        <f>UPPER(Sheet1!G192)</f>
        <v/>
      </c>
      <c r="F192" s="6">
        <f>UPPER(Sheet1!H192)</f>
        <v/>
      </c>
      <c r="G192" s="5">
        <f>TEXT(Sheet1!C192,"dd/mm/yyyy") &amp; "," &amp; Sheet1!D192</f>
        <v/>
      </c>
      <c r="H192" s="38">
        <f>UPPER(Sheet1!J192 &amp; "," &amp; Sheet1!K192 &amp; "," &amp; Sheet1!L192)</f>
        <v/>
      </c>
      <c r="I192" s="45">
        <f>Sheet1!I192</f>
        <v/>
      </c>
      <c r="J192" s="5">
        <f>Sheet1!M192 &amp; "," &amp; TEXT(Sheet1!N192,"dd/mm/yy")</f>
        <v/>
      </c>
      <c r="K192" s="5" t="inlineStr">
        <is>
          <t>PRINTED</t>
        </is>
      </c>
      <c r="L192" s="30" t="inlineStr">
        <is>
          <t>25/03/2026</t>
        </is>
      </c>
      <c r="M192" s="30" t="inlineStr">
        <is>
          <t>MANISH KATARIA, VICE CONSUL</t>
        </is>
      </c>
      <c r="N192" s="30" t="inlineStr">
        <is>
          <t>26/02/2026</t>
        </is>
      </c>
    </row>
    <row r="193">
      <c r="A193" s="4">
        <f>Sheet1!A193 &amp; "/" &amp; "2025"</f>
        <v/>
      </c>
      <c r="B193" s="5">
        <f>Sheet1!E193</f>
        <v/>
      </c>
      <c r="C193" s="6">
        <f>UPPER(Sheet1!B193)</f>
        <v/>
      </c>
      <c r="D193" s="7">
        <f>IF(Sheet1!F193="F","FEMALE","MALE")</f>
        <v/>
      </c>
      <c r="E193" s="6">
        <f>UPPER(Sheet1!G193)</f>
        <v/>
      </c>
      <c r="F193" s="6">
        <f>UPPER(Sheet1!H193)</f>
        <v/>
      </c>
      <c r="G193" s="5">
        <f>TEXT(Sheet1!C193,"dd/mm/yyyy") &amp; "," &amp; Sheet1!D193</f>
        <v/>
      </c>
      <c r="H193" s="38">
        <f>UPPER(Sheet1!J193 &amp; "," &amp; Sheet1!K193 &amp; "," &amp; Sheet1!L193)</f>
        <v/>
      </c>
      <c r="I193" s="45">
        <f>Sheet1!I193</f>
        <v/>
      </c>
      <c r="J193" s="5">
        <f>Sheet1!M193 &amp; "," &amp; TEXT(Sheet1!N193,"dd/mm/yy")</f>
        <v/>
      </c>
      <c r="K193" s="5" t="inlineStr">
        <is>
          <t>PRINTED</t>
        </is>
      </c>
      <c r="L193" s="30" t="inlineStr">
        <is>
          <t>25/03/2026</t>
        </is>
      </c>
      <c r="M193" s="30" t="inlineStr">
        <is>
          <t>MANISH KATARIA, VICE CONSUL</t>
        </is>
      </c>
      <c r="N193" s="30" t="inlineStr">
        <is>
          <t>26/02/2026</t>
        </is>
      </c>
    </row>
    <row r="194">
      <c r="A194" s="4">
        <f>Sheet1!A194 &amp; "/" &amp; "2025"</f>
        <v/>
      </c>
      <c r="B194" s="5">
        <f>Sheet1!E194</f>
        <v/>
      </c>
      <c r="C194" s="6">
        <f>UPPER(Sheet1!B194)</f>
        <v/>
      </c>
      <c r="D194" s="7">
        <f>IF(Sheet1!F194="F","FEMALE","MALE")</f>
        <v/>
      </c>
      <c r="E194" s="6">
        <f>UPPER(Sheet1!G194)</f>
        <v/>
      </c>
      <c r="F194" s="6">
        <f>UPPER(Sheet1!H194)</f>
        <v/>
      </c>
      <c r="G194" s="5">
        <f>TEXT(Sheet1!C194,"dd/mm/yyyy") &amp; "," &amp; Sheet1!D194</f>
        <v/>
      </c>
      <c r="H194" s="38">
        <f>UPPER(Sheet1!J194 &amp; "," &amp; Sheet1!K194 &amp; "," &amp; Sheet1!L194)</f>
        <v/>
      </c>
      <c r="I194" s="45">
        <f>Sheet1!I194</f>
        <v/>
      </c>
      <c r="J194" s="5">
        <f>Sheet1!M194 &amp; "," &amp; TEXT(Sheet1!N194,"dd/mm/yy")</f>
        <v/>
      </c>
      <c r="K194" s="5" t="inlineStr">
        <is>
          <t>PRINTED</t>
        </is>
      </c>
      <c r="L194" s="30" t="inlineStr">
        <is>
          <t>25/03/2026</t>
        </is>
      </c>
      <c r="M194" s="30" t="inlineStr">
        <is>
          <t>MANISH KATARIA, VICE CONSUL</t>
        </is>
      </c>
      <c r="N194" s="30" t="inlineStr">
        <is>
          <t>26/02/2026</t>
        </is>
      </c>
    </row>
    <row r="195">
      <c r="A195" s="4">
        <f>Sheet1!A195 &amp; "/" &amp; "2025"</f>
        <v/>
      </c>
      <c r="B195" s="5">
        <f>Sheet1!E195</f>
        <v/>
      </c>
      <c r="C195" s="6">
        <f>UPPER(Sheet1!B195)</f>
        <v/>
      </c>
      <c r="D195" s="7">
        <f>IF(Sheet1!F195="F","FEMALE","MALE")</f>
        <v/>
      </c>
      <c r="E195" s="6">
        <f>UPPER(Sheet1!G195)</f>
        <v/>
      </c>
      <c r="F195" s="6">
        <f>UPPER(Sheet1!H195)</f>
        <v/>
      </c>
      <c r="G195" s="5">
        <f>TEXT(Sheet1!C195,"dd/mm/yyyy") &amp; "," &amp; Sheet1!D195</f>
        <v/>
      </c>
      <c r="H195" s="38">
        <f>UPPER(Sheet1!J195 &amp; "," &amp; Sheet1!K195 &amp; "," &amp; Sheet1!L195)</f>
        <v/>
      </c>
      <c r="I195" s="45">
        <f>Sheet1!I195</f>
        <v/>
      </c>
      <c r="J195" s="5">
        <f>Sheet1!M195 &amp; "," &amp; TEXT(Sheet1!N195,"dd/mm/yy")</f>
        <v/>
      </c>
      <c r="K195" s="5" t="inlineStr">
        <is>
          <t>PRINTED</t>
        </is>
      </c>
      <c r="L195" s="30" t="inlineStr">
        <is>
          <t>25/03/2026</t>
        </is>
      </c>
      <c r="M195" s="30" t="inlineStr">
        <is>
          <t>MANISH KATARIA, VICE CONSUL</t>
        </is>
      </c>
      <c r="N195" s="30" t="inlineStr">
        <is>
          <t>26/02/2026</t>
        </is>
      </c>
    </row>
    <row r="196">
      <c r="A196" s="4">
        <f>Sheet1!A196 &amp; "/" &amp; "2025"</f>
        <v/>
      </c>
      <c r="B196" s="5">
        <f>Sheet1!E196</f>
        <v/>
      </c>
      <c r="C196" s="6">
        <f>UPPER(Sheet1!B196)</f>
        <v/>
      </c>
      <c r="D196" s="7">
        <f>IF(Sheet1!F196="F","FEMALE","MALE")</f>
        <v/>
      </c>
      <c r="E196" s="6">
        <f>UPPER(Sheet1!G196)</f>
        <v/>
      </c>
      <c r="F196" s="6">
        <f>UPPER(Sheet1!H196)</f>
        <v/>
      </c>
      <c r="G196" s="5">
        <f>TEXT(Sheet1!C196,"dd/mm/yyyy") &amp; "," &amp; Sheet1!D196</f>
        <v/>
      </c>
      <c r="H196" s="38">
        <f>UPPER(Sheet1!J196 &amp; "," &amp; Sheet1!K196 &amp; "," &amp; Sheet1!L196)</f>
        <v/>
      </c>
      <c r="I196" s="45">
        <f>Sheet1!I196</f>
        <v/>
      </c>
      <c r="J196" s="5">
        <f>Sheet1!M196 &amp; "," &amp; TEXT(Sheet1!N196,"dd/mm/yy")</f>
        <v/>
      </c>
      <c r="K196" s="5" t="inlineStr">
        <is>
          <t>PRINTED</t>
        </is>
      </c>
      <c r="L196" s="30" t="inlineStr">
        <is>
          <t>25/03/2026</t>
        </is>
      </c>
      <c r="M196" s="30" t="inlineStr">
        <is>
          <t>MANISH KATARIA, VICE CONSUL</t>
        </is>
      </c>
      <c r="N196" s="30" t="inlineStr">
        <is>
          <t>26/02/2026</t>
        </is>
      </c>
    </row>
    <row r="197">
      <c r="A197" s="4">
        <f>Sheet1!A197 &amp; "/" &amp; "2025"</f>
        <v/>
      </c>
      <c r="B197" s="5">
        <f>Sheet1!E197</f>
        <v/>
      </c>
      <c r="C197" s="6">
        <f>UPPER(Sheet1!B197)</f>
        <v/>
      </c>
      <c r="D197" s="7">
        <f>IF(Sheet1!F197="F","FEMALE","MALE")</f>
        <v/>
      </c>
      <c r="E197" s="6">
        <f>UPPER(Sheet1!G197)</f>
        <v/>
      </c>
      <c r="F197" s="6">
        <f>UPPER(Sheet1!H197)</f>
        <v/>
      </c>
      <c r="G197" s="5">
        <f>TEXT(Sheet1!C197,"dd/mm/yyyy") &amp; "," &amp; Sheet1!D197</f>
        <v/>
      </c>
      <c r="H197" s="38">
        <f>UPPER(Sheet1!J197 &amp; "," &amp; Sheet1!K197 &amp; "," &amp; Sheet1!L197)</f>
        <v/>
      </c>
      <c r="I197" s="45">
        <f>Sheet1!I197</f>
        <v/>
      </c>
      <c r="J197" s="5">
        <f>Sheet1!M197 &amp; "," &amp; TEXT(Sheet1!N197,"dd/mm/yy")</f>
        <v/>
      </c>
      <c r="K197" s="5" t="inlineStr">
        <is>
          <t>PRINTED</t>
        </is>
      </c>
      <c r="L197" s="30" t="inlineStr">
        <is>
          <t>25/03/2026</t>
        </is>
      </c>
      <c r="M197" s="30" t="inlineStr">
        <is>
          <t>MANISH KATARIA, VICE CONSUL</t>
        </is>
      </c>
      <c r="N197" s="30" t="inlineStr">
        <is>
          <t>26/02/2026</t>
        </is>
      </c>
    </row>
    <row r="198">
      <c r="A198" s="4">
        <f>Sheet1!A198 &amp; "/" &amp; "2025"</f>
        <v/>
      </c>
      <c r="B198" s="5">
        <f>Sheet1!E198</f>
        <v/>
      </c>
      <c r="C198" s="6">
        <f>UPPER(Sheet1!B198)</f>
        <v/>
      </c>
      <c r="D198" s="7">
        <f>IF(Sheet1!F198="F","FEMALE","MALE")</f>
        <v/>
      </c>
      <c r="E198" s="6">
        <f>UPPER(Sheet1!G198)</f>
        <v/>
      </c>
      <c r="F198" s="6">
        <f>UPPER(Sheet1!H198)</f>
        <v/>
      </c>
      <c r="G198" s="5">
        <f>TEXT(Sheet1!C198,"dd/mm/yyyy") &amp; "," &amp; Sheet1!D198</f>
        <v/>
      </c>
      <c r="H198" s="38">
        <f>UPPER(Sheet1!J198 &amp; "," &amp; Sheet1!K198 &amp; "," &amp; Sheet1!L198)</f>
        <v/>
      </c>
      <c r="I198" s="45">
        <f>Sheet1!I198</f>
        <v/>
      </c>
      <c r="J198" s="5">
        <f>Sheet1!M198 &amp; "," &amp; TEXT(Sheet1!N198,"dd/mm/yy")</f>
        <v/>
      </c>
      <c r="K198" s="5" t="inlineStr">
        <is>
          <t>PRINTED</t>
        </is>
      </c>
      <c r="L198" s="30" t="inlineStr">
        <is>
          <t>25/03/2026</t>
        </is>
      </c>
      <c r="M198" s="30" t="inlineStr">
        <is>
          <t>MANISH KATARIA, VICE CONSUL</t>
        </is>
      </c>
      <c r="N198" s="30" t="inlineStr">
        <is>
          <t>26/02/2026</t>
        </is>
      </c>
    </row>
    <row r="199">
      <c r="A199" s="4">
        <f>Sheet1!A199 &amp; "/" &amp; "2025"</f>
        <v/>
      </c>
      <c r="B199" s="5">
        <f>Sheet1!E199</f>
        <v/>
      </c>
      <c r="C199" s="6">
        <f>UPPER(Sheet1!B199)</f>
        <v/>
      </c>
      <c r="D199" s="7">
        <f>IF(Sheet1!F199="F","FEMALE","MALE")</f>
        <v/>
      </c>
      <c r="E199" s="6">
        <f>UPPER(Sheet1!G199)</f>
        <v/>
      </c>
      <c r="F199" s="6">
        <f>UPPER(Sheet1!H199)</f>
        <v/>
      </c>
      <c r="G199" s="5">
        <f>TEXT(Sheet1!C199,"dd/mm/yyyy") &amp; "," &amp; Sheet1!D199</f>
        <v/>
      </c>
      <c r="H199" s="38">
        <f>UPPER(Sheet1!J199 &amp; "," &amp; Sheet1!K199 &amp; "," &amp; Sheet1!L199)</f>
        <v/>
      </c>
      <c r="I199" s="45">
        <f>Sheet1!I199</f>
        <v/>
      </c>
      <c r="J199" s="5">
        <f>Sheet1!M199 &amp; "," &amp; TEXT(Sheet1!N199,"dd/mm/yy")</f>
        <v/>
      </c>
      <c r="K199" s="5" t="inlineStr">
        <is>
          <t>PRINTED</t>
        </is>
      </c>
      <c r="L199" s="30" t="inlineStr">
        <is>
          <t>25/03/2026</t>
        </is>
      </c>
      <c r="M199" s="30" t="inlineStr">
        <is>
          <t>MANISH KATARIA, VICE CONSUL</t>
        </is>
      </c>
      <c r="N199" s="30" t="inlineStr">
        <is>
          <t>26/02/2026</t>
        </is>
      </c>
    </row>
    <row r="200">
      <c r="A200" s="4">
        <f>Sheet1!A200 &amp; "/" &amp; "2025"</f>
        <v/>
      </c>
      <c r="B200" s="5">
        <f>Sheet1!E200</f>
        <v/>
      </c>
      <c r="C200" s="6">
        <f>UPPER(Sheet1!B200)</f>
        <v/>
      </c>
      <c r="D200" s="7">
        <f>IF(Sheet1!F200="F","FEMALE","MALE")</f>
        <v/>
      </c>
      <c r="E200" s="6">
        <f>UPPER(Sheet1!G200)</f>
        <v/>
      </c>
      <c r="F200" s="6">
        <f>UPPER(Sheet1!H200)</f>
        <v/>
      </c>
      <c r="G200" s="5">
        <f>TEXT(Sheet1!C200,"dd/mm/yyyy") &amp; "," &amp; Sheet1!D200</f>
        <v/>
      </c>
      <c r="H200" s="38">
        <f>UPPER(Sheet1!J200 &amp; "," &amp; Sheet1!K200 &amp; "," &amp; Sheet1!L200)</f>
        <v/>
      </c>
      <c r="I200" s="45">
        <f>Sheet1!I200</f>
        <v/>
      </c>
      <c r="J200" s="5">
        <f>Sheet1!M200 &amp; "," &amp; TEXT(Sheet1!N200,"dd/mm/yy")</f>
        <v/>
      </c>
      <c r="K200" s="5" t="inlineStr">
        <is>
          <t>PRINTED</t>
        </is>
      </c>
      <c r="L200" s="30" t="inlineStr">
        <is>
          <t>25/03/2026</t>
        </is>
      </c>
      <c r="M200" s="30" t="inlineStr">
        <is>
          <t>MANISH KATARIA, VICE CONSUL</t>
        </is>
      </c>
      <c r="N200" s="30" t="inlineStr">
        <is>
          <t>26/02/2026</t>
        </is>
      </c>
    </row>
    <row r="201">
      <c r="A201" s="4">
        <f>Sheet1!A201 &amp; "/" &amp; "2025"</f>
        <v/>
      </c>
      <c r="B201" s="5">
        <f>Sheet1!E201</f>
        <v/>
      </c>
      <c r="C201" s="6">
        <f>UPPER(Sheet1!B201)</f>
        <v/>
      </c>
      <c r="D201" s="7">
        <f>IF(Sheet1!F201="F","FEMALE","MALE")</f>
        <v/>
      </c>
      <c r="E201" s="6">
        <f>UPPER(Sheet1!G201)</f>
        <v/>
      </c>
      <c r="F201" s="6">
        <f>UPPER(Sheet1!H201)</f>
        <v/>
      </c>
      <c r="G201" s="5">
        <f>TEXT(Sheet1!C201,"dd/mm/yyyy") &amp; "," &amp; Sheet1!D201</f>
        <v/>
      </c>
      <c r="H201" s="38">
        <f>UPPER(Sheet1!J201 &amp; "," &amp; Sheet1!K201 &amp; "," &amp; Sheet1!L201)</f>
        <v/>
      </c>
      <c r="I201" s="45">
        <f>Sheet1!I201</f>
        <v/>
      </c>
      <c r="J201" s="5">
        <f>Sheet1!M201 &amp; "," &amp; TEXT(Sheet1!N201,"dd/mm/yy")</f>
        <v/>
      </c>
      <c r="K201" s="5" t="inlineStr">
        <is>
          <t>PRINTED</t>
        </is>
      </c>
      <c r="L201" s="30" t="inlineStr">
        <is>
          <t>25/03/2026</t>
        </is>
      </c>
      <c r="M201" s="30" t="inlineStr">
        <is>
          <t>MANISH KATARIA, VICE CONSUL</t>
        </is>
      </c>
      <c r="N201" s="30" t="inlineStr">
        <is>
          <t>26/02/2026</t>
        </is>
      </c>
    </row>
    <row r="202">
      <c r="A202" s="4">
        <f>Sheet1!A202 &amp; "/" &amp; "2025"</f>
        <v/>
      </c>
      <c r="B202" s="5">
        <f>Sheet1!E202</f>
        <v/>
      </c>
      <c r="C202" s="6">
        <f>UPPER(Sheet1!B202)</f>
        <v/>
      </c>
      <c r="D202" s="7">
        <f>IF(Sheet1!F202="F","FEMALE","MALE")</f>
        <v/>
      </c>
      <c r="E202" s="6">
        <f>UPPER(Sheet1!G202)</f>
        <v/>
      </c>
      <c r="F202" s="6">
        <f>UPPER(Sheet1!H202)</f>
        <v/>
      </c>
      <c r="G202" s="5">
        <f>TEXT(Sheet1!C202,"dd/mm/yyyy") &amp; "," &amp; Sheet1!D202</f>
        <v/>
      </c>
      <c r="H202" s="38">
        <f>UPPER(Sheet1!J202 &amp; "," &amp; Sheet1!K202 &amp; "," &amp; Sheet1!L202)</f>
        <v/>
      </c>
      <c r="I202" s="45">
        <f>Sheet1!I202</f>
        <v/>
      </c>
      <c r="J202" s="5">
        <f>Sheet1!M202 &amp; "," &amp; TEXT(Sheet1!N202,"dd/mm/yy")</f>
        <v/>
      </c>
      <c r="K202" s="5" t="inlineStr">
        <is>
          <t>PRINTED</t>
        </is>
      </c>
      <c r="L202" s="30" t="inlineStr">
        <is>
          <t>25/03/2026</t>
        </is>
      </c>
      <c r="M202" s="30" t="inlineStr">
        <is>
          <t>MANISH KATARIA, VICE CONSUL</t>
        </is>
      </c>
      <c r="N202" s="30" t="inlineStr">
        <is>
          <t>26/02/2026</t>
        </is>
      </c>
    </row>
    <row r="203">
      <c r="A203" s="4">
        <f>Sheet1!A203 &amp; "/" &amp; "2025"</f>
        <v/>
      </c>
      <c r="B203" s="5">
        <f>Sheet1!E203</f>
        <v/>
      </c>
      <c r="C203" s="6">
        <f>UPPER(Sheet1!B203)</f>
        <v/>
      </c>
      <c r="D203" s="7">
        <f>IF(Sheet1!F203="F","FEMALE","MALE")</f>
        <v/>
      </c>
      <c r="E203" s="6">
        <f>UPPER(Sheet1!G203)</f>
        <v/>
      </c>
      <c r="F203" s="6">
        <f>UPPER(Sheet1!H203)</f>
        <v/>
      </c>
      <c r="G203" s="5">
        <f>TEXT(Sheet1!C203,"dd/mm/yyyy") &amp; "," &amp; Sheet1!D203</f>
        <v/>
      </c>
      <c r="H203" s="38">
        <f>UPPER(Sheet1!J203 &amp; "," &amp; Sheet1!K203 &amp; "," &amp; Sheet1!L203)</f>
        <v/>
      </c>
      <c r="I203" s="45">
        <f>Sheet1!I203</f>
        <v/>
      </c>
      <c r="J203" s="5">
        <f>Sheet1!M203 &amp; "," &amp; TEXT(Sheet1!N203,"dd/mm/yy")</f>
        <v/>
      </c>
      <c r="K203" s="5" t="inlineStr">
        <is>
          <t>PRINTED</t>
        </is>
      </c>
      <c r="L203" s="30" t="inlineStr">
        <is>
          <t>25/03/2026</t>
        </is>
      </c>
      <c r="M203" s="30" t="inlineStr">
        <is>
          <t>MANISH KATARIA, VICE CONSUL</t>
        </is>
      </c>
      <c r="N203" s="30" t="inlineStr">
        <is>
          <t>26/02/2026</t>
        </is>
      </c>
    </row>
    <row r="204">
      <c r="A204" s="4">
        <f>Sheet1!A204 &amp; "/" &amp; "2025"</f>
        <v/>
      </c>
      <c r="B204" s="5">
        <f>Sheet1!E204</f>
        <v/>
      </c>
      <c r="C204" s="6">
        <f>UPPER(Sheet1!B204)</f>
        <v/>
      </c>
      <c r="D204" s="7">
        <f>IF(Sheet1!F204="F","FEMALE","MALE")</f>
        <v/>
      </c>
      <c r="E204" s="6">
        <f>UPPER(Sheet1!G204)</f>
        <v/>
      </c>
      <c r="F204" s="6">
        <f>UPPER(Sheet1!H204)</f>
        <v/>
      </c>
      <c r="G204" s="5">
        <f>TEXT(Sheet1!C204,"dd/mm/yyyy") &amp; "," &amp; Sheet1!D204</f>
        <v/>
      </c>
      <c r="H204" s="38">
        <f>UPPER(Sheet1!J204 &amp; "," &amp; Sheet1!K204 &amp; "," &amp; Sheet1!L204)</f>
        <v/>
      </c>
      <c r="I204" s="45">
        <f>Sheet1!I204</f>
        <v/>
      </c>
      <c r="J204" s="5">
        <f>Sheet1!M204 &amp; "," &amp; TEXT(Sheet1!N204,"dd/mm/yy")</f>
        <v/>
      </c>
      <c r="K204" s="5" t="inlineStr">
        <is>
          <t>PRINTED</t>
        </is>
      </c>
      <c r="L204" s="30" t="inlineStr">
        <is>
          <t>25/03/2026</t>
        </is>
      </c>
      <c r="M204" s="30" t="inlineStr">
        <is>
          <t>MANISH KATARIA, VICE CONSUL</t>
        </is>
      </c>
      <c r="N204" s="30" t="inlineStr">
        <is>
          <t>26/02/2026</t>
        </is>
      </c>
    </row>
    <row r="205">
      <c r="A205" s="4">
        <f>Sheet1!A205 &amp; "/" &amp; "2025"</f>
        <v/>
      </c>
      <c r="B205" s="5">
        <f>Sheet1!E205</f>
        <v/>
      </c>
      <c r="C205" s="6">
        <f>UPPER(Sheet1!B205)</f>
        <v/>
      </c>
      <c r="D205" s="7">
        <f>IF(Sheet1!F205="F","FEMALE","MALE")</f>
        <v/>
      </c>
      <c r="E205" s="6">
        <f>UPPER(Sheet1!G205)</f>
        <v/>
      </c>
      <c r="F205" s="6">
        <f>UPPER(Sheet1!H205)</f>
        <v/>
      </c>
      <c r="G205" s="5">
        <f>TEXT(Sheet1!C205,"dd/mm/yyyy") &amp; "," &amp; Sheet1!D205</f>
        <v/>
      </c>
      <c r="H205" s="38">
        <f>UPPER(Sheet1!J205 &amp; "," &amp; Sheet1!K205 &amp; "," &amp; Sheet1!L205)</f>
        <v/>
      </c>
      <c r="I205" s="45">
        <f>Sheet1!I205</f>
        <v/>
      </c>
      <c r="J205" s="5">
        <f>Sheet1!M205 &amp; "," &amp; TEXT(Sheet1!N205,"dd/mm/yy")</f>
        <v/>
      </c>
      <c r="K205" s="5" t="inlineStr">
        <is>
          <t>PRINTED</t>
        </is>
      </c>
      <c r="L205" s="30" t="inlineStr">
        <is>
          <t>25/03/2026</t>
        </is>
      </c>
      <c r="M205" s="30" t="inlineStr">
        <is>
          <t>MANISH KATARIA, VICE CONSUL</t>
        </is>
      </c>
      <c r="N205" s="30" t="inlineStr">
        <is>
          <t>26/02/2026</t>
        </is>
      </c>
    </row>
    <row r="206">
      <c r="A206" s="4">
        <f>Sheet1!A206 &amp; "/" &amp; "2025"</f>
        <v/>
      </c>
      <c r="B206" s="5">
        <f>Sheet1!E206</f>
        <v/>
      </c>
      <c r="C206" s="6">
        <f>UPPER(Sheet1!B206)</f>
        <v/>
      </c>
      <c r="D206" s="7">
        <f>IF(Sheet1!F206="F","FEMALE","MALE")</f>
        <v/>
      </c>
      <c r="E206" s="6">
        <f>UPPER(Sheet1!G206)</f>
        <v/>
      </c>
      <c r="F206" s="6">
        <f>UPPER(Sheet1!H206)</f>
        <v/>
      </c>
      <c r="G206" s="5">
        <f>TEXT(Sheet1!C206,"dd/mm/yyyy") &amp; "," &amp; Sheet1!D206</f>
        <v/>
      </c>
      <c r="H206" s="38">
        <f>UPPER(Sheet1!J206 &amp; "," &amp; Sheet1!K206 &amp; "," &amp; Sheet1!L206)</f>
        <v/>
      </c>
      <c r="I206" s="45">
        <f>Sheet1!I206</f>
        <v/>
      </c>
      <c r="J206" s="5">
        <f>Sheet1!M206 &amp; "," &amp; TEXT(Sheet1!N206,"dd/mm/yy")</f>
        <v/>
      </c>
      <c r="K206" s="5" t="inlineStr">
        <is>
          <t>PRINTED</t>
        </is>
      </c>
      <c r="L206" s="30" t="inlineStr">
        <is>
          <t>25/03/2026</t>
        </is>
      </c>
      <c r="M206" s="30" t="inlineStr">
        <is>
          <t>MANISH KATARIA, VICE CONSUL</t>
        </is>
      </c>
      <c r="N206" s="30" t="inlineStr">
        <is>
          <t>26/02/2026</t>
        </is>
      </c>
    </row>
    <row r="207">
      <c r="A207" s="4">
        <f>Sheet1!A207 &amp; "/" &amp; "2025"</f>
        <v/>
      </c>
      <c r="B207" s="5">
        <f>Sheet1!E207</f>
        <v/>
      </c>
      <c r="C207" s="6">
        <f>UPPER(Sheet1!B207)</f>
        <v/>
      </c>
      <c r="D207" s="7">
        <f>IF(Sheet1!F207="F","FEMALE","MALE")</f>
        <v/>
      </c>
      <c r="E207" s="6">
        <f>UPPER(Sheet1!G207)</f>
        <v/>
      </c>
      <c r="F207" s="6">
        <f>UPPER(Sheet1!H207)</f>
        <v/>
      </c>
      <c r="G207" s="5">
        <f>TEXT(Sheet1!C207,"dd/mm/yyyy") &amp; "," &amp; Sheet1!D207</f>
        <v/>
      </c>
      <c r="H207" s="38">
        <f>UPPER(Sheet1!J207 &amp; "," &amp; Sheet1!K207 &amp; "," &amp; Sheet1!L207)</f>
        <v/>
      </c>
      <c r="I207" s="45">
        <f>Sheet1!I207</f>
        <v/>
      </c>
      <c r="J207" s="5">
        <f>Sheet1!M207 &amp; "," &amp; TEXT(Sheet1!N207,"dd/mm/yy")</f>
        <v/>
      </c>
      <c r="K207" s="5" t="inlineStr">
        <is>
          <t>PRINTED</t>
        </is>
      </c>
      <c r="L207" s="30" t="inlineStr">
        <is>
          <t>25/03/2026</t>
        </is>
      </c>
      <c r="M207" s="30" t="inlineStr">
        <is>
          <t>MANISH KATARIA, VICE CONSUL</t>
        </is>
      </c>
      <c r="N207" s="30" t="inlineStr">
        <is>
          <t>26/02/2026</t>
        </is>
      </c>
    </row>
    <row r="208">
      <c r="A208" s="4">
        <f>Sheet1!A208 &amp; "/" &amp; "2025"</f>
        <v/>
      </c>
      <c r="B208" s="5">
        <f>Sheet1!E208</f>
        <v/>
      </c>
      <c r="C208" s="6">
        <f>UPPER(Sheet1!B208)</f>
        <v/>
      </c>
      <c r="D208" s="7">
        <f>IF(Sheet1!F208="F","FEMALE","MALE")</f>
        <v/>
      </c>
      <c r="E208" s="6">
        <f>UPPER(Sheet1!G208)</f>
        <v/>
      </c>
      <c r="F208" s="6">
        <f>UPPER(Sheet1!H208)</f>
        <v/>
      </c>
      <c r="G208" s="5">
        <f>TEXT(Sheet1!C208,"dd/mm/yyyy") &amp; "," &amp; Sheet1!D208</f>
        <v/>
      </c>
      <c r="H208" s="38">
        <f>UPPER(Sheet1!J208 &amp; "," &amp; Sheet1!K208 &amp; "," &amp; Sheet1!L208)</f>
        <v/>
      </c>
      <c r="I208" s="45">
        <f>Sheet1!I208</f>
        <v/>
      </c>
      <c r="J208" s="5">
        <f>Sheet1!M208 &amp; "," &amp; TEXT(Sheet1!N208,"dd/mm/yy")</f>
        <v/>
      </c>
      <c r="K208" s="5" t="inlineStr">
        <is>
          <t>PRINTED</t>
        </is>
      </c>
      <c r="L208" s="30" t="inlineStr">
        <is>
          <t>25/03/2026</t>
        </is>
      </c>
      <c r="M208" s="30" t="inlineStr">
        <is>
          <t>MANISH KATARIA, VICE CONSUL</t>
        </is>
      </c>
      <c r="N208" s="30" t="inlineStr">
        <is>
          <t>26/02/2026</t>
        </is>
      </c>
    </row>
    <row r="209">
      <c r="A209" s="4">
        <f>Sheet1!A209 &amp; "/" &amp; "2025"</f>
        <v/>
      </c>
      <c r="B209" s="5">
        <f>Sheet1!E209</f>
        <v/>
      </c>
      <c r="C209" s="6">
        <f>UPPER(Sheet1!B209)</f>
        <v/>
      </c>
      <c r="D209" s="7">
        <f>IF(Sheet1!F209="F","FEMALE","MALE")</f>
        <v/>
      </c>
      <c r="E209" s="6">
        <f>UPPER(Sheet1!G209)</f>
        <v/>
      </c>
      <c r="F209" s="6">
        <f>UPPER(Sheet1!H209)</f>
        <v/>
      </c>
      <c r="G209" s="5">
        <f>TEXT(Sheet1!C209,"dd/mm/yyyy") &amp; "," &amp; Sheet1!D209</f>
        <v/>
      </c>
      <c r="H209" s="38">
        <f>UPPER(Sheet1!J209 &amp; "," &amp; Sheet1!K209 &amp; "," &amp; Sheet1!L209)</f>
        <v/>
      </c>
      <c r="I209" s="45">
        <f>Sheet1!I209</f>
        <v/>
      </c>
      <c r="J209" s="5">
        <f>Sheet1!M209 &amp; "," &amp; TEXT(Sheet1!N209,"dd/mm/yy")</f>
        <v/>
      </c>
      <c r="K209" s="5" t="inlineStr">
        <is>
          <t>PRINTED</t>
        </is>
      </c>
      <c r="L209" s="30" t="inlineStr">
        <is>
          <t>25/03/2026</t>
        </is>
      </c>
      <c r="M209" s="30" t="inlineStr">
        <is>
          <t>MANISH KATARIA, VICE CONSUL</t>
        </is>
      </c>
      <c r="N209" s="30" t="inlineStr">
        <is>
          <t>26/02/2026</t>
        </is>
      </c>
    </row>
    <row r="210">
      <c r="A210" s="4">
        <f>Sheet1!A210 &amp; "/" &amp; "2025"</f>
        <v/>
      </c>
      <c r="B210" s="5">
        <f>Sheet1!E210</f>
        <v/>
      </c>
      <c r="C210" s="6">
        <f>UPPER(Sheet1!B210)</f>
        <v/>
      </c>
      <c r="D210" s="7">
        <f>IF(Sheet1!F210="F","FEMALE","MALE")</f>
        <v/>
      </c>
      <c r="E210" s="6">
        <f>UPPER(Sheet1!G210)</f>
        <v/>
      </c>
      <c r="F210" s="6">
        <f>UPPER(Sheet1!H210)</f>
        <v/>
      </c>
      <c r="G210" s="5">
        <f>TEXT(Sheet1!C210,"dd/mm/yyyy") &amp; "," &amp; Sheet1!D210</f>
        <v/>
      </c>
      <c r="H210" s="38">
        <f>UPPER(Sheet1!J210 &amp; "," &amp; Sheet1!K210 &amp; "," &amp; Sheet1!L210)</f>
        <v/>
      </c>
      <c r="I210" s="45">
        <f>Sheet1!I210</f>
        <v/>
      </c>
      <c r="J210" s="5">
        <f>Sheet1!M210 &amp; "," &amp; TEXT(Sheet1!N210,"dd/mm/yy")</f>
        <v/>
      </c>
      <c r="K210" s="5" t="inlineStr">
        <is>
          <t>PRINTED</t>
        </is>
      </c>
      <c r="L210" s="30" t="inlineStr">
        <is>
          <t>25/03/2026</t>
        </is>
      </c>
      <c r="M210" s="30" t="inlineStr">
        <is>
          <t>MANISH KATARIA, VICE CONSUL</t>
        </is>
      </c>
      <c r="N210" s="30" t="inlineStr">
        <is>
          <t>26/02/2026</t>
        </is>
      </c>
    </row>
    <row r="211">
      <c r="A211" s="4">
        <f>Sheet1!A211 &amp; "/" &amp; "2025"</f>
        <v/>
      </c>
      <c r="B211" s="5">
        <f>Sheet1!E211</f>
        <v/>
      </c>
      <c r="C211" s="6">
        <f>UPPER(Sheet1!B211)</f>
        <v/>
      </c>
      <c r="D211" s="7">
        <f>IF(Sheet1!F211="F","FEMALE","MALE")</f>
        <v/>
      </c>
      <c r="E211" s="6">
        <f>UPPER(Sheet1!G211)</f>
        <v/>
      </c>
      <c r="F211" s="6">
        <f>UPPER(Sheet1!H211)</f>
        <v/>
      </c>
      <c r="G211" s="5">
        <f>TEXT(Sheet1!C211,"dd/mm/yyyy") &amp; "," &amp; Sheet1!D211</f>
        <v/>
      </c>
      <c r="H211" s="38">
        <f>UPPER(Sheet1!J211 &amp; "," &amp; Sheet1!K211 &amp; "," &amp; Sheet1!L211)</f>
        <v/>
      </c>
      <c r="I211" s="45">
        <f>Sheet1!I211</f>
        <v/>
      </c>
      <c r="J211" s="5">
        <f>Sheet1!M211 &amp; "," &amp; TEXT(Sheet1!N211,"dd/mm/yy")</f>
        <v/>
      </c>
      <c r="K211" s="5" t="inlineStr">
        <is>
          <t>PRINTED</t>
        </is>
      </c>
      <c r="L211" s="30" t="inlineStr">
        <is>
          <t>25/03/2026</t>
        </is>
      </c>
      <c r="M211" s="30" t="inlineStr">
        <is>
          <t>MANISH KATARIA, VICE CONSUL</t>
        </is>
      </c>
      <c r="N211" s="30" t="inlineStr">
        <is>
          <t>26/02/2026</t>
        </is>
      </c>
    </row>
    <row r="212">
      <c r="A212" s="4">
        <f>Sheet1!A212 &amp; "/" &amp; "2025"</f>
        <v/>
      </c>
      <c r="B212" s="5">
        <f>Sheet1!E212</f>
        <v/>
      </c>
      <c r="C212" s="6">
        <f>UPPER(Sheet1!B212)</f>
        <v/>
      </c>
      <c r="D212" s="7">
        <f>IF(Sheet1!F212="F","FEMALE","MALE")</f>
        <v/>
      </c>
      <c r="E212" s="6">
        <f>UPPER(Sheet1!G212)</f>
        <v/>
      </c>
      <c r="F212" s="6">
        <f>UPPER(Sheet1!H212)</f>
        <v/>
      </c>
      <c r="G212" s="5">
        <f>TEXT(Sheet1!C212,"dd/mm/yyyy") &amp; "," &amp; Sheet1!D212</f>
        <v/>
      </c>
      <c r="H212" s="38">
        <f>UPPER(Sheet1!J212 &amp; "," &amp; Sheet1!K212 &amp; "," &amp; Sheet1!L212)</f>
        <v/>
      </c>
      <c r="I212" s="45">
        <f>Sheet1!I212</f>
        <v/>
      </c>
      <c r="J212" s="5">
        <f>Sheet1!M212 &amp; "," &amp; TEXT(Sheet1!N212,"dd/mm/yy")</f>
        <v/>
      </c>
      <c r="K212" s="5" t="inlineStr">
        <is>
          <t>PRINTED</t>
        </is>
      </c>
      <c r="L212" s="30" t="inlineStr">
        <is>
          <t>25/03/2026</t>
        </is>
      </c>
      <c r="M212" s="30" t="inlineStr">
        <is>
          <t>MANISH KATARIA, VICE CONSUL</t>
        </is>
      </c>
      <c r="N212" s="30" t="inlineStr">
        <is>
          <t>26/02/2026</t>
        </is>
      </c>
    </row>
    <row r="213">
      <c r="A213" s="4">
        <f>Sheet1!A213 &amp; "/" &amp; "2025"</f>
        <v/>
      </c>
      <c r="B213" s="5">
        <f>Sheet1!E213</f>
        <v/>
      </c>
      <c r="C213" s="6">
        <f>UPPER(Sheet1!B213)</f>
        <v/>
      </c>
      <c r="D213" s="7">
        <f>IF(Sheet1!F213="F","FEMALE","MALE")</f>
        <v/>
      </c>
      <c r="E213" s="6">
        <f>UPPER(Sheet1!G213)</f>
        <v/>
      </c>
      <c r="F213" s="6">
        <f>UPPER(Sheet1!H213)</f>
        <v/>
      </c>
      <c r="G213" s="5">
        <f>TEXT(Sheet1!C213,"dd/mm/yyyy") &amp; "," &amp; Sheet1!D213</f>
        <v/>
      </c>
      <c r="H213" s="38">
        <f>UPPER(Sheet1!J213 &amp; "," &amp; Sheet1!K213 &amp; "," &amp; Sheet1!L213)</f>
        <v/>
      </c>
      <c r="I213" s="45">
        <f>Sheet1!I213</f>
        <v/>
      </c>
      <c r="J213" s="5">
        <f>Sheet1!M213 &amp; "," &amp; TEXT(Sheet1!N213,"dd/mm/yy")</f>
        <v/>
      </c>
      <c r="K213" s="5" t="inlineStr">
        <is>
          <t>PRINTED</t>
        </is>
      </c>
      <c r="L213" s="30" t="inlineStr">
        <is>
          <t>25/03/2026</t>
        </is>
      </c>
      <c r="M213" s="30" t="inlineStr">
        <is>
          <t>MANISH KATARIA, VICE CONSUL</t>
        </is>
      </c>
      <c r="N213" s="30" t="inlineStr">
        <is>
          <t>26/02/2026</t>
        </is>
      </c>
    </row>
    <row r="214">
      <c r="A214" s="4">
        <f>Sheet1!A214 &amp; "/" &amp; "2025"</f>
        <v/>
      </c>
      <c r="B214" s="5">
        <f>Sheet1!E214</f>
        <v/>
      </c>
      <c r="C214" s="6">
        <f>UPPER(Sheet1!B214)</f>
        <v/>
      </c>
      <c r="D214" s="7">
        <f>IF(Sheet1!F214="F","FEMALE","MALE")</f>
        <v/>
      </c>
      <c r="E214" s="6">
        <f>UPPER(Sheet1!G214)</f>
        <v/>
      </c>
      <c r="F214" s="6">
        <f>UPPER(Sheet1!H214)</f>
        <v/>
      </c>
      <c r="G214" s="5">
        <f>TEXT(Sheet1!C214,"dd/mm/yyyy") &amp; "," &amp; Sheet1!D214</f>
        <v/>
      </c>
      <c r="H214" s="38">
        <f>UPPER(Sheet1!J214 &amp; "," &amp; Sheet1!K214 &amp; "," &amp; Sheet1!L214)</f>
        <v/>
      </c>
      <c r="I214" s="45">
        <f>Sheet1!I214</f>
        <v/>
      </c>
      <c r="J214" s="5">
        <f>Sheet1!M214 &amp; "," &amp; TEXT(Sheet1!N214,"dd/mm/yy")</f>
        <v/>
      </c>
      <c r="K214" s="5" t="inlineStr">
        <is>
          <t>PRINTED</t>
        </is>
      </c>
      <c r="L214" s="30" t="inlineStr">
        <is>
          <t>25/03/2026</t>
        </is>
      </c>
      <c r="M214" s="30" t="inlineStr">
        <is>
          <t>MANISH KATARIA, VICE CONSUL</t>
        </is>
      </c>
      <c r="N214" s="30" t="inlineStr">
        <is>
          <t>26/02/2026</t>
        </is>
      </c>
    </row>
    <row r="215">
      <c r="A215" s="4">
        <f>Sheet1!A215 &amp; "/" &amp; "2025"</f>
        <v/>
      </c>
      <c r="B215" s="5">
        <f>Sheet1!E215</f>
        <v/>
      </c>
      <c r="C215" s="6">
        <f>UPPER(Sheet1!B215)</f>
        <v/>
      </c>
      <c r="D215" s="7">
        <f>IF(Sheet1!F215="F","FEMALE","MALE")</f>
        <v/>
      </c>
      <c r="E215" s="6">
        <f>UPPER(Sheet1!G215)</f>
        <v/>
      </c>
      <c r="F215" s="6">
        <f>UPPER(Sheet1!H215)</f>
        <v/>
      </c>
      <c r="G215" s="5">
        <f>TEXT(Sheet1!C215,"dd/mm/yyyy") &amp; "," &amp; Sheet1!D215</f>
        <v/>
      </c>
      <c r="H215" s="38">
        <f>UPPER(Sheet1!J215 &amp; "," &amp; Sheet1!K215 &amp; "," &amp; Sheet1!L215)</f>
        <v/>
      </c>
      <c r="I215" s="45">
        <f>Sheet1!I215</f>
        <v/>
      </c>
      <c r="J215" s="5">
        <f>Sheet1!M215 &amp; "," &amp; TEXT(Sheet1!N215,"dd/mm/yy")</f>
        <v/>
      </c>
      <c r="K215" s="5" t="inlineStr">
        <is>
          <t>PRINTED</t>
        </is>
      </c>
      <c r="L215" s="30" t="inlineStr">
        <is>
          <t>25/03/2026</t>
        </is>
      </c>
      <c r="M215" s="30" t="inlineStr">
        <is>
          <t>MANISH KATARIA, VICE CONSUL</t>
        </is>
      </c>
      <c r="N215" s="30" t="inlineStr">
        <is>
          <t>26/02/2026</t>
        </is>
      </c>
    </row>
    <row r="216">
      <c r="A216" s="4">
        <f>Sheet1!A216 &amp; "/" &amp; "2025"</f>
        <v/>
      </c>
      <c r="B216" s="5">
        <f>Sheet1!E216</f>
        <v/>
      </c>
      <c r="C216" s="6">
        <f>UPPER(Sheet1!B216)</f>
        <v/>
      </c>
      <c r="D216" s="7">
        <f>IF(Sheet1!F216="F","FEMALE","MALE")</f>
        <v/>
      </c>
      <c r="E216" s="6">
        <f>UPPER(Sheet1!G216)</f>
        <v/>
      </c>
      <c r="F216" s="6">
        <f>UPPER(Sheet1!H216)</f>
        <v/>
      </c>
      <c r="G216" s="5">
        <f>TEXT(Sheet1!C216,"dd/mm/yyyy") &amp; "," &amp; Sheet1!D216</f>
        <v/>
      </c>
      <c r="H216" s="38">
        <f>UPPER(Sheet1!J216 &amp; "," &amp; Sheet1!K216 &amp; "," &amp; Sheet1!L216)</f>
        <v/>
      </c>
      <c r="I216" s="45">
        <f>Sheet1!I216</f>
        <v/>
      </c>
      <c r="J216" s="5">
        <f>Sheet1!M216 &amp; "," &amp; TEXT(Sheet1!N216,"dd/mm/yy")</f>
        <v/>
      </c>
      <c r="K216" s="5" t="inlineStr">
        <is>
          <t>PRINTED</t>
        </is>
      </c>
      <c r="L216" s="30" t="inlineStr">
        <is>
          <t>25/03/2026</t>
        </is>
      </c>
      <c r="M216" s="30" t="inlineStr">
        <is>
          <t>MANISH KATARIA, VICE CONSUL</t>
        </is>
      </c>
      <c r="N216" s="30" t="inlineStr">
        <is>
          <t>26/02/2026</t>
        </is>
      </c>
    </row>
    <row r="217">
      <c r="A217" s="4">
        <f>Sheet1!A217 &amp; "/" &amp; "2025"</f>
        <v/>
      </c>
      <c r="B217" s="5">
        <f>Sheet1!E217</f>
        <v/>
      </c>
      <c r="C217" s="6">
        <f>UPPER(Sheet1!B217)</f>
        <v/>
      </c>
      <c r="D217" s="7">
        <f>IF(Sheet1!F217="F","FEMALE","MALE")</f>
        <v/>
      </c>
      <c r="E217" s="6">
        <f>UPPER(Sheet1!G217)</f>
        <v/>
      </c>
      <c r="F217" s="6">
        <f>UPPER(Sheet1!H217)</f>
        <v/>
      </c>
      <c r="G217" s="5">
        <f>TEXT(Sheet1!C217,"dd/mm/yyyy") &amp; "," &amp; Sheet1!D217</f>
        <v/>
      </c>
      <c r="H217" s="38">
        <f>UPPER(Sheet1!J217 &amp; "," &amp; Sheet1!K217 &amp; "," &amp; Sheet1!L217)</f>
        <v/>
      </c>
      <c r="I217" s="45">
        <f>Sheet1!I217</f>
        <v/>
      </c>
      <c r="J217" s="5">
        <f>Sheet1!M217 &amp; "," &amp; TEXT(Sheet1!N217,"dd/mm/yy")</f>
        <v/>
      </c>
      <c r="K217" s="5" t="inlineStr">
        <is>
          <t>PRINTED</t>
        </is>
      </c>
      <c r="L217" s="30" t="inlineStr">
        <is>
          <t>25/03/2026</t>
        </is>
      </c>
      <c r="M217" s="30" t="inlineStr">
        <is>
          <t>MANISH KATARIA, VICE CONSUL</t>
        </is>
      </c>
      <c r="N217" s="30" t="inlineStr">
        <is>
          <t>26/02/2026</t>
        </is>
      </c>
    </row>
    <row r="218">
      <c r="A218" s="4">
        <f>Sheet1!A218 &amp; "/" &amp; "2025"</f>
        <v/>
      </c>
      <c r="B218" s="5">
        <f>Sheet1!E218</f>
        <v/>
      </c>
      <c r="C218" s="6">
        <f>UPPER(Sheet1!B218)</f>
        <v/>
      </c>
      <c r="D218" s="7">
        <f>IF(Sheet1!F218="F","FEMALE","MALE")</f>
        <v/>
      </c>
      <c r="E218" s="6">
        <f>UPPER(Sheet1!G218)</f>
        <v/>
      </c>
      <c r="F218" s="6">
        <f>UPPER(Sheet1!H218)</f>
        <v/>
      </c>
      <c r="G218" s="5">
        <f>TEXT(Sheet1!C218,"dd/mm/yyyy") &amp; "," &amp; Sheet1!D218</f>
        <v/>
      </c>
      <c r="H218" s="38">
        <f>UPPER(Sheet1!J218 &amp; "," &amp; Sheet1!K218 &amp; "," &amp; Sheet1!L218)</f>
        <v/>
      </c>
      <c r="I218" s="45">
        <f>Sheet1!I218</f>
        <v/>
      </c>
      <c r="J218" s="5">
        <f>Sheet1!M218 &amp; "," &amp; TEXT(Sheet1!N218,"dd/mm/yy")</f>
        <v/>
      </c>
      <c r="K218" s="5" t="inlineStr">
        <is>
          <t>PRINTED</t>
        </is>
      </c>
      <c r="L218" s="30" t="inlineStr">
        <is>
          <t>25/03/2026</t>
        </is>
      </c>
      <c r="M218" s="30" t="inlineStr">
        <is>
          <t>MANISH KATARIA, VICE CONSUL</t>
        </is>
      </c>
      <c r="N218" s="30" t="inlineStr">
        <is>
          <t>26/02/2026</t>
        </is>
      </c>
    </row>
    <row r="219">
      <c r="A219" s="4">
        <f>Sheet1!A219 &amp; "/" &amp; "2025"</f>
        <v/>
      </c>
      <c r="B219" s="5">
        <f>Sheet1!E219</f>
        <v/>
      </c>
      <c r="C219" s="6">
        <f>UPPER(Sheet1!B219)</f>
        <v/>
      </c>
      <c r="D219" s="7">
        <f>IF(Sheet1!F219="F","FEMALE","MALE")</f>
        <v/>
      </c>
      <c r="E219" s="6">
        <f>UPPER(Sheet1!G219)</f>
        <v/>
      </c>
      <c r="F219" s="6">
        <f>UPPER(Sheet1!H219)</f>
        <v/>
      </c>
      <c r="G219" s="5">
        <f>TEXT(Sheet1!C219,"dd/mm/yyyy") &amp; "," &amp; Sheet1!D219</f>
        <v/>
      </c>
      <c r="H219" s="38">
        <f>UPPER(Sheet1!J219 &amp; "," &amp; Sheet1!K219 &amp; "," &amp; Sheet1!L219)</f>
        <v/>
      </c>
      <c r="I219" s="45">
        <f>Sheet1!I219</f>
        <v/>
      </c>
      <c r="J219" s="5">
        <f>Sheet1!M219 &amp; "," &amp; TEXT(Sheet1!N219,"dd/mm/yy")</f>
        <v/>
      </c>
      <c r="K219" s="5" t="inlineStr">
        <is>
          <t>PRINTED</t>
        </is>
      </c>
      <c r="L219" s="30" t="inlineStr">
        <is>
          <t>25/03/2026</t>
        </is>
      </c>
      <c r="M219" s="30" t="inlineStr">
        <is>
          <t>MANISH KATARIA, VICE CONSUL</t>
        </is>
      </c>
      <c r="N219" s="30" t="inlineStr">
        <is>
          <t>26/02/2026</t>
        </is>
      </c>
    </row>
    <row r="220">
      <c r="A220" s="4">
        <f>Sheet1!A220 &amp; "/" &amp; "2025"</f>
        <v/>
      </c>
      <c r="B220" s="5">
        <f>Sheet1!E220</f>
        <v/>
      </c>
      <c r="C220" s="6">
        <f>UPPER(Sheet1!B220)</f>
        <v/>
      </c>
      <c r="D220" s="7">
        <f>IF(Sheet1!F220="F","FEMALE","MALE")</f>
        <v/>
      </c>
      <c r="E220" s="6">
        <f>UPPER(Sheet1!G220)</f>
        <v/>
      </c>
      <c r="F220" s="6">
        <f>UPPER(Sheet1!H220)</f>
        <v/>
      </c>
      <c r="G220" s="5">
        <f>TEXT(Sheet1!C220,"dd/mm/yyyy") &amp; "," &amp; Sheet1!D220</f>
        <v/>
      </c>
      <c r="H220" s="38">
        <f>UPPER(Sheet1!J220 &amp; "," &amp; Sheet1!K220 &amp; "," &amp; Sheet1!L220)</f>
        <v/>
      </c>
      <c r="I220" s="45">
        <f>Sheet1!I220</f>
        <v/>
      </c>
      <c r="J220" s="5">
        <f>Sheet1!M220 &amp; "," &amp; TEXT(Sheet1!N220,"dd/mm/yy")</f>
        <v/>
      </c>
      <c r="K220" s="5" t="inlineStr">
        <is>
          <t>PRINTED</t>
        </is>
      </c>
      <c r="L220" s="30" t="inlineStr">
        <is>
          <t>25/03/2026</t>
        </is>
      </c>
      <c r="M220" s="30" t="inlineStr">
        <is>
          <t>MANISH KATARIA, VICE CONSUL</t>
        </is>
      </c>
      <c r="N220" s="30" t="inlineStr">
        <is>
          <t>26/02/2026</t>
        </is>
      </c>
    </row>
    <row r="221">
      <c r="A221" s="4">
        <f>Sheet1!A221 &amp; "/" &amp; "2025"</f>
        <v/>
      </c>
      <c r="B221" s="5">
        <f>Sheet1!E221</f>
        <v/>
      </c>
      <c r="C221" s="6">
        <f>UPPER(Sheet1!B221)</f>
        <v/>
      </c>
      <c r="D221" s="7">
        <f>IF(Sheet1!F221="F","FEMALE","MALE")</f>
        <v/>
      </c>
      <c r="E221" s="6">
        <f>UPPER(Sheet1!G221)</f>
        <v/>
      </c>
      <c r="F221" s="6">
        <f>UPPER(Sheet1!H221)</f>
        <v/>
      </c>
      <c r="G221" s="5">
        <f>TEXT(Sheet1!C221,"dd/mm/yyyy") &amp; "," &amp; Sheet1!D221</f>
        <v/>
      </c>
      <c r="H221" s="38">
        <f>UPPER(Sheet1!J221 &amp; "," &amp; Sheet1!K221 &amp; "," &amp; Sheet1!L221)</f>
        <v/>
      </c>
      <c r="I221" s="45">
        <f>Sheet1!I221</f>
        <v/>
      </c>
      <c r="J221" s="5">
        <f>Sheet1!M221 &amp; "," &amp; TEXT(Sheet1!N221,"dd/mm/yy")</f>
        <v/>
      </c>
      <c r="K221" s="5" t="inlineStr">
        <is>
          <t>PRINTED</t>
        </is>
      </c>
      <c r="L221" s="30" t="inlineStr">
        <is>
          <t>25/03/2026</t>
        </is>
      </c>
      <c r="M221" s="30" t="inlineStr">
        <is>
          <t>MANISH KATARIA, VICE CONSUL</t>
        </is>
      </c>
      <c r="N221" s="30" t="inlineStr">
        <is>
          <t>26/02/2026</t>
        </is>
      </c>
    </row>
    <row r="222">
      <c r="A222" s="4">
        <f>Sheet1!A222 &amp; "/" &amp; "2025"</f>
        <v/>
      </c>
      <c r="B222" s="5">
        <f>Sheet1!E222</f>
        <v/>
      </c>
      <c r="C222" s="6">
        <f>UPPER(Sheet1!B222)</f>
        <v/>
      </c>
      <c r="D222" s="7">
        <f>IF(Sheet1!F222="F","FEMALE","MALE")</f>
        <v/>
      </c>
      <c r="E222" s="6">
        <f>UPPER(Sheet1!G222)</f>
        <v/>
      </c>
      <c r="F222" s="6">
        <f>UPPER(Sheet1!H222)</f>
        <v/>
      </c>
      <c r="G222" s="5">
        <f>TEXT(Sheet1!C222,"dd/mm/yyyy") &amp; "," &amp; Sheet1!D222</f>
        <v/>
      </c>
      <c r="H222" s="38">
        <f>UPPER(Sheet1!J222 &amp; "," &amp; Sheet1!K222 &amp; "," &amp; Sheet1!L222)</f>
        <v/>
      </c>
      <c r="I222" s="45">
        <f>Sheet1!I222</f>
        <v/>
      </c>
      <c r="J222" s="5">
        <f>Sheet1!M222 &amp; "," &amp; TEXT(Sheet1!N222,"dd/mm/yy")</f>
        <v/>
      </c>
      <c r="K222" s="5" t="inlineStr">
        <is>
          <t>PRINTED</t>
        </is>
      </c>
      <c r="L222" s="30" t="inlineStr">
        <is>
          <t>25/03/2026</t>
        </is>
      </c>
      <c r="M222" s="30" t="inlineStr">
        <is>
          <t>MANISH KATARIA, VICE CONSUL</t>
        </is>
      </c>
      <c r="N222" s="30" t="inlineStr">
        <is>
          <t>26/02/2026</t>
        </is>
      </c>
    </row>
    <row r="223">
      <c r="A223" s="4">
        <f>Sheet1!A223 &amp; "/" &amp; "2025"</f>
        <v/>
      </c>
      <c r="B223" s="5">
        <f>Sheet1!E223</f>
        <v/>
      </c>
      <c r="C223" s="6">
        <f>UPPER(Sheet1!B223)</f>
        <v/>
      </c>
      <c r="D223" s="7">
        <f>IF(Sheet1!F223="F","FEMALE","MALE")</f>
        <v/>
      </c>
      <c r="E223" s="6">
        <f>UPPER(Sheet1!G223)</f>
        <v/>
      </c>
      <c r="F223" s="6">
        <f>UPPER(Sheet1!H223)</f>
        <v/>
      </c>
      <c r="G223" s="5">
        <f>TEXT(Sheet1!C223,"dd/mm/yyyy") &amp; "," &amp; Sheet1!D223</f>
        <v/>
      </c>
      <c r="H223" s="38">
        <f>UPPER(Sheet1!J223 &amp; "," &amp; Sheet1!K223 &amp; "," &amp; Sheet1!L223)</f>
        <v/>
      </c>
      <c r="I223" s="45">
        <f>Sheet1!I223</f>
        <v/>
      </c>
      <c r="J223" s="5">
        <f>Sheet1!M223 &amp; "," &amp; TEXT(Sheet1!N223,"dd/mm/yy")</f>
        <v/>
      </c>
      <c r="K223" s="5" t="inlineStr">
        <is>
          <t>PRINTED</t>
        </is>
      </c>
      <c r="L223" s="30" t="inlineStr">
        <is>
          <t>25/03/2026</t>
        </is>
      </c>
      <c r="M223" s="30" t="inlineStr">
        <is>
          <t>MANISH KATARIA, VICE CONSUL</t>
        </is>
      </c>
      <c r="N223" s="30" t="inlineStr">
        <is>
          <t>26/02/2026</t>
        </is>
      </c>
    </row>
    <row r="224">
      <c r="A224" s="4">
        <f>Sheet1!A224 &amp; "/" &amp; "2025"</f>
        <v/>
      </c>
      <c r="B224" s="5">
        <f>Sheet1!E224</f>
        <v/>
      </c>
      <c r="C224" s="6">
        <f>UPPER(Sheet1!B224)</f>
        <v/>
      </c>
      <c r="D224" s="7">
        <f>IF(Sheet1!F224="F","FEMALE","MALE")</f>
        <v/>
      </c>
      <c r="E224" s="6">
        <f>UPPER(Sheet1!G224)</f>
        <v/>
      </c>
      <c r="F224" s="6">
        <f>UPPER(Sheet1!H224)</f>
        <v/>
      </c>
      <c r="G224" s="5">
        <f>TEXT(Sheet1!C224,"dd/mm/yyyy") &amp; "," &amp; Sheet1!D224</f>
        <v/>
      </c>
      <c r="H224" s="38">
        <f>UPPER(Sheet1!J224 &amp; "," &amp; Sheet1!K224 &amp; "," &amp; Sheet1!L224)</f>
        <v/>
      </c>
      <c r="I224" s="45">
        <f>Sheet1!I224</f>
        <v/>
      </c>
      <c r="J224" s="5">
        <f>Sheet1!M224 &amp; "," &amp; TEXT(Sheet1!N224,"dd/mm/yy")</f>
        <v/>
      </c>
      <c r="K224" s="5" t="inlineStr">
        <is>
          <t>PRINTED</t>
        </is>
      </c>
      <c r="L224" s="30" t="inlineStr">
        <is>
          <t>25/03/2026</t>
        </is>
      </c>
      <c r="M224" s="30" t="inlineStr">
        <is>
          <t>MANISH KATARIA, VICE CONSUL</t>
        </is>
      </c>
      <c r="N224" s="30" t="inlineStr">
        <is>
          <t>26/02/2026</t>
        </is>
      </c>
    </row>
    <row r="225">
      <c r="A225" s="4">
        <f>Sheet1!A225 &amp; "/" &amp; "2025"</f>
        <v/>
      </c>
      <c r="B225" s="5">
        <f>Sheet1!E225</f>
        <v/>
      </c>
      <c r="C225" s="6">
        <f>UPPER(Sheet1!B225)</f>
        <v/>
      </c>
      <c r="D225" s="7">
        <f>IF(Sheet1!F225="F","FEMALE","MALE")</f>
        <v/>
      </c>
      <c r="E225" s="6">
        <f>UPPER(Sheet1!G225)</f>
        <v/>
      </c>
      <c r="F225" s="6">
        <f>UPPER(Sheet1!H225)</f>
        <v/>
      </c>
      <c r="G225" s="5">
        <f>TEXT(Sheet1!C225,"dd/mm/yyyy") &amp; "," &amp; Sheet1!D225</f>
        <v/>
      </c>
      <c r="H225" s="38">
        <f>UPPER(Sheet1!J225 &amp; "," &amp; Sheet1!K225 &amp; "," &amp; Sheet1!L225)</f>
        <v/>
      </c>
      <c r="I225" s="45">
        <f>Sheet1!I225</f>
        <v/>
      </c>
      <c r="J225" s="5">
        <f>Sheet1!M225 &amp; "," &amp; TEXT(Sheet1!N225,"dd/mm/yy")</f>
        <v/>
      </c>
      <c r="K225" s="5" t="inlineStr">
        <is>
          <t>PRINTED</t>
        </is>
      </c>
      <c r="L225" s="30" t="inlineStr">
        <is>
          <t>25/03/2026</t>
        </is>
      </c>
      <c r="M225" s="30" t="inlineStr">
        <is>
          <t>MANISH KATARIA, VICE CONSUL</t>
        </is>
      </c>
      <c r="N225" s="30" t="inlineStr">
        <is>
          <t>26/02/2026</t>
        </is>
      </c>
    </row>
    <row r="226">
      <c r="A226" s="4">
        <f>Sheet1!A226 &amp; "/" &amp; "2025"</f>
        <v/>
      </c>
      <c r="B226" s="5">
        <f>Sheet1!E226</f>
        <v/>
      </c>
      <c r="C226" s="6">
        <f>UPPER(Sheet1!B226)</f>
        <v/>
      </c>
      <c r="D226" s="7">
        <f>IF(Sheet1!F226="F","FEMALE","MALE")</f>
        <v/>
      </c>
      <c r="E226" s="6">
        <f>UPPER(Sheet1!G226)</f>
        <v/>
      </c>
      <c r="F226" s="6">
        <f>UPPER(Sheet1!H226)</f>
        <v/>
      </c>
      <c r="G226" s="5">
        <f>TEXT(Sheet1!C226,"dd/mm/yyyy") &amp; "," &amp; Sheet1!D226</f>
        <v/>
      </c>
      <c r="H226" s="38">
        <f>UPPER(Sheet1!J226 &amp; "," &amp; Sheet1!K226 &amp; "," &amp; Sheet1!L226)</f>
        <v/>
      </c>
      <c r="I226" s="45">
        <f>Sheet1!I226</f>
        <v/>
      </c>
      <c r="J226" s="5">
        <f>Sheet1!M226 &amp; "," &amp; TEXT(Sheet1!N226,"dd/mm/yy")</f>
        <v/>
      </c>
      <c r="K226" s="5" t="inlineStr">
        <is>
          <t>PRINTED</t>
        </is>
      </c>
      <c r="L226" s="30" t="inlineStr">
        <is>
          <t>25/03/2026</t>
        </is>
      </c>
      <c r="M226" s="30" t="inlineStr">
        <is>
          <t>MANISH KATARIA, VICE CONSUL</t>
        </is>
      </c>
      <c r="N226" s="30" t="inlineStr">
        <is>
          <t>26/02/2026</t>
        </is>
      </c>
    </row>
    <row r="227">
      <c r="A227" s="4">
        <f>Sheet1!A227 &amp; "/" &amp; "2025"</f>
        <v/>
      </c>
      <c r="B227" s="5">
        <f>Sheet1!E227</f>
        <v/>
      </c>
      <c r="C227" s="6">
        <f>UPPER(Sheet1!B227)</f>
        <v/>
      </c>
      <c r="D227" s="7">
        <f>IF(Sheet1!F227="F","FEMALE","MALE")</f>
        <v/>
      </c>
      <c r="E227" s="6">
        <f>UPPER(Sheet1!G227)</f>
        <v/>
      </c>
      <c r="F227" s="6">
        <f>UPPER(Sheet1!H227)</f>
        <v/>
      </c>
      <c r="G227" s="5">
        <f>TEXT(Sheet1!C227,"dd/mm/yyyy") &amp; "," &amp; Sheet1!D227</f>
        <v/>
      </c>
      <c r="H227" s="38">
        <f>UPPER(Sheet1!J227 &amp; "," &amp; Sheet1!K227 &amp; "," &amp; Sheet1!L227)</f>
        <v/>
      </c>
      <c r="I227" s="45">
        <f>Sheet1!I227</f>
        <v/>
      </c>
      <c r="J227" s="5">
        <f>Sheet1!M227 &amp; "," &amp; TEXT(Sheet1!N227,"dd/mm/yy")</f>
        <v/>
      </c>
      <c r="K227" s="5" t="inlineStr">
        <is>
          <t>PRINTED</t>
        </is>
      </c>
      <c r="L227" s="30" t="inlineStr">
        <is>
          <t>25/03/2026</t>
        </is>
      </c>
      <c r="M227" s="30" t="inlineStr">
        <is>
          <t>MANISH KATARIA, VICE CONSUL</t>
        </is>
      </c>
      <c r="N227" s="30" t="inlineStr">
        <is>
          <t>26/02/2026</t>
        </is>
      </c>
    </row>
    <row r="228">
      <c r="A228" s="4">
        <f>Sheet1!A228 &amp; "/" &amp; "2025"</f>
        <v/>
      </c>
      <c r="B228" s="5">
        <f>Sheet1!E228</f>
        <v/>
      </c>
      <c r="C228" s="6">
        <f>UPPER(Sheet1!B228)</f>
        <v/>
      </c>
      <c r="D228" s="7">
        <f>IF(Sheet1!F228="F","FEMALE","MALE")</f>
        <v/>
      </c>
      <c r="E228" s="6">
        <f>UPPER(Sheet1!G228)</f>
        <v/>
      </c>
      <c r="F228" s="6">
        <f>UPPER(Sheet1!H228)</f>
        <v/>
      </c>
      <c r="G228" s="5">
        <f>TEXT(Sheet1!C228,"dd/mm/yyyy") &amp; "," &amp; Sheet1!D228</f>
        <v/>
      </c>
      <c r="H228" s="38">
        <f>UPPER(Sheet1!J228 &amp; "," &amp; Sheet1!K228 &amp; "," &amp; Sheet1!L228)</f>
        <v/>
      </c>
      <c r="I228" s="45">
        <f>Sheet1!I228</f>
        <v/>
      </c>
      <c r="J228" s="5">
        <f>Sheet1!M228 &amp; "," &amp; TEXT(Sheet1!N228,"dd/mm/yy")</f>
        <v/>
      </c>
      <c r="K228" s="5" t="inlineStr">
        <is>
          <t>PRINTED</t>
        </is>
      </c>
      <c r="L228" s="30" t="inlineStr">
        <is>
          <t>25/03/2026</t>
        </is>
      </c>
      <c r="M228" s="30" t="inlineStr">
        <is>
          <t>MANISH KATARIA, VICE CONSUL</t>
        </is>
      </c>
      <c r="N228" s="30" t="inlineStr">
        <is>
          <t>26/02/2026</t>
        </is>
      </c>
    </row>
    <row r="229">
      <c r="A229" s="4">
        <f>Sheet1!A229 &amp; "/" &amp; "2025"</f>
        <v/>
      </c>
      <c r="B229" s="5">
        <f>Sheet1!E229</f>
        <v/>
      </c>
      <c r="C229" s="6">
        <f>UPPER(Sheet1!B229)</f>
        <v/>
      </c>
      <c r="D229" s="7">
        <f>IF(Sheet1!F229="F","FEMALE","MALE")</f>
        <v/>
      </c>
      <c r="E229" s="6">
        <f>UPPER(Sheet1!G229)</f>
        <v/>
      </c>
      <c r="F229" s="6">
        <f>UPPER(Sheet1!H229)</f>
        <v/>
      </c>
      <c r="G229" s="5">
        <f>TEXT(Sheet1!C229,"dd/mm/yyyy") &amp; "," &amp; Sheet1!D229</f>
        <v/>
      </c>
      <c r="H229" s="38">
        <f>UPPER(Sheet1!J229 &amp; "," &amp; Sheet1!K229 &amp; "," &amp; Sheet1!L229)</f>
        <v/>
      </c>
      <c r="I229" s="45">
        <f>Sheet1!I229</f>
        <v/>
      </c>
      <c r="J229" s="5">
        <f>Sheet1!M229 &amp; "," &amp; TEXT(Sheet1!N229,"dd/mm/yy")</f>
        <v/>
      </c>
      <c r="K229" s="5" t="inlineStr">
        <is>
          <t>PRINTED</t>
        </is>
      </c>
      <c r="L229" s="30" t="inlineStr">
        <is>
          <t>25/03/2026</t>
        </is>
      </c>
      <c r="M229" s="30" t="inlineStr">
        <is>
          <t>MANISH KATARIA, VICE CONSUL</t>
        </is>
      </c>
      <c r="N229" s="30" t="inlineStr">
        <is>
          <t>26/02/2026</t>
        </is>
      </c>
    </row>
    <row r="230">
      <c r="A230" s="4">
        <f>Sheet1!A230 &amp; "/" &amp; "2025"</f>
        <v/>
      </c>
      <c r="B230" s="5">
        <f>Sheet1!E230</f>
        <v/>
      </c>
      <c r="C230" s="6">
        <f>UPPER(Sheet1!B230)</f>
        <v/>
      </c>
      <c r="D230" s="7">
        <f>IF(Sheet1!F230="F","FEMALE","MALE")</f>
        <v/>
      </c>
      <c r="E230" s="6">
        <f>UPPER(Sheet1!G230)</f>
        <v/>
      </c>
      <c r="F230" s="6">
        <f>UPPER(Sheet1!H230)</f>
        <v/>
      </c>
      <c r="G230" s="5">
        <f>TEXT(Sheet1!C230,"dd/mm/yyyy") &amp; "," &amp; Sheet1!D230</f>
        <v/>
      </c>
      <c r="H230" s="38">
        <f>UPPER(Sheet1!J230 &amp; "," &amp; Sheet1!K230 &amp; "," &amp; Sheet1!L230)</f>
        <v/>
      </c>
      <c r="I230" s="45">
        <f>Sheet1!I230</f>
        <v/>
      </c>
      <c r="J230" s="5">
        <f>Sheet1!M230 &amp; "," &amp; TEXT(Sheet1!N230,"dd/mm/yy")</f>
        <v/>
      </c>
      <c r="K230" s="5" t="inlineStr">
        <is>
          <t>PRINTED</t>
        </is>
      </c>
      <c r="L230" s="30" t="inlineStr">
        <is>
          <t>25/03/2026</t>
        </is>
      </c>
      <c r="M230" s="30" t="inlineStr">
        <is>
          <t>MANISH KATARIA, VICE CONSUL</t>
        </is>
      </c>
      <c r="N230" s="30" t="inlineStr">
        <is>
          <t>26/02/2026</t>
        </is>
      </c>
    </row>
    <row r="231">
      <c r="A231" s="4">
        <f>Sheet1!A231 &amp; "/" &amp; "2025"</f>
        <v/>
      </c>
      <c r="B231" s="5">
        <f>Sheet1!E231</f>
        <v/>
      </c>
      <c r="C231" s="6">
        <f>UPPER(Sheet1!B231)</f>
        <v/>
      </c>
      <c r="D231" s="7">
        <f>IF(Sheet1!F231="F","FEMALE","MALE")</f>
        <v/>
      </c>
      <c r="E231" s="6">
        <f>UPPER(Sheet1!G231)</f>
        <v/>
      </c>
      <c r="F231" s="6">
        <f>UPPER(Sheet1!H231)</f>
        <v/>
      </c>
      <c r="G231" s="5">
        <f>TEXT(Sheet1!C231,"dd/mm/yyyy") &amp; "," &amp; Sheet1!D231</f>
        <v/>
      </c>
      <c r="H231" s="38">
        <f>UPPER(Sheet1!J231 &amp; "," &amp; Sheet1!K231 &amp; "," &amp; Sheet1!L231)</f>
        <v/>
      </c>
      <c r="I231" s="45">
        <f>Sheet1!I231</f>
        <v/>
      </c>
      <c r="J231" s="5">
        <f>Sheet1!M231 &amp; "," &amp; TEXT(Sheet1!N231,"dd/mm/yy")</f>
        <v/>
      </c>
      <c r="K231" s="5" t="inlineStr">
        <is>
          <t>PRINTED</t>
        </is>
      </c>
      <c r="L231" s="30" t="inlineStr">
        <is>
          <t>25/03/2026</t>
        </is>
      </c>
      <c r="M231" s="30" t="inlineStr">
        <is>
          <t>MANISH KATARIA, VICE CONSUL</t>
        </is>
      </c>
      <c r="N231" s="30" t="inlineStr">
        <is>
          <t>26/02/2026</t>
        </is>
      </c>
    </row>
    <row r="232">
      <c r="A232" s="4">
        <f>Sheet1!A232 &amp; "/" &amp; "2025"</f>
        <v/>
      </c>
      <c r="B232" s="5">
        <f>Sheet1!E232</f>
        <v/>
      </c>
      <c r="C232" s="6">
        <f>UPPER(Sheet1!B232)</f>
        <v/>
      </c>
      <c r="D232" s="7">
        <f>IF(Sheet1!F232="F","FEMALE","MALE")</f>
        <v/>
      </c>
      <c r="E232" s="6">
        <f>UPPER(Sheet1!G232)</f>
        <v/>
      </c>
      <c r="F232" s="6">
        <f>UPPER(Sheet1!H232)</f>
        <v/>
      </c>
      <c r="G232" s="5">
        <f>TEXT(Sheet1!C232,"dd/mm/yyyy") &amp; "," &amp; Sheet1!D232</f>
        <v/>
      </c>
      <c r="H232" s="38">
        <f>UPPER(Sheet1!J232 &amp; "," &amp; Sheet1!K232 &amp; "," &amp; Sheet1!L232)</f>
        <v/>
      </c>
      <c r="I232" s="45">
        <f>Sheet1!I232</f>
        <v/>
      </c>
      <c r="J232" s="5">
        <f>Sheet1!M232 &amp; "," &amp; TEXT(Sheet1!N232,"dd/mm/yy")</f>
        <v/>
      </c>
      <c r="K232" s="5" t="inlineStr">
        <is>
          <t>PRINTED</t>
        </is>
      </c>
      <c r="L232" s="30" t="inlineStr">
        <is>
          <t>25/03/2026</t>
        </is>
      </c>
      <c r="M232" s="30" t="inlineStr">
        <is>
          <t>MANISH KATARIA, VICE CONSUL</t>
        </is>
      </c>
      <c r="N232" s="30" t="inlineStr">
        <is>
          <t>26/02/2026</t>
        </is>
      </c>
    </row>
    <row r="233">
      <c r="A233" s="4">
        <f>Sheet1!A233 &amp; "/" &amp; "2025"</f>
        <v/>
      </c>
      <c r="B233" s="5">
        <f>Sheet1!E233</f>
        <v/>
      </c>
      <c r="C233" s="6">
        <f>UPPER(Sheet1!B233)</f>
        <v/>
      </c>
      <c r="D233" s="7">
        <f>IF(Sheet1!F233="F","FEMALE","MALE")</f>
        <v/>
      </c>
      <c r="E233" s="6">
        <f>UPPER(Sheet1!G233)</f>
        <v/>
      </c>
      <c r="F233" s="6">
        <f>UPPER(Sheet1!H233)</f>
        <v/>
      </c>
      <c r="G233" s="5">
        <f>TEXT(Sheet1!C233,"dd/mm/yyyy") &amp; "," &amp; Sheet1!D233</f>
        <v/>
      </c>
      <c r="H233" s="38">
        <f>UPPER(Sheet1!J233 &amp; "," &amp; Sheet1!K233 &amp; "," &amp; Sheet1!L233)</f>
        <v/>
      </c>
      <c r="I233" s="45">
        <f>Sheet1!I233</f>
        <v/>
      </c>
      <c r="J233" s="5">
        <f>Sheet1!M233 &amp; "," &amp; TEXT(Sheet1!N233,"dd/mm/yy")</f>
        <v/>
      </c>
      <c r="K233" s="5" t="inlineStr">
        <is>
          <t>PRINTED</t>
        </is>
      </c>
      <c r="L233" s="30" t="inlineStr">
        <is>
          <t>25/03/2026</t>
        </is>
      </c>
      <c r="M233" s="30" t="inlineStr">
        <is>
          <t>MANISH KATARIA, VICE CONSUL</t>
        </is>
      </c>
      <c r="N233" s="30" t="inlineStr">
        <is>
          <t>26/02/2026</t>
        </is>
      </c>
    </row>
    <row r="234">
      <c r="A234" s="4">
        <f>Sheet1!A234 &amp; "/" &amp; "2025"</f>
        <v/>
      </c>
      <c r="B234" s="5">
        <f>Sheet1!E234</f>
        <v/>
      </c>
      <c r="C234" s="6">
        <f>UPPER(Sheet1!B234)</f>
        <v/>
      </c>
      <c r="D234" s="7">
        <f>IF(Sheet1!F234="F","FEMALE","MALE")</f>
        <v/>
      </c>
      <c r="E234" s="6">
        <f>UPPER(Sheet1!G234)</f>
        <v/>
      </c>
      <c r="F234" s="6">
        <f>UPPER(Sheet1!H234)</f>
        <v/>
      </c>
      <c r="G234" s="5">
        <f>TEXT(Sheet1!C234,"dd/mm/yyyy") &amp; "," &amp; Sheet1!D234</f>
        <v/>
      </c>
      <c r="H234" s="38">
        <f>UPPER(Sheet1!J234 &amp; "," &amp; Sheet1!K234 &amp; "," &amp; Sheet1!L234)</f>
        <v/>
      </c>
      <c r="I234" s="45">
        <f>Sheet1!I234</f>
        <v/>
      </c>
      <c r="J234" s="5">
        <f>Sheet1!M234 &amp; "," &amp; TEXT(Sheet1!N234,"dd/mm/yy")</f>
        <v/>
      </c>
      <c r="K234" s="5" t="inlineStr">
        <is>
          <t>PRINTED</t>
        </is>
      </c>
      <c r="L234" s="30" t="inlineStr">
        <is>
          <t>25/03/2026</t>
        </is>
      </c>
      <c r="M234" s="30" t="inlineStr">
        <is>
          <t>MANISH KATARIA, VICE CONSUL</t>
        </is>
      </c>
      <c r="N234" s="30" t="inlineStr">
        <is>
          <t>26/02/2026</t>
        </is>
      </c>
    </row>
    <row r="235">
      <c r="A235" s="4">
        <f>Sheet1!A235 &amp; "/" &amp; "2025"</f>
        <v/>
      </c>
      <c r="B235" s="5">
        <f>Sheet1!E235</f>
        <v/>
      </c>
      <c r="C235" s="6">
        <f>UPPER(Sheet1!B235)</f>
        <v/>
      </c>
      <c r="D235" s="7">
        <f>IF(Sheet1!F235="F","FEMALE","MALE")</f>
        <v/>
      </c>
      <c r="E235" s="6">
        <f>UPPER(Sheet1!G235)</f>
        <v/>
      </c>
      <c r="F235" s="6">
        <f>UPPER(Sheet1!H235)</f>
        <v/>
      </c>
      <c r="G235" s="5">
        <f>TEXT(Sheet1!C235,"dd/mm/yyyy") &amp; "," &amp; Sheet1!D235</f>
        <v/>
      </c>
      <c r="H235" s="38">
        <f>UPPER(Sheet1!J235 &amp; "," &amp; Sheet1!K235 &amp; "," &amp; Sheet1!L235)</f>
        <v/>
      </c>
      <c r="I235" s="45">
        <f>Sheet1!I235</f>
        <v/>
      </c>
      <c r="J235" s="5">
        <f>Sheet1!M235 &amp; "," &amp; TEXT(Sheet1!N235,"dd/mm/yy")</f>
        <v/>
      </c>
      <c r="K235" s="5" t="inlineStr">
        <is>
          <t>PRINTED</t>
        </is>
      </c>
      <c r="L235" s="30" t="inlineStr">
        <is>
          <t>25/03/2026</t>
        </is>
      </c>
      <c r="M235" s="30" t="inlineStr">
        <is>
          <t>MANISH KATARIA, VICE CONSUL</t>
        </is>
      </c>
      <c r="N235" s="30" t="inlineStr">
        <is>
          <t>26/02/2026</t>
        </is>
      </c>
    </row>
    <row r="236">
      <c r="A236" s="4">
        <f>Sheet1!A236 &amp; "/" &amp; "2025"</f>
        <v/>
      </c>
      <c r="B236" s="5">
        <f>Sheet1!E236</f>
        <v/>
      </c>
      <c r="C236" s="6">
        <f>UPPER(Sheet1!B236)</f>
        <v/>
      </c>
      <c r="D236" s="7">
        <f>IF(Sheet1!F236="F","FEMALE","MALE")</f>
        <v/>
      </c>
      <c r="E236" s="6">
        <f>UPPER(Sheet1!G236)</f>
        <v/>
      </c>
      <c r="F236" s="6">
        <f>UPPER(Sheet1!H236)</f>
        <v/>
      </c>
      <c r="G236" s="5">
        <f>TEXT(Sheet1!C236,"dd/mm/yyyy") &amp; "," &amp; Sheet1!D236</f>
        <v/>
      </c>
      <c r="H236" s="38">
        <f>UPPER(Sheet1!J236 &amp; "," &amp; Sheet1!K236 &amp; "," &amp; Sheet1!L236)</f>
        <v/>
      </c>
      <c r="I236" s="45">
        <f>Sheet1!I236</f>
        <v/>
      </c>
      <c r="J236" s="5">
        <f>Sheet1!M236 &amp; "," &amp; TEXT(Sheet1!N236,"dd/mm/yy")</f>
        <v/>
      </c>
      <c r="K236" s="5" t="inlineStr">
        <is>
          <t>PRINTED</t>
        </is>
      </c>
      <c r="L236" s="30" t="inlineStr">
        <is>
          <t>25/03/2026</t>
        </is>
      </c>
      <c r="M236" s="30" t="inlineStr">
        <is>
          <t>MANISH KATARIA, VICE CONSUL</t>
        </is>
      </c>
      <c r="N236" s="30" t="inlineStr">
        <is>
          <t>26/02/2026</t>
        </is>
      </c>
    </row>
    <row r="237">
      <c r="A237" s="4">
        <f>Sheet1!A237 &amp; "/" &amp; "2025"</f>
        <v/>
      </c>
      <c r="B237" s="5">
        <f>Sheet1!E237</f>
        <v/>
      </c>
      <c r="C237" s="6">
        <f>UPPER(Sheet1!B237)</f>
        <v/>
      </c>
      <c r="D237" s="7">
        <f>IF(Sheet1!F237="F","FEMALE","MALE")</f>
        <v/>
      </c>
      <c r="E237" s="6">
        <f>UPPER(Sheet1!G237)</f>
        <v/>
      </c>
      <c r="F237" s="6">
        <f>UPPER(Sheet1!H237)</f>
        <v/>
      </c>
      <c r="G237" s="5">
        <f>TEXT(Sheet1!C237,"dd/mm/yyyy") &amp; "," &amp; Sheet1!D237</f>
        <v/>
      </c>
      <c r="H237" s="38">
        <f>UPPER(Sheet1!J237 &amp; "," &amp; Sheet1!K237 &amp; "," &amp; Sheet1!L237)</f>
        <v/>
      </c>
      <c r="I237" s="45">
        <f>Sheet1!I237</f>
        <v/>
      </c>
      <c r="J237" s="5">
        <f>Sheet1!M237 &amp; "," &amp; TEXT(Sheet1!N237,"dd/mm/yy")</f>
        <v/>
      </c>
      <c r="K237" s="5" t="inlineStr">
        <is>
          <t>PRINTED</t>
        </is>
      </c>
      <c r="L237" s="30" t="inlineStr">
        <is>
          <t>25/03/2026</t>
        </is>
      </c>
      <c r="M237" s="30" t="inlineStr">
        <is>
          <t>MANISH KATARIA, VICE CONSUL</t>
        </is>
      </c>
      <c r="N237" s="30" t="inlineStr">
        <is>
          <t>26/02/2026</t>
        </is>
      </c>
    </row>
    <row r="238">
      <c r="A238" s="4">
        <f>Sheet1!A238 &amp; "/" &amp; "2025"</f>
        <v/>
      </c>
      <c r="B238" s="5">
        <f>Sheet1!E238</f>
        <v/>
      </c>
      <c r="C238" s="6">
        <f>UPPER(Sheet1!B238)</f>
        <v/>
      </c>
      <c r="D238" s="7">
        <f>IF(Sheet1!F238="F","FEMALE","MALE")</f>
        <v/>
      </c>
      <c r="E238" s="6">
        <f>UPPER(Sheet1!G238)</f>
        <v/>
      </c>
      <c r="F238" s="6">
        <f>UPPER(Sheet1!H238)</f>
        <v/>
      </c>
      <c r="G238" s="5">
        <f>TEXT(Sheet1!C238,"dd/mm/yyyy") &amp; "," &amp; Sheet1!D238</f>
        <v/>
      </c>
      <c r="H238" s="38">
        <f>UPPER(Sheet1!J238 &amp; "," &amp; Sheet1!K238 &amp; "," &amp; Sheet1!L238)</f>
        <v/>
      </c>
      <c r="I238" s="45">
        <f>Sheet1!I238</f>
        <v/>
      </c>
      <c r="J238" s="5">
        <f>Sheet1!M238 &amp; "," &amp; TEXT(Sheet1!N238,"dd/mm/yy")</f>
        <v/>
      </c>
      <c r="K238" s="5" t="inlineStr">
        <is>
          <t>PRINTED</t>
        </is>
      </c>
      <c r="L238" s="30" t="inlineStr">
        <is>
          <t>25/03/2026</t>
        </is>
      </c>
      <c r="M238" s="30" t="inlineStr">
        <is>
          <t>MANISH KATARIA, VICE CONSUL</t>
        </is>
      </c>
      <c r="N238" s="30" t="inlineStr">
        <is>
          <t>26/02/2026</t>
        </is>
      </c>
    </row>
    <row r="239">
      <c r="A239" s="4">
        <f>Sheet1!A239 &amp; "/" &amp; "2025"</f>
        <v/>
      </c>
      <c r="B239" s="5">
        <f>Sheet1!E239</f>
        <v/>
      </c>
      <c r="C239" s="6">
        <f>UPPER(Sheet1!B239)</f>
        <v/>
      </c>
      <c r="D239" s="7">
        <f>IF(Sheet1!F239="F","FEMALE","MALE")</f>
        <v/>
      </c>
      <c r="E239" s="6">
        <f>UPPER(Sheet1!G239)</f>
        <v/>
      </c>
      <c r="F239" s="6">
        <f>UPPER(Sheet1!H239)</f>
        <v/>
      </c>
      <c r="G239" s="5">
        <f>TEXT(Sheet1!C239,"dd/mm/yyyy") &amp; "," &amp; Sheet1!D239</f>
        <v/>
      </c>
      <c r="H239" s="38">
        <f>UPPER(Sheet1!J239 &amp; "," &amp; Sheet1!K239 &amp; "," &amp; Sheet1!L239)</f>
        <v/>
      </c>
      <c r="I239" s="45">
        <f>Sheet1!I239</f>
        <v/>
      </c>
      <c r="J239" s="5">
        <f>Sheet1!M239 &amp; "," &amp; TEXT(Sheet1!N239,"dd/mm/yy")</f>
        <v/>
      </c>
      <c r="K239" s="5" t="inlineStr">
        <is>
          <t>PRINTED</t>
        </is>
      </c>
      <c r="L239" s="30" t="inlineStr">
        <is>
          <t>25/03/2026</t>
        </is>
      </c>
      <c r="M239" s="30" t="inlineStr">
        <is>
          <t>MANISH KATARIA, VICE CONSUL</t>
        </is>
      </c>
      <c r="N239" s="30" t="inlineStr">
        <is>
          <t>26/02/2026</t>
        </is>
      </c>
    </row>
    <row r="240">
      <c r="A240" s="4">
        <f>Sheet1!A240 &amp; "/" &amp; "2025"</f>
        <v/>
      </c>
      <c r="B240" s="5">
        <f>Sheet1!E240</f>
        <v/>
      </c>
      <c r="C240" s="6">
        <f>UPPER(Sheet1!B240)</f>
        <v/>
      </c>
      <c r="D240" s="7">
        <f>IF(Sheet1!F240="F","FEMALE","MALE")</f>
        <v/>
      </c>
      <c r="E240" s="6">
        <f>UPPER(Sheet1!G240)</f>
        <v/>
      </c>
      <c r="F240" s="6">
        <f>UPPER(Sheet1!H240)</f>
        <v/>
      </c>
      <c r="G240" s="5">
        <f>TEXT(Sheet1!C240,"dd/mm/yyyy") &amp; "," &amp; Sheet1!D240</f>
        <v/>
      </c>
      <c r="H240" s="38">
        <f>UPPER(Sheet1!J240 &amp; "," &amp; Sheet1!K240 &amp; "," &amp; Sheet1!L240)</f>
        <v/>
      </c>
      <c r="I240" s="45">
        <f>Sheet1!I240</f>
        <v/>
      </c>
      <c r="J240" s="5">
        <f>Sheet1!M240 &amp; "," &amp; TEXT(Sheet1!N240,"dd/mm/yy")</f>
        <v/>
      </c>
      <c r="K240" s="5" t="inlineStr">
        <is>
          <t>PRINTED</t>
        </is>
      </c>
      <c r="L240" s="30" t="inlineStr">
        <is>
          <t>25/03/2026</t>
        </is>
      </c>
      <c r="M240" s="30" t="inlineStr">
        <is>
          <t>MANISH KATARIA, VICE CONSUL</t>
        </is>
      </c>
      <c r="N240" s="30" t="inlineStr">
        <is>
          <t>26/02/2026</t>
        </is>
      </c>
    </row>
    <row r="241">
      <c r="A241" s="4">
        <f>Sheet1!A241 &amp; "/" &amp; "2025"</f>
        <v/>
      </c>
      <c r="B241" s="5">
        <f>Sheet1!E241</f>
        <v/>
      </c>
      <c r="C241" s="6">
        <f>UPPER(Sheet1!B241)</f>
        <v/>
      </c>
      <c r="D241" s="7">
        <f>IF(Sheet1!F241="F","FEMALE","MALE")</f>
        <v/>
      </c>
      <c r="E241" s="6">
        <f>UPPER(Sheet1!G241)</f>
        <v/>
      </c>
      <c r="F241" s="6">
        <f>UPPER(Sheet1!H241)</f>
        <v/>
      </c>
      <c r="G241" s="5">
        <f>TEXT(Sheet1!C241,"dd/mm/yyyy") &amp; "," &amp; Sheet1!D241</f>
        <v/>
      </c>
      <c r="H241" s="38">
        <f>UPPER(Sheet1!J241 &amp; "," &amp; Sheet1!K241 &amp; "," &amp; Sheet1!L241)</f>
        <v/>
      </c>
      <c r="I241" s="45">
        <f>Sheet1!I241</f>
        <v/>
      </c>
      <c r="J241" s="5">
        <f>Sheet1!M241 &amp; "," &amp; TEXT(Sheet1!N241,"dd/mm/yy")</f>
        <v/>
      </c>
      <c r="K241" s="5" t="inlineStr">
        <is>
          <t>PRINTED</t>
        </is>
      </c>
      <c r="L241" s="30" t="inlineStr">
        <is>
          <t>25/03/2026</t>
        </is>
      </c>
      <c r="M241" s="30" t="inlineStr">
        <is>
          <t>MANISH KATARIA, VICE CONSUL</t>
        </is>
      </c>
      <c r="N241" s="30" t="inlineStr">
        <is>
          <t>26/02/2026</t>
        </is>
      </c>
    </row>
    <row r="242">
      <c r="A242" s="4">
        <f>Sheet1!A242 &amp; "/" &amp; "2025"</f>
        <v/>
      </c>
      <c r="B242" s="5">
        <f>Sheet1!E242</f>
        <v/>
      </c>
      <c r="C242" s="6">
        <f>UPPER(Sheet1!B242)</f>
        <v/>
      </c>
      <c r="D242" s="7">
        <f>IF(Sheet1!F242="F","FEMALE","MALE")</f>
        <v/>
      </c>
      <c r="E242" s="6">
        <f>UPPER(Sheet1!G242)</f>
        <v/>
      </c>
      <c r="F242" s="6">
        <f>UPPER(Sheet1!H242)</f>
        <v/>
      </c>
      <c r="G242" s="5">
        <f>TEXT(Sheet1!C242,"dd/mm/yyyy") &amp; "," &amp; Sheet1!D242</f>
        <v/>
      </c>
      <c r="H242" s="38">
        <f>UPPER(Sheet1!J242 &amp; "," &amp; Sheet1!K242 &amp; "," &amp; Sheet1!L242)</f>
        <v/>
      </c>
      <c r="I242" s="45">
        <f>Sheet1!I242</f>
        <v/>
      </c>
      <c r="J242" s="5">
        <f>Sheet1!M242 &amp; "," &amp; TEXT(Sheet1!N242,"dd/mm/yy")</f>
        <v/>
      </c>
      <c r="K242" s="5" t="inlineStr">
        <is>
          <t>PRINTED</t>
        </is>
      </c>
      <c r="L242" s="30" t="inlineStr">
        <is>
          <t>25/03/2026</t>
        </is>
      </c>
      <c r="M242" s="30" t="inlineStr">
        <is>
          <t>MANISH KATARIA, VICE CONSUL</t>
        </is>
      </c>
      <c r="N242" s="30" t="inlineStr">
        <is>
          <t>26/02/2026</t>
        </is>
      </c>
    </row>
    <row r="243">
      <c r="A243" s="4">
        <f>Sheet1!A243 &amp; "/" &amp; "2025"</f>
        <v/>
      </c>
      <c r="B243" s="5">
        <f>Sheet1!E243</f>
        <v/>
      </c>
      <c r="C243" s="6">
        <f>UPPER(Sheet1!B243)</f>
        <v/>
      </c>
      <c r="D243" s="7">
        <f>IF(Sheet1!F243="F","FEMALE","MALE")</f>
        <v/>
      </c>
      <c r="E243" s="6">
        <f>UPPER(Sheet1!G243)</f>
        <v/>
      </c>
      <c r="F243" s="6">
        <f>UPPER(Sheet1!H243)</f>
        <v/>
      </c>
      <c r="G243" s="5">
        <f>TEXT(Sheet1!C243,"dd/mm/yyyy") &amp; "," &amp; Sheet1!D243</f>
        <v/>
      </c>
      <c r="H243" s="38">
        <f>UPPER(Sheet1!J243 &amp; "," &amp; Sheet1!K243 &amp; "," &amp; Sheet1!L243)</f>
        <v/>
      </c>
      <c r="I243" s="45">
        <f>Sheet1!I243</f>
        <v/>
      </c>
      <c r="J243" s="5">
        <f>Sheet1!M243 &amp; "," &amp; TEXT(Sheet1!N243,"dd/mm/yy")</f>
        <v/>
      </c>
      <c r="K243" s="5" t="inlineStr">
        <is>
          <t>PRINTED</t>
        </is>
      </c>
      <c r="L243" s="30" t="inlineStr">
        <is>
          <t>25/03/2026</t>
        </is>
      </c>
      <c r="M243" s="30" t="inlineStr">
        <is>
          <t>MANISH KATARIA, VICE CONSUL</t>
        </is>
      </c>
      <c r="N243" s="30" t="inlineStr">
        <is>
          <t>26/02/2026</t>
        </is>
      </c>
    </row>
    <row r="244">
      <c r="A244" s="4">
        <f>Sheet1!A244 &amp; "/" &amp; "2025"</f>
        <v/>
      </c>
      <c r="B244" s="5">
        <f>Sheet1!E244</f>
        <v/>
      </c>
      <c r="C244" s="6">
        <f>UPPER(Sheet1!B244)</f>
        <v/>
      </c>
      <c r="D244" s="7">
        <f>IF(Sheet1!F244="F","FEMALE","MALE")</f>
        <v/>
      </c>
      <c r="E244" s="6">
        <f>UPPER(Sheet1!G244)</f>
        <v/>
      </c>
      <c r="F244" s="6">
        <f>UPPER(Sheet1!H244)</f>
        <v/>
      </c>
      <c r="G244" s="5">
        <f>TEXT(Sheet1!C244,"dd/mm/yyyy") &amp; "," &amp; Sheet1!D244</f>
        <v/>
      </c>
      <c r="H244" s="38">
        <f>UPPER(Sheet1!J244 &amp; "," &amp; Sheet1!K244 &amp; "," &amp; Sheet1!L244)</f>
        <v/>
      </c>
      <c r="I244" s="45">
        <f>Sheet1!I244</f>
        <v/>
      </c>
      <c r="J244" s="5">
        <f>Sheet1!M244 &amp; "," &amp; TEXT(Sheet1!N244,"dd/mm/yy")</f>
        <v/>
      </c>
      <c r="K244" s="5" t="inlineStr">
        <is>
          <t>PRINTED</t>
        </is>
      </c>
      <c r="L244" s="30" t="inlineStr">
        <is>
          <t>25/03/2026</t>
        </is>
      </c>
      <c r="M244" s="30" t="inlineStr">
        <is>
          <t>MANISH KATARIA, VICE CONSUL</t>
        </is>
      </c>
      <c r="N244" s="30" t="inlineStr">
        <is>
          <t>26/02/2026</t>
        </is>
      </c>
    </row>
    <row r="245">
      <c r="A245" s="4">
        <f>Sheet1!A245 &amp; "/" &amp; "2025"</f>
        <v/>
      </c>
      <c r="B245" s="5">
        <f>Sheet1!E245</f>
        <v/>
      </c>
      <c r="C245" s="6">
        <f>UPPER(Sheet1!B245)</f>
        <v/>
      </c>
      <c r="D245" s="7">
        <f>IF(Sheet1!F245="F","FEMALE","MALE")</f>
        <v/>
      </c>
      <c r="E245" s="6">
        <f>UPPER(Sheet1!G245)</f>
        <v/>
      </c>
      <c r="F245" s="6">
        <f>UPPER(Sheet1!H245)</f>
        <v/>
      </c>
      <c r="G245" s="5">
        <f>TEXT(Sheet1!C245,"dd/mm/yyyy") &amp; "," &amp; Sheet1!D245</f>
        <v/>
      </c>
      <c r="H245" s="38">
        <f>UPPER(Sheet1!J245 &amp; "," &amp; Sheet1!K245 &amp; "," &amp; Sheet1!L245)</f>
        <v/>
      </c>
      <c r="I245" s="45">
        <f>Sheet1!I245</f>
        <v/>
      </c>
      <c r="J245" s="5">
        <f>Sheet1!M245 &amp; "," &amp; TEXT(Sheet1!N245,"dd/mm/yy")</f>
        <v/>
      </c>
      <c r="K245" s="5" t="inlineStr">
        <is>
          <t>PRINTED</t>
        </is>
      </c>
      <c r="L245" s="30" t="inlineStr">
        <is>
          <t>25/03/2026</t>
        </is>
      </c>
      <c r="M245" s="30" t="inlineStr">
        <is>
          <t>MANISH KATARIA, VICE CONSUL</t>
        </is>
      </c>
      <c r="N245" s="30" t="inlineStr">
        <is>
          <t>26/02/2026</t>
        </is>
      </c>
    </row>
    <row r="246">
      <c r="A246" s="4">
        <f>Sheet1!A246 &amp; "/" &amp; "2025"</f>
        <v/>
      </c>
      <c r="B246" s="5">
        <f>Sheet1!E246</f>
        <v/>
      </c>
      <c r="C246" s="6">
        <f>UPPER(Sheet1!B246)</f>
        <v/>
      </c>
      <c r="D246" s="7">
        <f>IF(Sheet1!F246="F","FEMALE","MALE")</f>
        <v/>
      </c>
      <c r="E246" s="6">
        <f>UPPER(Sheet1!G246)</f>
        <v/>
      </c>
      <c r="F246" s="6">
        <f>UPPER(Sheet1!H246)</f>
        <v/>
      </c>
      <c r="G246" s="5">
        <f>TEXT(Sheet1!C246,"dd/mm/yyyy") &amp; "," &amp; Sheet1!D246</f>
        <v/>
      </c>
      <c r="H246" s="38">
        <f>UPPER(Sheet1!J246 &amp; "," &amp; Sheet1!K246 &amp; "," &amp; Sheet1!L246)</f>
        <v/>
      </c>
      <c r="I246" s="45">
        <f>Sheet1!I246</f>
        <v/>
      </c>
      <c r="J246" s="5">
        <f>Sheet1!M246 &amp; "," &amp; TEXT(Sheet1!N246,"dd/mm/yy")</f>
        <v/>
      </c>
      <c r="K246" s="5" t="inlineStr">
        <is>
          <t>PRINTED</t>
        </is>
      </c>
      <c r="L246" s="30" t="inlineStr">
        <is>
          <t>25/03/2026</t>
        </is>
      </c>
      <c r="M246" s="30" t="inlineStr">
        <is>
          <t>MANISH KATARIA, VICE CONSUL</t>
        </is>
      </c>
      <c r="N246" s="30" t="inlineStr">
        <is>
          <t>26/02/2026</t>
        </is>
      </c>
    </row>
    <row r="247">
      <c r="A247" s="4">
        <f>Sheet1!A247 &amp; "/" &amp; "2025"</f>
        <v/>
      </c>
      <c r="B247" s="5">
        <f>Sheet1!E247</f>
        <v/>
      </c>
      <c r="C247" s="6">
        <f>UPPER(Sheet1!B247)</f>
        <v/>
      </c>
      <c r="D247" s="7">
        <f>IF(Sheet1!F247="F","FEMALE","MALE")</f>
        <v/>
      </c>
      <c r="E247" s="6">
        <f>UPPER(Sheet1!G247)</f>
        <v/>
      </c>
      <c r="F247" s="6">
        <f>UPPER(Sheet1!H247)</f>
        <v/>
      </c>
      <c r="G247" s="5">
        <f>TEXT(Sheet1!C247,"dd/mm/yyyy") &amp; "," &amp; Sheet1!D247</f>
        <v/>
      </c>
      <c r="H247" s="38">
        <f>UPPER(Sheet1!J247 &amp; "," &amp; Sheet1!K247 &amp; "," &amp; Sheet1!L247)</f>
        <v/>
      </c>
      <c r="I247" s="45">
        <f>Sheet1!I247</f>
        <v/>
      </c>
      <c r="J247" s="5">
        <f>Sheet1!M247 &amp; "," &amp; TEXT(Sheet1!N247,"dd/mm/yy")</f>
        <v/>
      </c>
      <c r="K247" s="5" t="inlineStr">
        <is>
          <t>PRINTED</t>
        </is>
      </c>
      <c r="L247" s="30" t="inlineStr">
        <is>
          <t>25/03/2026</t>
        </is>
      </c>
      <c r="M247" s="30" t="inlineStr">
        <is>
          <t>MANISH KATARIA, VICE CONSUL</t>
        </is>
      </c>
      <c r="N247" s="30" t="inlineStr">
        <is>
          <t>26/02/2026</t>
        </is>
      </c>
    </row>
    <row r="248">
      <c r="A248" s="4">
        <f>Sheet1!A248 &amp; "/" &amp; "2025"</f>
        <v/>
      </c>
      <c r="B248" s="5">
        <f>Sheet1!E248</f>
        <v/>
      </c>
      <c r="C248" s="6">
        <f>UPPER(Sheet1!B248)</f>
        <v/>
      </c>
      <c r="D248" s="7">
        <f>IF(Sheet1!F248="F","FEMALE","MALE")</f>
        <v/>
      </c>
      <c r="E248" s="6">
        <f>UPPER(Sheet1!G248)</f>
        <v/>
      </c>
      <c r="F248" s="6">
        <f>UPPER(Sheet1!H248)</f>
        <v/>
      </c>
      <c r="G248" s="5">
        <f>TEXT(Sheet1!C248,"dd/mm/yyyy") &amp; "," &amp; Sheet1!D248</f>
        <v/>
      </c>
      <c r="H248" s="38">
        <f>UPPER(Sheet1!J248 &amp; "," &amp; Sheet1!K248 &amp; "," &amp; Sheet1!L248)</f>
        <v/>
      </c>
      <c r="I248" s="45">
        <f>Sheet1!I248</f>
        <v/>
      </c>
      <c r="J248" s="5">
        <f>Sheet1!M248 &amp; "," &amp; TEXT(Sheet1!N248,"dd/mm/yy")</f>
        <v/>
      </c>
      <c r="K248" s="5" t="inlineStr">
        <is>
          <t>PRINTED</t>
        </is>
      </c>
      <c r="L248" s="30" t="inlineStr">
        <is>
          <t>25/03/2026</t>
        </is>
      </c>
      <c r="M248" s="30" t="inlineStr">
        <is>
          <t>MANISH KATARIA, VICE CONSUL</t>
        </is>
      </c>
      <c r="N248" s="30" t="inlineStr">
        <is>
          <t>26/02/2026</t>
        </is>
      </c>
    </row>
    <row r="249">
      <c r="A249" s="4">
        <f>Sheet1!A249 &amp; "/" &amp; "2025"</f>
        <v/>
      </c>
      <c r="B249" s="5">
        <f>Sheet1!E249</f>
        <v/>
      </c>
      <c r="C249" s="6">
        <f>UPPER(Sheet1!B249)</f>
        <v/>
      </c>
      <c r="D249" s="7">
        <f>IF(Sheet1!F249="F","FEMALE","MALE")</f>
        <v/>
      </c>
      <c r="E249" s="6">
        <f>UPPER(Sheet1!G249)</f>
        <v/>
      </c>
      <c r="F249" s="6">
        <f>UPPER(Sheet1!H249)</f>
        <v/>
      </c>
      <c r="G249" s="5">
        <f>TEXT(Sheet1!C249,"dd/mm/yyyy") &amp; "," &amp; Sheet1!D249</f>
        <v/>
      </c>
      <c r="H249" s="38">
        <f>UPPER(Sheet1!J249 &amp; "," &amp; Sheet1!K249 &amp; "," &amp; Sheet1!L249)</f>
        <v/>
      </c>
      <c r="I249" s="45">
        <f>Sheet1!I249</f>
        <v/>
      </c>
      <c r="J249" s="5">
        <f>Sheet1!M249 &amp; "," &amp; TEXT(Sheet1!N249,"dd/mm/yy")</f>
        <v/>
      </c>
      <c r="K249" s="5" t="inlineStr">
        <is>
          <t>PRINTED</t>
        </is>
      </c>
      <c r="L249" s="30" t="inlineStr">
        <is>
          <t>25/03/2026</t>
        </is>
      </c>
      <c r="M249" s="30" t="inlineStr">
        <is>
          <t>MANISH KATARIA, VICE CONSUL</t>
        </is>
      </c>
      <c r="N249" s="30" t="inlineStr">
        <is>
          <t>26/02/2026</t>
        </is>
      </c>
    </row>
    <row r="250">
      <c r="A250" s="4">
        <f>Sheet1!A250 &amp; "/" &amp; "2025"</f>
        <v/>
      </c>
      <c r="B250" s="5">
        <f>Sheet1!E250</f>
        <v/>
      </c>
      <c r="C250" s="6">
        <f>UPPER(Sheet1!B250)</f>
        <v/>
      </c>
      <c r="D250" s="7">
        <f>IF(Sheet1!F250="F","FEMALE","MALE")</f>
        <v/>
      </c>
      <c r="E250" s="6">
        <f>UPPER(Sheet1!G250)</f>
        <v/>
      </c>
      <c r="F250" s="6">
        <f>UPPER(Sheet1!H250)</f>
        <v/>
      </c>
      <c r="G250" s="5">
        <f>TEXT(Sheet1!C250,"dd/mm/yyyy") &amp; "," &amp; Sheet1!D250</f>
        <v/>
      </c>
      <c r="H250" s="38">
        <f>UPPER(Sheet1!J250 &amp; "," &amp; Sheet1!K250 &amp; "," &amp; Sheet1!L250)</f>
        <v/>
      </c>
      <c r="I250" s="45">
        <f>Sheet1!I250</f>
        <v/>
      </c>
      <c r="J250" s="5">
        <f>Sheet1!M250 &amp; "," &amp; TEXT(Sheet1!N250,"dd/mm/yy")</f>
        <v/>
      </c>
      <c r="K250" s="5" t="inlineStr">
        <is>
          <t>PRINTED</t>
        </is>
      </c>
      <c r="L250" s="30" t="inlineStr">
        <is>
          <t>25/03/2026</t>
        </is>
      </c>
      <c r="M250" s="30" t="inlineStr">
        <is>
          <t>MANISH KATARIA, VICE CONSUL</t>
        </is>
      </c>
      <c r="N250" s="30" t="inlineStr">
        <is>
          <t>26/02/2026</t>
        </is>
      </c>
    </row>
    <row r="251">
      <c r="A251" s="4">
        <f>Sheet1!A251 &amp; "/" &amp; "2025"</f>
        <v/>
      </c>
      <c r="B251" s="5">
        <f>Sheet1!E251</f>
        <v/>
      </c>
      <c r="C251" s="6">
        <f>UPPER(Sheet1!B251)</f>
        <v/>
      </c>
      <c r="D251" s="7">
        <f>IF(Sheet1!F251="F","FEMALE","MALE")</f>
        <v/>
      </c>
      <c r="E251" s="6">
        <f>UPPER(Sheet1!G251)</f>
        <v/>
      </c>
      <c r="F251" s="6">
        <f>UPPER(Sheet1!H251)</f>
        <v/>
      </c>
      <c r="G251" s="5">
        <f>TEXT(Sheet1!C251,"dd/mm/yyyy") &amp; "," &amp; Sheet1!D251</f>
        <v/>
      </c>
      <c r="H251" s="38">
        <f>UPPER(Sheet1!J251 &amp; "," &amp; Sheet1!K251 &amp; "," &amp; Sheet1!L251)</f>
        <v/>
      </c>
      <c r="I251" s="45">
        <f>Sheet1!I251</f>
        <v/>
      </c>
      <c r="J251" s="5">
        <f>Sheet1!M251 &amp; "," &amp; TEXT(Sheet1!N251,"dd/mm/yy")</f>
        <v/>
      </c>
      <c r="K251" s="5" t="inlineStr">
        <is>
          <t>PRINTED</t>
        </is>
      </c>
      <c r="L251" s="30" t="inlineStr">
        <is>
          <t>25/03/2026</t>
        </is>
      </c>
      <c r="M251" s="30" t="inlineStr">
        <is>
          <t>MANISH KATARIA, VICE CONSUL</t>
        </is>
      </c>
      <c r="N251" s="30" t="inlineStr">
        <is>
          <t>26/02/2026</t>
        </is>
      </c>
    </row>
    <row r="252">
      <c r="A252" s="4">
        <f>Sheet1!A252 &amp; "/" &amp; "2025"</f>
        <v/>
      </c>
      <c r="B252" s="5">
        <f>Sheet1!E252</f>
        <v/>
      </c>
      <c r="C252" s="6">
        <f>UPPER(Sheet1!B252)</f>
        <v/>
      </c>
      <c r="D252" s="7">
        <f>IF(Sheet1!F252="F","FEMALE","MALE")</f>
        <v/>
      </c>
      <c r="E252" s="6">
        <f>UPPER(Sheet1!G252)</f>
        <v/>
      </c>
      <c r="F252" s="6">
        <f>UPPER(Sheet1!H252)</f>
        <v/>
      </c>
      <c r="G252" s="5">
        <f>TEXT(Sheet1!C252,"dd/mm/yyyy") &amp; "," &amp; Sheet1!D252</f>
        <v/>
      </c>
      <c r="H252" s="38">
        <f>UPPER(Sheet1!J252 &amp; "," &amp; Sheet1!K252 &amp; "," &amp; Sheet1!L252)</f>
        <v/>
      </c>
      <c r="I252" s="45">
        <f>Sheet1!I252</f>
        <v/>
      </c>
      <c r="J252" s="5">
        <f>Sheet1!M252 &amp; "," &amp; TEXT(Sheet1!N252,"dd/mm/yy")</f>
        <v/>
      </c>
      <c r="K252" s="5" t="inlineStr">
        <is>
          <t>PRINTED</t>
        </is>
      </c>
      <c r="L252" s="30" t="inlineStr">
        <is>
          <t>25/03/2026</t>
        </is>
      </c>
      <c r="M252" s="30" t="inlineStr">
        <is>
          <t>MANISH KATARIA, VICE CONSUL</t>
        </is>
      </c>
      <c r="N252" s="30" t="inlineStr">
        <is>
          <t>26/02/2026</t>
        </is>
      </c>
    </row>
    <row r="253">
      <c r="A253" s="4">
        <f>Sheet1!A253 &amp; "/" &amp; "2025"</f>
        <v/>
      </c>
      <c r="B253" s="5">
        <f>Sheet1!E253</f>
        <v/>
      </c>
      <c r="C253" s="6">
        <f>UPPER(Sheet1!B253)</f>
        <v/>
      </c>
      <c r="D253" s="7">
        <f>IF(Sheet1!F253="F","FEMALE","MALE")</f>
        <v/>
      </c>
      <c r="E253" s="6">
        <f>UPPER(Sheet1!G253)</f>
        <v/>
      </c>
      <c r="F253" s="6">
        <f>UPPER(Sheet1!H253)</f>
        <v/>
      </c>
      <c r="G253" s="5">
        <f>TEXT(Sheet1!C253,"dd/mm/yyyy") &amp; "," &amp; Sheet1!D253</f>
        <v/>
      </c>
      <c r="H253" s="38">
        <f>UPPER(Sheet1!J253 &amp; "," &amp; Sheet1!K253 &amp; "," &amp; Sheet1!L253)</f>
        <v/>
      </c>
      <c r="I253" s="45">
        <f>Sheet1!I253</f>
        <v/>
      </c>
      <c r="J253" s="5">
        <f>Sheet1!M253 &amp; "," &amp; TEXT(Sheet1!N253,"dd/mm/yy")</f>
        <v/>
      </c>
      <c r="K253" s="5" t="inlineStr">
        <is>
          <t>PRINTED</t>
        </is>
      </c>
      <c r="L253" s="30" t="inlineStr">
        <is>
          <t>25/03/2026</t>
        </is>
      </c>
      <c r="M253" s="30" t="inlineStr">
        <is>
          <t>MANISH KATARIA, VICE CONSUL</t>
        </is>
      </c>
      <c r="N253" s="30" t="inlineStr">
        <is>
          <t>26/02/2026</t>
        </is>
      </c>
    </row>
    <row r="254">
      <c r="A254" s="4">
        <f>Sheet1!A254 &amp; "/" &amp; "2025"</f>
        <v/>
      </c>
      <c r="B254" s="5">
        <f>Sheet1!E254</f>
        <v/>
      </c>
      <c r="C254" s="6">
        <f>UPPER(Sheet1!B254)</f>
        <v/>
      </c>
      <c r="D254" s="7">
        <f>IF(Sheet1!F254="F","FEMALE","MALE")</f>
        <v/>
      </c>
      <c r="E254" s="6">
        <f>UPPER(Sheet1!G254)</f>
        <v/>
      </c>
      <c r="F254" s="6">
        <f>UPPER(Sheet1!H254)</f>
        <v/>
      </c>
      <c r="G254" s="5">
        <f>TEXT(Sheet1!C254,"dd/mm/yyyy") &amp; "," &amp; Sheet1!D254</f>
        <v/>
      </c>
      <c r="H254" s="38">
        <f>UPPER(Sheet1!J254 &amp; "," &amp; Sheet1!K254 &amp; "," &amp; Sheet1!L254)</f>
        <v/>
      </c>
      <c r="I254" s="45">
        <f>Sheet1!I254</f>
        <v/>
      </c>
      <c r="J254" s="5">
        <f>Sheet1!M254 &amp; "," &amp; TEXT(Sheet1!N254,"dd/mm/yy")</f>
        <v/>
      </c>
      <c r="K254" s="5" t="inlineStr">
        <is>
          <t>PRINTED</t>
        </is>
      </c>
      <c r="L254" s="30" t="inlineStr">
        <is>
          <t>25/03/2026</t>
        </is>
      </c>
      <c r="M254" s="30" t="inlineStr">
        <is>
          <t>MANISH KATARIA, VICE CONSUL</t>
        </is>
      </c>
      <c r="N254" s="30" t="inlineStr">
        <is>
          <t>26/02/2026</t>
        </is>
      </c>
    </row>
    <row r="255">
      <c r="A255" s="4">
        <f>Sheet1!A255 &amp; "/" &amp; "2025"</f>
        <v/>
      </c>
      <c r="B255" s="5">
        <f>Sheet1!E255</f>
        <v/>
      </c>
      <c r="C255" s="6">
        <f>UPPER(Sheet1!B255)</f>
        <v/>
      </c>
      <c r="D255" s="7">
        <f>IF(Sheet1!F255="F","FEMALE","MALE")</f>
        <v/>
      </c>
      <c r="E255" s="6">
        <f>UPPER(Sheet1!G255)</f>
        <v/>
      </c>
      <c r="F255" s="6">
        <f>UPPER(Sheet1!H255)</f>
        <v/>
      </c>
      <c r="G255" s="5">
        <f>TEXT(Sheet1!C255,"dd/mm/yyyy") &amp; "," &amp; Sheet1!D255</f>
        <v/>
      </c>
      <c r="H255" s="38">
        <f>UPPER(Sheet1!J255 &amp; "," &amp; Sheet1!K255 &amp; "," &amp; Sheet1!L255)</f>
        <v/>
      </c>
      <c r="I255" s="45">
        <f>Sheet1!I255</f>
        <v/>
      </c>
      <c r="J255" s="5">
        <f>Sheet1!M255 &amp; "," &amp; TEXT(Sheet1!N255,"dd/mm/yy")</f>
        <v/>
      </c>
      <c r="K255" s="5" t="inlineStr">
        <is>
          <t>PRINTED</t>
        </is>
      </c>
      <c r="L255" s="30" t="inlineStr">
        <is>
          <t>25/03/2026</t>
        </is>
      </c>
      <c r="M255" s="30" t="inlineStr">
        <is>
          <t>MANISH KATARIA, VICE CONSUL</t>
        </is>
      </c>
      <c r="N255" s="30" t="inlineStr">
        <is>
          <t>26/02/2026</t>
        </is>
      </c>
    </row>
    <row r="256">
      <c r="A256" s="4">
        <f>Sheet1!A256 &amp; "/" &amp; "2025"</f>
        <v/>
      </c>
      <c r="B256" s="5">
        <f>Sheet1!E256</f>
        <v/>
      </c>
      <c r="C256" s="6">
        <f>UPPER(Sheet1!B256)</f>
        <v/>
      </c>
      <c r="D256" s="7">
        <f>IF(Sheet1!F256="F","FEMALE","MALE")</f>
        <v/>
      </c>
      <c r="E256" s="6">
        <f>UPPER(Sheet1!G256)</f>
        <v/>
      </c>
      <c r="F256" s="6">
        <f>UPPER(Sheet1!H256)</f>
        <v/>
      </c>
      <c r="G256" s="5">
        <f>TEXT(Sheet1!C256,"dd/mm/yyyy") &amp; "," &amp; Sheet1!D256</f>
        <v/>
      </c>
      <c r="H256" s="38">
        <f>UPPER(Sheet1!J256 &amp; "," &amp; Sheet1!K256 &amp; "," &amp; Sheet1!L256)</f>
        <v/>
      </c>
      <c r="I256" s="45">
        <f>Sheet1!I256</f>
        <v/>
      </c>
      <c r="J256" s="5">
        <f>Sheet1!M256 &amp; "," &amp; TEXT(Sheet1!N256,"dd/mm/yy")</f>
        <v/>
      </c>
      <c r="K256" s="5" t="inlineStr">
        <is>
          <t>PRINTED</t>
        </is>
      </c>
      <c r="L256" s="30" t="inlineStr">
        <is>
          <t>25/03/2026</t>
        </is>
      </c>
      <c r="M256" s="30" t="inlineStr">
        <is>
          <t>MANISH KATARIA, VICE CONSUL</t>
        </is>
      </c>
      <c r="N256" s="30" t="inlineStr">
        <is>
          <t>26/02/2026</t>
        </is>
      </c>
    </row>
    <row r="257">
      <c r="A257" s="4">
        <f>Sheet1!A257 &amp; "/" &amp; "2025"</f>
        <v/>
      </c>
      <c r="B257" s="5">
        <f>Sheet1!E257</f>
        <v/>
      </c>
      <c r="C257" s="6">
        <f>UPPER(Sheet1!B257)</f>
        <v/>
      </c>
      <c r="D257" s="7">
        <f>IF(Sheet1!F257="F","FEMALE","MALE")</f>
        <v/>
      </c>
      <c r="E257" s="6">
        <f>UPPER(Sheet1!G257)</f>
        <v/>
      </c>
      <c r="F257" s="6">
        <f>UPPER(Sheet1!H257)</f>
        <v/>
      </c>
      <c r="G257" s="5">
        <f>TEXT(Sheet1!C257,"dd/mm/yyyy") &amp; "," &amp; Sheet1!D257</f>
        <v/>
      </c>
      <c r="H257" s="38">
        <f>UPPER(Sheet1!J257 &amp; "," &amp; Sheet1!K257 &amp; "," &amp; Sheet1!L257)</f>
        <v/>
      </c>
      <c r="I257" s="45">
        <f>Sheet1!I257</f>
        <v/>
      </c>
      <c r="J257" s="5">
        <f>Sheet1!M257 &amp; "," &amp; TEXT(Sheet1!N257,"dd/mm/yy")</f>
        <v/>
      </c>
      <c r="K257" s="5" t="inlineStr">
        <is>
          <t>PRINTED</t>
        </is>
      </c>
      <c r="L257" s="30" t="inlineStr">
        <is>
          <t>25/03/2026</t>
        </is>
      </c>
      <c r="M257" s="30" t="inlineStr">
        <is>
          <t>MANISH KATARIA, VICE CONSUL</t>
        </is>
      </c>
      <c r="N257" s="30" t="inlineStr">
        <is>
          <t>26/02/2026</t>
        </is>
      </c>
    </row>
    <row r="258">
      <c r="A258" s="4">
        <f>Sheet1!A258 &amp; "/" &amp; "2025"</f>
        <v/>
      </c>
      <c r="B258" s="5">
        <f>Sheet1!E258</f>
        <v/>
      </c>
      <c r="C258" s="6">
        <f>UPPER(Sheet1!B258)</f>
        <v/>
      </c>
      <c r="D258" s="7">
        <f>IF(Sheet1!F258="F","FEMALE","MALE")</f>
        <v/>
      </c>
      <c r="E258" s="6">
        <f>UPPER(Sheet1!G258)</f>
        <v/>
      </c>
      <c r="F258" s="6">
        <f>UPPER(Sheet1!H258)</f>
        <v/>
      </c>
      <c r="G258" s="5">
        <f>TEXT(Sheet1!C258,"dd/mm/yyyy") &amp; "," &amp; Sheet1!D258</f>
        <v/>
      </c>
      <c r="H258" s="38">
        <f>UPPER(Sheet1!J258 &amp; "," &amp; Sheet1!K258 &amp; "," &amp; Sheet1!L258)</f>
        <v/>
      </c>
      <c r="I258" s="45">
        <f>Sheet1!I258</f>
        <v/>
      </c>
      <c r="J258" s="5">
        <f>Sheet1!M258 &amp; "," &amp; TEXT(Sheet1!N258,"dd/mm/yy")</f>
        <v/>
      </c>
      <c r="K258" s="5" t="inlineStr">
        <is>
          <t>PRINTED</t>
        </is>
      </c>
      <c r="L258" s="30" t="inlineStr">
        <is>
          <t>25/03/2026</t>
        </is>
      </c>
      <c r="M258" s="30" t="inlineStr">
        <is>
          <t>MANISH KATARIA, VICE CONSUL</t>
        </is>
      </c>
      <c r="N258" s="30" t="inlineStr">
        <is>
          <t>26/02/2026</t>
        </is>
      </c>
    </row>
    <row r="259">
      <c r="A259" s="4">
        <f>Sheet1!A259 &amp; "/" &amp; "2025"</f>
        <v/>
      </c>
      <c r="B259" s="5">
        <f>Sheet1!E259</f>
        <v/>
      </c>
      <c r="C259" s="6">
        <f>UPPER(Sheet1!B259)</f>
        <v/>
      </c>
      <c r="D259" s="7">
        <f>IF(Sheet1!F259="F","FEMALE","MALE")</f>
        <v/>
      </c>
      <c r="E259" s="6">
        <f>UPPER(Sheet1!G259)</f>
        <v/>
      </c>
      <c r="F259" s="6">
        <f>UPPER(Sheet1!H259)</f>
        <v/>
      </c>
      <c r="G259" s="5">
        <f>TEXT(Sheet1!C259,"dd/mm/yyyy") &amp; "," &amp; Sheet1!D259</f>
        <v/>
      </c>
      <c r="H259" s="38">
        <f>UPPER(Sheet1!J259 &amp; "," &amp; Sheet1!K259 &amp; "," &amp; Sheet1!L259)</f>
        <v/>
      </c>
      <c r="I259" s="45">
        <f>Sheet1!I259</f>
        <v/>
      </c>
      <c r="J259" s="5">
        <f>Sheet1!M259 &amp; "," &amp; TEXT(Sheet1!N259,"dd/mm/yy")</f>
        <v/>
      </c>
      <c r="K259" s="5" t="inlineStr">
        <is>
          <t>PRINTED</t>
        </is>
      </c>
      <c r="L259" s="30" t="inlineStr">
        <is>
          <t>25/03/2026</t>
        </is>
      </c>
      <c r="M259" s="30" t="inlineStr">
        <is>
          <t>MANISH KATARIA, VICE CONSUL</t>
        </is>
      </c>
      <c r="N259" s="30" t="inlineStr">
        <is>
          <t>26/02/2026</t>
        </is>
      </c>
    </row>
    <row r="260">
      <c r="A260" s="4">
        <f>Sheet1!A260 &amp; "/" &amp; "2025"</f>
        <v/>
      </c>
      <c r="B260" s="5">
        <f>Sheet1!E260</f>
        <v/>
      </c>
      <c r="C260" s="6">
        <f>UPPER(Sheet1!B260)</f>
        <v/>
      </c>
      <c r="D260" s="7">
        <f>IF(Sheet1!F260="F","FEMALE","MALE")</f>
        <v/>
      </c>
      <c r="E260" s="6">
        <f>UPPER(Sheet1!G260)</f>
        <v/>
      </c>
      <c r="F260" s="6">
        <f>UPPER(Sheet1!H260)</f>
        <v/>
      </c>
      <c r="G260" s="5">
        <f>TEXT(Sheet1!C260,"dd/mm/yyyy") &amp; "," &amp; Sheet1!D260</f>
        <v/>
      </c>
      <c r="H260" s="38">
        <f>UPPER(Sheet1!J260 &amp; "," &amp; Sheet1!K260 &amp; "," &amp; Sheet1!L260)</f>
        <v/>
      </c>
      <c r="I260" s="45">
        <f>Sheet1!I260</f>
        <v/>
      </c>
      <c r="J260" s="5">
        <f>Sheet1!M260 &amp; "," &amp; TEXT(Sheet1!N260,"dd/mm/yy")</f>
        <v/>
      </c>
      <c r="K260" s="5" t="inlineStr">
        <is>
          <t>PRINTED</t>
        </is>
      </c>
      <c r="L260" s="30" t="inlineStr">
        <is>
          <t>25/03/2026</t>
        </is>
      </c>
      <c r="M260" s="30" t="inlineStr">
        <is>
          <t>MANISH KATARIA, VICE CONSUL</t>
        </is>
      </c>
      <c r="N260" s="30" t="inlineStr">
        <is>
          <t>26/02/2026</t>
        </is>
      </c>
    </row>
    <row r="261">
      <c r="A261" s="4">
        <f>Sheet1!A261 &amp; "/" &amp; "2025"</f>
        <v/>
      </c>
      <c r="B261" s="5">
        <f>Sheet1!E261</f>
        <v/>
      </c>
      <c r="C261" s="6">
        <f>UPPER(Sheet1!B261)</f>
        <v/>
      </c>
      <c r="D261" s="7">
        <f>IF(Sheet1!F261="F","FEMALE","MALE")</f>
        <v/>
      </c>
      <c r="E261" s="6">
        <f>UPPER(Sheet1!G261)</f>
        <v/>
      </c>
      <c r="F261" s="6">
        <f>UPPER(Sheet1!H261)</f>
        <v/>
      </c>
      <c r="G261" s="5">
        <f>TEXT(Sheet1!C261,"dd/mm/yyyy") &amp; "," &amp; Sheet1!D261</f>
        <v/>
      </c>
      <c r="H261" s="38">
        <f>UPPER(Sheet1!J261 &amp; "," &amp; Sheet1!K261 &amp; "," &amp; Sheet1!L261)</f>
        <v/>
      </c>
      <c r="I261" s="45">
        <f>Sheet1!I261</f>
        <v/>
      </c>
      <c r="J261" s="5">
        <f>Sheet1!M261 &amp; "," &amp; TEXT(Sheet1!N261,"dd/mm/yy")</f>
        <v/>
      </c>
      <c r="K261" s="5" t="inlineStr">
        <is>
          <t>PRINTED</t>
        </is>
      </c>
      <c r="L261" s="30" t="inlineStr">
        <is>
          <t>25/03/2026</t>
        </is>
      </c>
      <c r="M261" s="30" t="inlineStr">
        <is>
          <t>MANISH KATARIA, VICE CONSUL</t>
        </is>
      </c>
      <c r="N261" s="30" t="inlineStr">
        <is>
          <t>26/02/2026</t>
        </is>
      </c>
    </row>
    <row r="262">
      <c r="A262" s="4">
        <f>Sheet1!A262 &amp; "/" &amp; "2025"</f>
        <v/>
      </c>
      <c r="B262" s="5">
        <f>Sheet1!E262</f>
        <v/>
      </c>
      <c r="C262" s="6">
        <f>UPPER(Sheet1!B262)</f>
        <v/>
      </c>
      <c r="D262" s="7">
        <f>IF(Sheet1!F262="F","FEMALE","MALE")</f>
        <v/>
      </c>
      <c r="E262" s="6">
        <f>UPPER(Sheet1!G262)</f>
        <v/>
      </c>
      <c r="F262" s="6">
        <f>UPPER(Sheet1!H262)</f>
        <v/>
      </c>
      <c r="G262" s="5">
        <f>TEXT(Sheet1!C262,"dd/mm/yyyy") &amp; "," &amp; Sheet1!D262</f>
        <v/>
      </c>
      <c r="H262" s="38">
        <f>UPPER(Sheet1!J262 &amp; "," &amp; Sheet1!K262 &amp; "," &amp; Sheet1!L262)</f>
        <v/>
      </c>
      <c r="I262" s="45">
        <f>Sheet1!I262</f>
        <v/>
      </c>
      <c r="J262" s="5">
        <f>Sheet1!M262 &amp; "," &amp; TEXT(Sheet1!N262,"dd/mm/yy")</f>
        <v/>
      </c>
      <c r="K262" s="5" t="inlineStr">
        <is>
          <t>PRINTED</t>
        </is>
      </c>
      <c r="L262" s="30" t="inlineStr">
        <is>
          <t>25/03/2026</t>
        </is>
      </c>
      <c r="M262" s="30" t="inlineStr">
        <is>
          <t>MANISH KATARIA, VICE CONSUL</t>
        </is>
      </c>
      <c r="N262" s="30" t="inlineStr">
        <is>
          <t>26/02/2026</t>
        </is>
      </c>
    </row>
    <row r="263">
      <c r="A263" s="4">
        <f>Sheet1!A263 &amp; "/" &amp; "2025"</f>
        <v/>
      </c>
      <c r="B263" s="5">
        <f>Sheet1!E263</f>
        <v/>
      </c>
      <c r="C263" s="6">
        <f>UPPER(Sheet1!B263)</f>
        <v/>
      </c>
      <c r="D263" s="7">
        <f>IF(Sheet1!F263="F","FEMALE","MALE")</f>
        <v/>
      </c>
      <c r="E263" s="6">
        <f>UPPER(Sheet1!G263)</f>
        <v/>
      </c>
      <c r="F263" s="6">
        <f>UPPER(Sheet1!H263)</f>
        <v/>
      </c>
      <c r="G263" s="5">
        <f>TEXT(Sheet1!C263,"dd/mm/yyyy") &amp; "," &amp; Sheet1!D263</f>
        <v/>
      </c>
      <c r="H263" s="38">
        <f>UPPER(Sheet1!J263 &amp; "," &amp; Sheet1!K263 &amp; "," &amp; Sheet1!L263)</f>
        <v/>
      </c>
      <c r="I263" s="45">
        <f>Sheet1!I263</f>
        <v/>
      </c>
      <c r="J263" s="5">
        <f>Sheet1!M263 &amp; "," &amp; TEXT(Sheet1!N263,"dd/mm/yy")</f>
        <v/>
      </c>
      <c r="K263" s="5" t="inlineStr">
        <is>
          <t>PRINTED</t>
        </is>
      </c>
      <c r="L263" s="30" t="inlineStr">
        <is>
          <t>25/03/2026</t>
        </is>
      </c>
      <c r="M263" s="30" t="inlineStr">
        <is>
          <t>MANISH KATARIA, VICE CONSUL</t>
        </is>
      </c>
      <c r="N263" s="30" t="inlineStr">
        <is>
          <t>26/02/2026</t>
        </is>
      </c>
    </row>
    <row r="264">
      <c r="A264" s="4">
        <f>Sheet1!A264 &amp; "/" &amp; "2025"</f>
        <v/>
      </c>
      <c r="B264" s="5">
        <f>Sheet1!E264</f>
        <v/>
      </c>
      <c r="C264" s="6">
        <f>UPPER(Sheet1!B264)</f>
        <v/>
      </c>
      <c r="D264" s="7">
        <f>IF(Sheet1!F264="F","FEMALE","MALE")</f>
        <v/>
      </c>
      <c r="E264" s="6">
        <f>UPPER(Sheet1!G264)</f>
        <v/>
      </c>
      <c r="F264" s="6">
        <f>UPPER(Sheet1!H264)</f>
        <v/>
      </c>
      <c r="G264" s="5">
        <f>TEXT(Sheet1!C264,"dd/mm/yyyy") &amp; "," &amp; Sheet1!D264</f>
        <v/>
      </c>
      <c r="H264" s="38">
        <f>UPPER(Sheet1!J264 &amp; "," &amp; Sheet1!K264 &amp; "," &amp; Sheet1!L264)</f>
        <v/>
      </c>
      <c r="I264" s="45">
        <f>Sheet1!I264</f>
        <v/>
      </c>
      <c r="J264" s="5">
        <f>Sheet1!M264 &amp; "," &amp; TEXT(Sheet1!N264,"dd/mm/yy")</f>
        <v/>
      </c>
      <c r="K264" s="5" t="inlineStr">
        <is>
          <t>PRINTED</t>
        </is>
      </c>
      <c r="L264" s="30" t="inlineStr">
        <is>
          <t>25/03/2026</t>
        </is>
      </c>
      <c r="M264" s="30" t="inlineStr">
        <is>
          <t>MANISH KATARIA, VICE CONSUL</t>
        </is>
      </c>
      <c r="N264" s="30" t="inlineStr">
        <is>
          <t>26/02/2026</t>
        </is>
      </c>
    </row>
    <row r="265">
      <c r="A265" s="4">
        <f>Sheet1!A265 &amp; "/" &amp; "2025"</f>
        <v/>
      </c>
      <c r="B265" s="5">
        <f>Sheet1!E265</f>
        <v/>
      </c>
      <c r="C265" s="6">
        <f>UPPER(Sheet1!B265)</f>
        <v/>
      </c>
      <c r="D265" s="7">
        <f>IF(Sheet1!F265="F","FEMALE","MALE")</f>
        <v/>
      </c>
      <c r="E265" s="6">
        <f>UPPER(Sheet1!G265)</f>
        <v/>
      </c>
      <c r="F265" s="6">
        <f>UPPER(Sheet1!H265)</f>
        <v/>
      </c>
      <c r="G265" s="5">
        <f>TEXT(Sheet1!C265,"dd/mm/yyyy") &amp; "," &amp; Sheet1!D265</f>
        <v/>
      </c>
      <c r="H265" s="38">
        <f>UPPER(Sheet1!J265 &amp; "," &amp; Sheet1!K265 &amp; "," &amp; Sheet1!L265)</f>
        <v/>
      </c>
      <c r="I265" s="45">
        <f>Sheet1!I265</f>
        <v/>
      </c>
      <c r="J265" s="5">
        <f>Sheet1!M265 &amp; "," &amp; TEXT(Sheet1!N265,"dd/mm/yy")</f>
        <v/>
      </c>
      <c r="K265" s="5" t="inlineStr">
        <is>
          <t>PRINTED</t>
        </is>
      </c>
      <c r="L265" s="30" t="inlineStr">
        <is>
          <t>25/03/2026</t>
        </is>
      </c>
      <c r="M265" s="30" t="inlineStr">
        <is>
          <t>MANISH KATARIA, VICE CONSUL</t>
        </is>
      </c>
      <c r="N265" s="30" t="inlineStr">
        <is>
          <t>26/02/2026</t>
        </is>
      </c>
    </row>
    <row r="266">
      <c r="A266" s="4">
        <f>Sheet1!A266 &amp; "/" &amp; "2025"</f>
        <v/>
      </c>
      <c r="B266" s="5">
        <f>Sheet1!E266</f>
        <v/>
      </c>
      <c r="C266" s="6">
        <f>UPPER(Sheet1!B266)</f>
        <v/>
      </c>
      <c r="D266" s="7">
        <f>IF(Sheet1!F266="F","FEMALE","MALE")</f>
        <v/>
      </c>
      <c r="E266" s="6">
        <f>UPPER(Sheet1!G266)</f>
        <v/>
      </c>
      <c r="F266" s="6">
        <f>UPPER(Sheet1!H266)</f>
        <v/>
      </c>
      <c r="G266" s="5">
        <f>TEXT(Sheet1!C266,"dd/mm/yyyy") &amp; "," &amp; Sheet1!D266</f>
        <v/>
      </c>
      <c r="H266" s="38">
        <f>UPPER(Sheet1!J266 &amp; "," &amp; Sheet1!K266 &amp; "," &amp; Sheet1!L266)</f>
        <v/>
      </c>
      <c r="I266" s="45">
        <f>Sheet1!I266</f>
        <v/>
      </c>
      <c r="J266" s="5">
        <f>Sheet1!M266 &amp; "," &amp; TEXT(Sheet1!N266,"dd/mm/yy")</f>
        <v/>
      </c>
      <c r="K266" s="5" t="inlineStr">
        <is>
          <t>PRINTED</t>
        </is>
      </c>
      <c r="L266" s="30" t="inlineStr">
        <is>
          <t>25/03/2026</t>
        </is>
      </c>
      <c r="M266" s="30" t="inlineStr">
        <is>
          <t>MANISH KATARIA, VICE CONSUL</t>
        </is>
      </c>
      <c r="N266" s="30" t="inlineStr">
        <is>
          <t>26/02/2026</t>
        </is>
      </c>
    </row>
    <row r="267">
      <c r="A267" s="4">
        <f>Sheet1!A267 &amp; "/" &amp; "2025"</f>
        <v/>
      </c>
      <c r="B267" s="5">
        <f>Sheet1!E267</f>
        <v/>
      </c>
      <c r="C267" s="6">
        <f>UPPER(Sheet1!B267)</f>
        <v/>
      </c>
      <c r="D267" s="7">
        <f>IF(Sheet1!F267="F","FEMALE","MALE")</f>
        <v/>
      </c>
      <c r="E267" s="6">
        <f>UPPER(Sheet1!G267)</f>
        <v/>
      </c>
      <c r="F267" s="6">
        <f>UPPER(Sheet1!H267)</f>
        <v/>
      </c>
      <c r="G267" s="5">
        <f>TEXT(Sheet1!C267,"dd/mm/yyyy") &amp; "," &amp; Sheet1!D267</f>
        <v/>
      </c>
      <c r="H267" s="38">
        <f>UPPER(Sheet1!J267 &amp; "," &amp; Sheet1!K267 &amp; "," &amp; Sheet1!L267)</f>
        <v/>
      </c>
      <c r="I267" s="45">
        <f>Sheet1!I267</f>
        <v/>
      </c>
      <c r="J267" s="5">
        <f>Sheet1!M267 &amp; "," &amp; TEXT(Sheet1!N267,"dd/mm/yy")</f>
        <v/>
      </c>
      <c r="K267" s="5" t="inlineStr">
        <is>
          <t>PRINTED</t>
        </is>
      </c>
      <c r="L267" s="30" t="inlineStr">
        <is>
          <t>25/03/2026</t>
        </is>
      </c>
      <c r="M267" s="30" t="inlineStr">
        <is>
          <t>MANISH KATARIA, VICE CONSUL</t>
        </is>
      </c>
      <c r="N267" s="30" t="inlineStr">
        <is>
          <t>26/02/2026</t>
        </is>
      </c>
    </row>
    <row r="268">
      <c r="A268" s="4">
        <f>Sheet1!A268 &amp; "/" &amp; "2025"</f>
        <v/>
      </c>
      <c r="B268" s="5">
        <f>Sheet1!E268</f>
        <v/>
      </c>
      <c r="C268" s="6">
        <f>UPPER(Sheet1!B268)</f>
        <v/>
      </c>
      <c r="D268" s="7">
        <f>IF(Sheet1!F268="F","FEMALE","MALE")</f>
        <v/>
      </c>
      <c r="E268" s="6">
        <f>UPPER(Sheet1!G268)</f>
        <v/>
      </c>
      <c r="F268" s="6">
        <f>UPPER(Sheet1!H268)</f>
        <v/>
      </c>
      <c r="G268" s="5">
        <f>TEXT(Sheet1!C268,"dd/mm/yyyy") &amp; "," &amp; Sheet1!D268</f>
        <v/>
      </c>
      <c r="H268" s="38">
        <f>UPPER(Sheet1!J268 &amp; "," &amp; Sheet1!K268 &amp; "," &amp; Sheet1!L268)</f>
        <v/>
      </c>
      <c r="I268" s="45">
        <f>Sheet1!I268</f>
        <v/>
      </c>
      <c r="J268" s="5">
        <f>Sheet1!M268 &amp; "," &amp; TEXT(Sheet1!N268,"dd/mm/yy")</f>
        <v/>
      </c>
      <c r="K268" s="5" t="inlineStr">
        <is>
          <t>PRINTED</t>
        </is>
      </c>
      <c r="L268" s="30" t="inlineStr">
        <is>
          <t>25/03/2026</t>
        </is>
      </c>
      <c r="M268" s="30" t="inlineStr">
        <is>
          <t>MANISH KATARIA, VICE CONSUL</t>
        </is>
      </c>
      <c r="N268" s="30" t="inlineStr">
        <is>
          <t>26/02/2026</t>
        </is>
      </c>
    </row>
    <row r="269">
      <c r="A269" s="4">
        <f>Sheet1!A269 &amp; "/" &amp; "2025"</f>
        <v/>
      </c>
      <c r="B269" s="5">
        <f>Sheet1!E269</f>
        <v/>
      </c>
      <c r="C269" s="6">
        <f>UPPER(Sheet1!B269)</f>
        <v/>
      </c>
      <c r="D269" s="7">
        <f>IF(Sheet1!F269="F","FEMALE","MALE")</f>
        <v/>
      </c>
      <c r="E269" s="6">
        <f>UPPER(Sheet1!G269)</f>
        <v/>
      </c>
      <c r="F269" s="6">
        <f>UPPER(Sheet1!H269)</f>
        <v/>
      </c>
      <c r="G269" s="5">
        <f>TEXT(Sheet1!C269,"dd/mm/yyyy") &amp; "," &amp; Sheet1!D269</f>
        <v/>
      </c>
      <c r="H269" s="38">
        <f>UPPER(Sheet1!J269 &amp; "," &amp; Sheet1!K269 &amp; "," &amp; Sheet1!L269)</f>
        <v/>
      </c>
      <c r="I269" s="45">
        <f>Sheet1!I269</f>
        <v/>
      </c>
      <c r="J269" s="5">
        <f>Sheet1!M269 &amp; "," &amp; TEXT(Sheet1!N269,"dd/mm/yy")</f>
        <v/>
      </c>
      <c r="K269" s="5" t="inlineStr">
        <is>
          <t>PRINTED</t>
        </is>
      </c>
      <c r="L269" s="30" t="inlineStr">
        <is>
          <t>25/03/2026</t>
        </is>
      </c>
      <c r="M269" s="30" t="inlineStr">
        <is>
          <t>MANISH KATARIA, VICE CONSUL</t>
        </is>
      </c>
      <c r="N269" s="30" t="inlineStr">
        <is>
          <t>26/02/2026</t>
        </is>
      </c>
    </row>
    <row r="270">
      <c r="A270" s="4">
        <f>Sheet1!A270 &amp; "/" &amp; "2025"</f>
        <v/>
      </c>
      <c r="B270" s="5">
        <f>Sheet1!E270</f>
        <v/>
      </c>
      <c r="C270" s="6">
        <f>UPPER(Sheet1!B270)</f>
        <v/>
      </c>
      <c r="D270" s="7">
        <f>IF(Sheet1!F270="F","FEMALE","MALE")</f>
        <v/>
      </c>
      <c r="E270" s="6">
        <f>UPPER(Sheet1!G270)</f>
        <v/>
      </c>
      <c r="F270" s="6">
        <f>UPPER(Sheet1!H270)</f>
        <v/>
      </c>
      <c r="G270" s="5">
        <f>TEXT(Sheet1!C270,"dd/mm/yyyy") &amp; "," &amp; Sheet1!D270</f>
        <v/>
      </c>
      <c r="H270" s="38">
        <f>UPPER(Sheet1!J270 &amp; "," &amp; Sheet1!K270 &amp; "," &amp; Sheet1!L270)</f>
        <v/>
      </c>
      <c r="I270" s="45">
        <f>Sheet1!I270</f>
        <v/>
      </c>
      <c r="J270" s="5">
        <f>Sheet1!M270 &amp; "," &amp; TEXT(Sheet1!N270,"dd/mm/yy")</f>
        <v/>
      </c>
      <c r="K270" s="5" t="inlineStr">
        <is>
          <t>PRINTED</t>
        </is>
      </c>
      <c r="L270" s="30" t="inlineStr">
        <is>
          <t>25/03/2026</t>
        </is>
      </c>
      <c r="M270" s="30" t="inlineStr">
        <is>
          <t>MANISH KATARIA, VICE CONSUL</t>
        </is>
      </c>
      <c r="N270" s="30" t="inlineStr">
        <is>
          <t>26/02/2026</t>
        </is>
      </c>
    </row>
    <row r="271">
      <c r="A271" s="4">
        <f>Sheet1!A271 &amp; "/" &amp; "2025"</f>
        <v/>
      </c>
      <c r="B271" s="5">
        <f>Sheet1!E271</f>
        <v/>
      </c>
      <c r="C271" s="6">
        <f>UPPER(Sheet1!B271)</f>
        <v/>
      </c>
      <c r="D271" s="7">
        <f>IF(Sheet1!F271="F","FEMALE","MALE")</f>
        <v/>
      </c>
      <c r="E271" s="6">
        <f>UPPER(Sheet1!G271)</f>
        <v/>
      </c>
      <c r="F271" s="6">
        <f>UPPER(Sheet1!H271)</f>
        <v/>
      </c>
      <c r="G271" s="5">
        <f>TEXT(Sheet1!C271,"dd/mm/yyyy") &amp; "," &amp; Sheet1!D271</f>
        <v/>
      </c>
      <c r="H271" s="38">
        <f>UPPER(Sheet1!J271 &amp; "," &amp; Sheet1!K271 &amp; "," &amp; Sheet1!L271)</f>
        <v/>
      </c>
      <c r="I271" s="45">
        <f>Sheet1!I271</f>
        <v/>
      </c>
      <c r="J271" s="5">
        <f>Sheet1!M271 &amp; "," &amp; TEXT(Sheet1!N271,"dd/mm/yy")</f>
        <v/>
      </c>
      <c r="K271" s="5" t="inlineStr">
        <is>
          <t>PRINTED</t>
        </is>
      </c>
      <c r="L271" s="30" t="inlineStr">
        <is>
          <t>25/03/2026</t>
        </is>
      </c>
      <c r="M271" s="30" t="inlineStr">
        <is>
          <t>MANISH KATARIA, VICE CONSUL</t>
        </is>
      </c>
      <c r="N271" s="30" t="inlineStr">
        <is>
          <t>26/02/2026</t>
        </is>
      </c>
    </row>
    <row r="272">
      <c r="A272" s="4">
        <f>Sheet1!A272 &amp; "/" &amp; "2025"</f>
        <v/>
      </c>
      <c r="B272" s="5">
        <f>Sheet1!E272</f>
        <v/>
      </c>
      <c r="C272" s="6">
        <f>UPPER(Sheet1!B272)</f>
        <v/>
      </c>
      <c r="D272" s="7">
        <f>IF(Sheet1!F272="F","FEMALE","MALE")</f>
        <v/>
      </c>
      <c r="E272" s="6">
        <f>UPPER(Sheet1!G272)</f>
        <v/>
      </c>
      <c r="F272" s="6">
        <f>UPPER(Sheet1!H272)</f>
        <v/>
      </c>
      <c r="G272" s="5">
        <f>TEXT(Sheet1!C272,"dd/mm/yyyy") &amp; "," &amp; Sheet1!D272</f>
        <v/>
      </c>
      <c r="H272" s="38">
        <f>UPPER(Sheet1!J272 &amp; "," &amp; Sheet1!K272 &amp; "," &amp; Sheet1!L272)</f>
        <v/>
      </c>
      <c r="I272" s="45">
        <f>Sheet1!I272</f>
        <v/>
      </c>
      <c r="J272" s="5">
        <f>Sheet1!M272 &amp; "," &amp; TEXT(Sheet1!N272,"dd/mm/yy")</f>
        <v/>
      </c>
      <c r="K272" s="5" t="inlineStr">
        <is>
          <t>PRINTED</t>
        </is>
      </c>
      <c r="L272" s="30" t="inlineStr">
        <is>
          <t>25/03/2026</t>
        </is>
      </c>
      <c r="M272" s="30" t="inlineStr">
        <is>
          <t>MANISH KATARIA, VICE CONSUL</t>
        </is>
      </c>
      <c r="N272" s="30" t="inlineStr">
        <is>
          <t>26/02/2026</t>
        </is>
      </c>
    </row>
    <row r="273">
      <c r="A273" s="4">
        <f>Sheet1!A273 &amp; "/" &amp; "2025"</f>
        <v/>
      </c>
      <c r="B273" s="5">
        <f>Sheet1!E273</f>
        <v/>
      </c>
      <c r="C273" s="6">
        <f>UPPER(Sheet1!B273)</f>
        <v/>
      </c>
      <c r="D273" s="7">
        <f>IF(Sheet1!F273="F","FEMALE","MALE")</f>
        <v/>
      </c>
      <c r="E273" s="6">
        <f>UPPER(Sheet1!G273)</f>
        <v/>
      </c>
      <c r="F273" s="6">
        <f>UPPER(Sheet1!H273)</f>
        <v/>
      </c>
      <c r="G273" s="5">
        <f>TEXT(Sheet1!C273,"dd/mm/yyyy") &amp; "," &amp; Sheet1!D273</f>
        <v/>
      </c>
      <c r="H273" s="38">
        <f>UPPER(Sheet1!J273 &amp; "," &amp; Sheet1!K273 &amp; "," &amp; Sheet1!L273)</f>
        <v/>
      </c>
      <c r="I273" s="45">
        <f>Sheet1!I273</f>
        <v/>
      </c>
      <c r="J273" s="5">
        <f>Sheet1!M273 &amp; "," &amp; TEXT(Sheet1!N273,"dd/mm/yy")</f>
        <v/>
      </c>
      <c r="K273" s="5" t="inlineStr">
        <is>
          <t>PRINTED</t>
        </is>
      </c>
      <c r="L273" s="30" t="inlineStr">
        <is>
          <t>25/03/2026</t>
        </is>
      </c>
      <c r="M273" s="30" t="inlineStr">
        <is>
          <t>MANISH KATARIA, VICE CONSUL</t>
        </is>
      </c>
      <c r="N273" s="30" t="inlineStr">
        <is>
          <t>26/02/2026</t>
        </is>
      </c>
    </row>
    <row r="274">
      <c r="A274" s="4">
        <f>Sheet1!A274 &amp; "/" &amp; "2025"</f>
        <v/>
      </c>
      <c r="B274" s="5">
        <f>Sheet1!E274</f>
        <v/>
      </c>
      <c r="C274" s="6">
        <f>UPPER(Sheet1!B274)</f>
        <v/>
      </c>
      <c r="D274" s="7">
        <f>IF(Sheet1!F274="F","FEMALE","MALE")</f>
        <v/>
      </c>
      <c r="E274" s="6">
        <f>UPPER(Sheet1!G274)</f>
        <v/>
      </c>
      <c r="F274" s="6">
        <f>UPPER(Sheet1!H274)</f>
        <v/>
      </c>
      <c r="G274" s="5">
        <f>TEXT(Sheet1!C274,"dd/mm/yyyy") &amp; "," &amp; Sheet1!D274</f>
        <v/>
      </c>
      <c r="H274" s="38">
        <f>UPPER(Sheet1!J274 &amp; "," &amp; Sheet1!K274 &amp; "," &amp; Sheet1!L274)</f>
        <v/>
      </c>
      <c r="I274" s="45">
        <f>Sheet1!I274</f>
        <v/>
      </c>
      <c r="J274" s="5">
        <f>Sheet1!M274 &amp; "," &amp; TEXT(Sheet1!N274,"dd/mm/yy")</f>
        <v/>
      </c>
      <c r="K274" s="5" t="inlineStr">
        <is>
          <t>PRINTED</t>
        </is>
      </c>
      <c r="L274" s="30" t="inlineStr">
        <is>
          <t>25/03/2026</t>
        </is>
      </c>
      <c r="M274" s="30" t="inlineStr">
        <is>
          <t>MANISH KATARIA, VICE CONSUL</t>
        </is>
      </c>
      <c r="N274" s="30" t="inlineStr">
        <is>
          <t>26/02/2026</t>
        </is>
      </c>
    </row>
    <row r="275">
      <c r="A275" s="4">
        <f>Sheet1!A275 &amp; "/" &amp; "2025"</f>
        <v/>
      </c>
      <c r="B275" s="5">
        <f>Sheet1!E275</f>
        <v/>
      </c>
      <c r="C275" s="6">
        <f>UPPER(Sheet1!B275)</f>
        <v/>
      </c>
      <c r="D275" s="7">
        <f>IF(Sheet1!F275="F","FEMALE","MALE")</f>
        <v/>
      </c>
      <c r="E275" s="6">
        <f>UPPER(Sheet1!G275)</f>
        <v/>
      </c>
      <c r="F275" s="6">
        <f>UPPER(Sheet1!H275)</f>
        <v/>
      </c>
      <c r="G275" s="5">
        <f>TEXT(Sheet1!C275,"dd/mm/yyyy") &amp; "," &amp; Sheet1!D275</f>
        <v/>
      </c>
      <c r="H275" s="38">
        <f>UPPER(Sheet1!J275 &amp; "," &amp; Sheet1!K275 &amp; "," &amp; Sheet1!L275)</f>
        <v/>
      </c>
      <c r="I275" s="45">
        <f>Sheet1!I275</f>
        <v/>
      </c>
      <c r="J275" s="5">
        <f>Sheet1!M275 &amp; "," &amp; TEXT(Sheet1!N275,"dd/mm/yy")</f>
        <v/>
      </c>
      <c r="K275" s="5" t="inlineStr">
        <is>
          <t>PRINTED</t>
        </is>
      </c>
      <c r="L275" s="30" t="inlineStr">
        <is>
          <t>25/03/2026</t>
        </is>
      </c>
      <c r="M275" s="30" t="inlineStr">
        <is>
          <t>MANISH KATARIA, VICE CONSUL</t>
        </is>
      </c>
      <c r="N275" s="30" t="inlineStr">
        <is>
          <t>26/02/2026</t>
        </is>
      </c>
    </row>
    <row r="276">
      <c r="A276" s="4">
        <f>Sheet1!A276 &amp; "/" &amp; "2025"</f>
        <v/>
      </c>
      <c r="B276" s="5">
        <f>Sheet1!E276</f>
        <v/>
      </c>
      <c r="C276" s="6">
        <f>UPPER(Sheet1!B276)</f>
        <v/>
      </c>
      <c r="D276" s="7">
        <f>IF(Sheet1!F276="F","FEMALE","MALE")</f>
        <v/>
      </c>
      <c r="E276" s="6">
        <f>UPPER(Sheet1!G276)</f>
        <v/>
      </c>
      <c r="F276" s="6">
        <f>UPPER(Sheet1!H276)</f>
        <v/>
      </c>
      <c r="G276" s="5">
        <f>TEXT(Sheet1!C276,"dd/mm/yyyy") &amp; "," &amp; Sheet1!D276</f>
        <v/>
      </c>
      <c r="H276" s="38">
        <f>UPPER(Sheet1!J276 &amp; "," &amp; Sheet1!K276 &amp; "," &amp; Sheet1!L276)</f>
        <v/>
      </c>
      <c r="I276" s="45">
        <f>Sheet1!I276</f>
        <v/>
      </c>
      <c r="J276" s="5">
        <f>Sheet1!M276 &amp; "," &amp; TEXT(Sheet1!N276,"dd/mm/yy")</f>
        <v/>
      </c>
      <c r="K276" s="5" t="inlineStr">
        <is>
          <t>PRINTED</t>
        </is>
      </c>
      <c r="L276" s="30" t="inlineStr">
        <is>
          <t>25/03/2026</t>
        </is>
      </c>
      <c r="M276" s="30" t="inlineStr">
        <is>
          <t>MANISH KATARIA, VICE CONSUL</t>
        </is>
      </c>
      <c r="N276" s="30" t="inlineStr">
        <is>
          <t>26/02/2026</t>
        </is>
      </c>
    </row>
    <row r="277">
      <c r="A277" s="4">
        <f>Sheet1!A277 &amp; "/" &amp; "2025"</f>
        <v/>
      </c>
      <c r="B277" s="5">
        <f>Sheet1!E277</f>
        <v/>
      </c>
      <c r="C277" s="6">
        <f>UPPER(Sheet1!B277)</f>
        <v/>
      </c>
      <c r="D277" s="7">
        <f>IF(Sheet1!F277="F","FEMALE","MALE")</f>
        <v/>
      </c>
      <c r="E277" s="6">
        <f>UPPER(Sheet1!G277)</f>
        <v/>
      </c>
      <c r="F277" s="6">
        <f>UPPER(Sheet1!H277)</f>
        <v/>
      </c>
      <c r="G277" s="5">
        <f>TEXT(Sheet1!C277,"dd/mm/yyyy") &amp; "," &amp; Sheet1!D277</f>
        <v/>
      </c>
      <c r="H277" s="38">
        <f>UPPER(Sheet1!J277 &amp; "," &amp; Sheet1!K277 &amp; "," &amp; Sheet1!L277)</f>
        <v/>
      </c>
      <c r="I277" s="45">
        <f>Sheet1!I277</f>
        <v/>
      </c>
      <c r="J277" s="5">
        <f>Sheet1!M277 &amp; "," &amp; TEXT(Sheet1!N277,"dd/mm/yy")</f>
        <v/>
      </c>
      <c r="K277" s="5" t="inlineStr">
        <is>
          <t>PRINTED</t>
        </is>
      </c>
      <c r="L277" s="30" t="inlineStr">
        <is>
          <t>25/03/2026</t>
        </is>
      </c>
      <c r="M277" s="30" t="inlineStr">
        <is>
          <t>MANISH KATARIA, VICE CONSUL</t>
        </is>
      </c>
      <c r="N277" s="30" t="inlineStr">
        <is>
          <t>26/02/2026</t>
        </is>
      </c>
    </row>
    <row r="278">
      <c r="A278" s="4">
        <f>Sheet1!A278 &amp; "/" &amp; "2025"</f>
        <v/>
      </c>
      <c r="B278" s="5">
        <f>Sheet1!E278</f>
        <v/>
      </c>
      <c r="C278" s="6">
        <f>UPPER(Sheet1!B278)</f>
        <v/>
      </c>
      <c r="D278" s="7">
        <f>IF(Sheet1!F278="F","FEMALE","MALE")</f>
        <v/>
      </c>
      <c r="E278" s="6">
        <f>UPPER(Sheet1!G278)</f>
        <v/>
      </c>
      <c r="F278" s="6">
        <f>UPPER(Sheet1!H278)</f>
        <v/>
      </c>
      <c r="G278" s="5">
        <f>TEXT(Sheet1!C278,"dd/mm/yyyy") &amp; "," &amp; Sheet1!D278</f>
        <v/>
      </c>
      <c r="H278" s="38">
        <f>UPPER(Sheet1!J278 &amp; "," &amp; Sheet1!K278 &amp; "," &amp; Sheet1!L278)</f>
        <v/>
      </c>
      <c r="I278" s="45">
        <f>Sheet1!I278</f>
        <v/>
      </c>
      <c r="J278" s="5">
        <f>Sheet1!M278 &amp; "," &amp; TEXT(Sheet1!N278,"dd/mm/yy")</f>
        <v/>
      </c>
      <c r="K278" s="5" t="inlineStr">
        <is>
          <t>PRINTED</t>
        </is>
      </c>
      <c r="L278" s="30" t="inlineStr">
        <is>
          <t>25/03/2026</t>
        </is>
      </c>
      <c r="M278" s="30" t="inlineStr">
        <is>
          <t>MANISH KATARIA, VICE CONSUL</t>
        </is>
      </c>
      <c r="N278" s="30" t="inlineStr">
        <is>
          <t>26/02/2026</t>
        </is>
      </c>
    </row>
    <row r="279">
      <c r="A279" s="4">
        <f>Sheet1!A279 &amp; "/" &amp; "2025"</f>
        <v/>
      </c>
      <c r="B279" s="5">
        <f>Sheet1!E279</f>
        <v/>
      </c>
      <c r="C279" s="6">
        <f>UPPER(Sheet1!B279)</f>
        <v/>
      </c>
      <c r="D279" s="7">
        <f>IF(Sheet1!F279="F","FEMALE","MALE")</f>
        <v/>
      </c>
      <c r="E279" s="6">
        <f>UPPER(Sheet1!G279)</f>
        <v/>
      </c>
      <c r="F279" s="6">
        <f>UPPER(Sheet1!H279)</f>
        <v/>
      </c>
      <c r="G279" s="5">
        <f>TEXT(Sheet1!C279,"dd/mm/yyyy") &amp; "," &amp; Sheet1!D279</f>
        <v/>
      </c>
      <c r="H279" s="38">
        <f>UPPER(Sheet1!J279 &amp; "," &amp; Sheet1!K279 &amp; "," &amp; Sheet1!L279)</f>
        <v/>
      </c>
      <c r="I279" s="45">
        <f>Sheet1!I279</f>
        <v/>
      </c>
      <c r="J279" s="5">
        <f>Sheet1!M279 &amp; "," &amp; TEXT(Sheet1!N279,"dd/mm/yy")</f>
        <v/>
      </c>
      <c r="K279" s="5" t="inlineStr">
        <is>
          <t>PRINTED</t>
        </is>
      </c>
      <c r="L279" s="30" t="inlineStr">
        <is>
          <t>25/03/2026</t>
        </is>
      </c>
      <c r="M279" s="30" t="inlineStr">
        <is>
          <t>MANISH KATARIA, VICE CONSUL</t>
        </is>
      </c>
      <c r="N279" s="30" t="inlineStr">
        <is>
          <t>26/02/2026</t>
        </is>
      </c>
    </row>
    <row r="280">
      <c r="A280" s="4">
        <f>Sheet1!A280 &amp; "/" &amp; "2025"</f>
        <v/>
      </c>
      <c r="B280" s="5">
        <f>Sheet1!E280</f>
        <v/>
      </c>
      <c r="C280" s="6">
        <f>UPPER(Sheet1!B280)</f>
        <v/>
      </c>
      <c r="D280" s="7">
        <f>IF(Sheet1!F280="F","FEMALE","MALE")</f>
        <v/>
      </c>
      <c r="E280" s="6">
        <f>UPPER(Sheet1!G280)</f>
        <v/>
      </c>
      <c r="F280" s="6">
        <f>UPPER(Sheet1!H280)</f>
        <v/>
      </c>
      <c r="G280" s="5">
        <f>TEXT(Sheet1!C280,"dd/mm/yyyy") &amp; "," &amp; Sheet1!D280</f>
        <v/>
      </c>
      <c r="H280" s="38">
        <f>UPPER(Sheet1!J280 &amp; "," &amp; Sheet1!K280 &amp; "," &amp; Sheet1!L280)</f>
        <v/>
      </c>
      <c r="I280" s="45">
        <f>Sheet1!I280</f>
        <v/>
      </c>
      <c r="J280" s="5">
        <f>Sheet1!M280 &amp; "," &amp; TEXT(Sheet1!N280,"dd/mm/yy")</f>
        <v/>
      </c>
      <c r="K280" s="5" t="inlineStr">
        <is>
          <t>PRINTED</t>
        </is>
      </c>
      <c r="L280" s="30" t="inlineStr">
        <is>
          <t>25/03/2026</t>
        </is>
      </c>
      <c r="M280" s="30" t="inlineStr">
        <is>
          <t>MANISH KATARIA, VICE CONSUL</t>
        </is>
      </c>
      <c r="N280" s="30" t="inlineStr">
        <is>
          <t>26/02/2026</t>
        </is>
      </c>
    </row>
    <row r="281">
      <c r="A281" s="4">
        <f>Sheet1!A281 &amp; "/" &amp; "2025"</f>
        <v/>
      </c>
      <c r="B281" s="5">
        <f>Sheet1!E281</f>
        <v/>
      </c>
      <c r="C281" s="6">
        <f>UPPER(Sheet1!B281)</f>
        <v/>
      </c>
      <c r="D281" s="7">
        <f>IF(Sheet1!F281="F","FEMALE","MALE")</f>
        <v/>
      </c>
      <c r="E281" s="6">
        <f>UPPER(Sheet1!G281)</f>
        <v/>
      </c>
      <c r="F281" s="6">
        <f>UPPER(Sheet1!H281)</f>
        <v/>
      </c>
      <c r="G281" s="5">
        <f>TEXT(Sheet1!C281,"dd/mm/yyyy") &amp; "," &amp; Sheet1!D281</f>
        <v/>
      </c>
      <c r="H281" s="38">
        <f>UPPER(Sheet1!J281 &amp; "," &amp; Sheet1!K281 &amp; "," &amp; Sheet1!L281)</f>
        <v/>
      </c>
      <c r="I281" s="45">
        <f>Sheet1!I281</f>
        <v/>
      </c>
      <c r="J281" s="5">
        <f>Sheet1!M281 &amp; "," &amp; TEXT(Sheet1!N281,"dd/mm/yy")</f>
        <v/>
      </c>
      <c r="K281" s="5" t="inlineStr">
        <is>
          <t>PRINTED</t>
        </is>
      </c>
      <c r="L281" s="30" t="inlineStr">
        <is>
          <t>25/03/2026</t>
        </is>
      </c>
      <c r="M281" s="30" t="inlineStr">
        <is>
          <t>MANISH KATARIA, VICE CONSUL</t>
        </is>
      </c>
      <c r="N281" s="30" t="inlineStr">
        <is>
          <t>26/02/2026</t>
        </is>
      </c>
    </row>
    <row r="282">
      <c r="A282" s="4">
        <f>Sheet1!A282 &amp; "/" &amp; "2025"</f>
        <v/>
      </c>
      <c r="B282" s="5">
        <f>Sheet1!E282</f>
        <v/>
      </c>
      <c r="C282" s="6">
        <f>UPPER(Sheet1!B282)</f>
        <v/>
      </c>
      <c r="D282" s="7">
        <f>IF(Sheet1!F282="F","FEMALE","MALE")</f>
        <v/>
      </c>
      <c r="E282" s="6">
        <f>UPPER(Sheet1!G282)</f>
        <v/>
      </c>
      <c r="F282" s="6">
        <f>UPPER(Sheet1!H282)</f>
        <v/>
      </c>
      <c r="G282" s="5">
        <f>TEXT(Sheet1!C282,"dd/mm/yyyy") &amp; "," &amp; Sheet1!D282</f>
        <v/>
      </c>
      <c r="H282" s="38">
        <f>UPPER(Sheet1!J282 &amp; "," &amp; Sheet1!K282 &amp; "," &amp; Sheet1!L282)</f>
        <v/>
      </c>
      <c r="I282" s="45">
        <f>Sheet1!I282</f>
        <v/>
      </c>
      <c r="J282" s="5">
        <f>Sheet1!M282 &amp; "," &amp; TEXT(Sheet1!N282,"dd/mm/yy")</f>
        <v/>
      </c>
      <c r="K282" s="5" t="inlineStr">
        <is>
          <t>PRINTED</t>
        </is>
      </c>
      <c r="L282" s="30" t="inlineStr">
        <is>
          <t>25/03/2026</t>
        </is>
      </c>
      <c r="M282" s="30" t="inlineStr">
        <is>
          <t>MANISH KATARIA, VICE CONSUL</t>
        </is>
      </c>
      <c r="N282" s="30" t="inlineStr">
        <is>
          <t>26/02/2026</t>
        </is>
      </c>
    </row>
    <row r="283">
      <c r="A283" s="4">
        <f>Sheet1!A283 &amp; "/" &amp; "2025"</f>
        <v/>
      </c>
      <c r="B283" s="5">
        <f>Sheet1!E283</f>
        <v/>
      </c>
      <c r="C283" s="6">
        <f>UPPER(Sheet1!B283)</f>
        <v/>
      </c>
      <c r="D283" s="7">
        <f>IF(Sheet1!F283="F","FEMALE","MALE")</f>
        <v/>
      </c>
      <c r="E283" s="6">
        <f>UPPER(Sheet1!G283)</f>
        <v/>
      </c>
      <c r="F283" s="6">
        <f>UPPER(Sheet1!H283)</f>
        <v/>
      </c>
      <c r="G283" s="5">
        <f>TEXT(Sheet1!C283,"dd/mm/yyyy") &amp; "," &amp; Sheet1!D283</f>
        <v/>
      </c>
      <c r="H283" s="38">
        <f>UPPER(Sheet1!J283 &amp; "," &amp; Sheet1!K283 &amp; "," &amp; Sheet1!L283)</f>
        <v/>
      </c>
      <c r="I283" s="45">
        <f>Sheet1!I283</f>
        <v/>
      </c>
      <c r="J283" s="5">
        <f>Sheet1!M283 &amp; "," &amp; TEXT(Sheet1!N283,"dd/mm/yy")</f>
        <v/>
      </c>
      <c r="K283" s="5" t="inlineStr">
        <is>
          <t>PRINTED</t>
        </is>
      </c>
      <c r="L283" s="30" t="inlineStr">
        <is>
          <t>25/03/2026</t>
        </is>
      </c>
      <c r="M283" s="30" t="inlineStr">
        <is>
          <t>MANISH KATARIA, VICE CONSUL</t>
        </is>
      </c>
      <c r="N283" s="30" t="inlineStr">
        <is>
          <t>26/02/2026</t>
        </is>
      </c>
    </row>
    <row r="284">
      <c r="A284" s="4">
        <f>Sheet1!A284 &amp; "/" &amp; "2025"</f>
        <v/>
      </c>
      <c r="B284" s="5">
        <f>Sheet1!E284</f>
        <v/>
      </c>
      <c r="C284" s="6">
        <f>UPPER(Sheet1!B284)</f>
        <v/>
      </c>
      <c r="D284" s="7">
        <f>IF(Sheet1!F284="F","FEMALE","MALE")</f>
        <v/>
      </c>
      <c r="E284" s="6">
        <f>UPPER(Sheet1!G284)</f>
        <v/>
      </c>
      <c r="F284" s="6">
        <f>UPPER(Sheet1!H284)</f>
        <v/>
      </c>
      <c r="G284" s="5">
        <f>TEXT(Sheet1!C284,"dd/mm/yyyy") &amp; "," &amp; Sheet1!D284</f>
        <v/>
      </c>
      <c r="H284" s="38">
        <f>UPPER(Sheet1!J284 &amp; "," &amp; Sheet1!K284 &amp; "," &amp; Sheet1!L284)</f>
        <v/>
      </c>
      <c r="I284" s="45">
        <f>Sheet1!I284</f>
        <v/>
      </c>
      <c r="J284" s="5">
        <f>Sheet1!M284 &amp; "," &amp; TEXT(Sheet1!N284,"dd/mm/yy")</f>
        <v/>
      </c>
      <c r="K284" s="5" t="inlineStr">
        <is>
          <t>PRINTED</t>
        </is>
      </c>
      <c r="L284" s="30" t="inlineStr">
        <is>
          <t>25/03/2026</t>
        </is>
      </c>
      <c r="M284" s="30" t="inlineStr">
        <is>
          <t>MANISH KATARIA, VICE CONSUL</t>
        </is>
      </c>
      <c r="N284" s="30" t="inlineStr">
        <is>
          <t>26/02/2026</t>
        </is>
      </c>
    </row>
    <row r="285">
      <c r="A285" s="4">
        <f>Sheet1!A285 &amp; "/" &amp; "2025"</f>
        <v/>
      </c>
      <c r="B285" s="5">
        <f>Sheet1!E285</f>
        <v/>
      </c>
      <c r="C285" s="6">
        <f>UPPER(Sheet1!B285)</f>
        <v/>
      </c>
      <c r="D285" s="7">
        <f>IF(Sheet1!F285="F","FEMALE","MALE")</f>
        <v/>
      </c>
      <c r="E285" s="6">
        <f>UPPER(Sheet1!G285)</f>
        <v/>
      </c>
      <c r="F285" s="6">
        <f>UPPER(Sheet1!H285)</f>
        <v/>
      </c>
      <c r="G285" s="5">
        <f>TEXT(Sheet1!C285,"dd/mm/yyyy") &amp; "," &amp; Sheet1!D285</f>
        <v/>
      </c>
      <c r="H285" s="38">
        <f>UPPER(Sheet1!J285 &amp; "," &amp; Sheet1!K285 &amp; "," &amp; Sheet1!L285)</f>
        <v/>
      </c>
      <c r="I285" s="45">
        <f>Sheet1!I285</f>
        <v/>
      </c>
      <c r="J285" s="5">
        <f>Sheet1!M285 &amp; "," &amp; TEXT(Sheet1!N285,"dd/mm/yy")</f>
        <v/>
      </c>
      <c r="K285" s="5" t="inlineStr">
        <is>
          <t>PRINTED</t>
        </is>
      </c>
      <c r="L285" s="30" t="inlineStr">
        <is>
          <t>25/03/2026</t>
        </is>
      </c>
      <c r="M285" s="30" t="inlineStr">
        <is>
          <t>MANISH KATARIA, VICE CONSUL</t>
        </is>
      </c>
      <c r="N285" s="30" t="inlineStr">
        <is>
          <t>26/02/2026</t>
        </is>
      </c>
    </row>
    <row r="286">
      <c r="A286" s="4">
        <f>Sheet1!A286 &amp; "/" &amp; "2025"</f>
        <v/>
      </c>
      <c r="B286" s="5">
        <f>Sheet1!E286</f>
        <v/>
      </c>
      <c r="C286" s="6">
        <f>UPPER(Sheet1!B286)</f>
        <v/>
      </c>
      <c r="D286" s="7">
        <f>IF(Sheet1!F286="F","FEMALE","MALE")</f>
        <v/>
      </c>
      <c r="E286" s="6">
        <f>UPPER(Sheet1!G286)</f>
        <v/>
      </c>
      <c r="F286" s="6">
        <f>UPPER(Sheet1!H286)</f>
        <v/>
      </c>
      <c r="G286" s="5">
        <f>TEXT(Sheet1!C286,"dd/mm/yyyy") &amp; "," &amp; Sheet1!D286</f>
        <v/>
      </c>
      <c r="H286" s="38">
        <f>UPPER(Sheet1!J286 &amp; "," &amp; Sheet1!K286 &amp; "," &amp; Sheet1!L286)</f>
        <v/>
      </c>
      <c r="I286" s="45">
        <f>Sheet1!I286</f>
        <v/>
      </c>
      <c r="J286" s="5">
        <f>Sheet1!M286 &amp; "," &amp; TEXT(Sheet1!N286,"dd/mm/yy")</f>
        <v/>
      </c>
      <c r="K286" s="5" t="inlineStr">
        <is>
          <t>PRINTED</t>
        </is>
      </c>
      <c r="L286" s="30" t="inlineStr">
        <is>
          <t>25/03/2026</t>
        </is>
      </c>
      <c r="M286" s="30" t="inlineStr">
        <is>
          <t>MANISH KATARIA, VICE CONSUL</t>
        </is>
      </c>
      <c r="N286" s="30" t="inlineStr">
        <is>
          <t>26/02/2026</t>
        </is>
      </c>
    </row>
    <row r="287">
      <c r="A287" s="4">
        <f>Sheet1!A287 &amp; "/" &amp; "2025"</f>
        <v/>
      </c>
      <c r="B287" s="5">
        <f>Sheet1!E287</f>
        <v/>
      </c>
      <c r="C287" s="6">
        <f>UPPER(Sheet1!B287)</f>
        <v/>
      </c>
      <c r="D287" s="7">
        <f>IF(Sheet1!F287="F","FEMALE","MALE")</f>
        <v/>
      </c>
      <c r="E287" s="6">
        <f>UPPER(Sheet1!G287)</f>
        <v/>
      </c>
      <c r="F287" s="6">
        <f>UPPER(Sheet1!H287)</f>
        <v/>
      </c>
      <c r="G287" s="5">
        <f>TEXT(Sheet1!C287,"dd/mm/yyyy") &amp; "," &amp; Sheet1!D287</f>
        <v/>
      </c>
      <c r="H287" s="38">
        <f>UPPER(Sheet1!J287 &amp; "," &amp; Sheet1!K287 &amp; "," &amp; Sheet1!L287)</f>
        <v/>
      </c>
      <c r="I287" s="45">
        <f>Sheet1!I287</f>
        <v/>
      </c>
      <c r="J287" s="5">
        <f>Sheet1!M287 &amp; "," &amp; TEXT(Sheet1!N287,"dd/mm/yy")</f>
        <v/>
      </c>
      <c r="K287" s="5" t="inlineStr">
        <is>
          <t>PRINTED</t>
        </is>
      </c>
      <c r="L287" s="30" t="inlineStr">
        <is>
          <t>25/03/2026</t>
        </is>
      </c>
      <c r="M287" s="30" t="inlineStr">
        <is>
          <t>MANISH KATARIA, VICE CONSUL</t>
        </is>
      </c>
      <c r="N287" s="30" t="inlineStr">
        <is>
          <t>26/02/2026</t>
        </is>
      </c>
    </row>
    <row r="288">
      <c r="A288" s="4">
        <f>Sheet1!A288 &amp; "/" &amp; "2025"</f>
        <v/>
      </c>
      <c r="B288" s="5">
        <f>Sheet1!E288</f>
        <v/>
      </c>
      <c r="C288" s="6">
        <f>UPPER(Sheet1!B288)</f>
        <v/>
      </c>
      <c r="D288" s="7">
        <f>IF(Sheet1!F288="F","FEMALE","MALE")</f>
        <v/>
      </c>
      <c r="E288" s="6">
        <f>UPPER(Sheet1!G288)</f>
        <v/>
      </c>
      <c r="F288" s="6">
        <f>UPPER(Sheet1!H288)</f>
        <v/>
      </c>
      <c r="G288" s="5">
        <f>TEXT(Sheet1!C288,"dd/mm/yyyy") &amp; "," &amp; Sheet1!D288</f>
        <v/>
      </c>
      <c r="H288" s="38">
        <f>UPPER(Sheet1!J288 &amp; "," &amp; Sheet1!K288 &amp; "," &amp; Sheet1!L288)</f>
        <v/>
      </c>
      <c r="I288" s="45">
        <f>Sheet1!I288</f>
        <v/>
      </c>
      <c r="J288" s="5">
        <f>Sheet1!M288 &amp; "," &amp; TEXT(Sheet1!N288,"dd/mm/yy")</f>
        <v/>
      </c>
      <c r="K288" s="5" t="inlineStr">
        <is>
          <t>PRINTED</t>
        </is>
      </c>
      <c r="L288" s="30" t="inlineStr">
        <is>
          <t>25/03/2026</t>
        </is>
      </c>
      <c r="M288" s="30" t="inlineStr">
        <is>
          <t>MANISH KATARIA, VICE CONSUL</t>
        </is>
      </c>
      <c r="N288" s="30" t="inlineStr">
        <is>
          <t>26/02/2026</t>
        </is>
      </c>
    </row>
    <row r="289">
      <c r="A289" s="4">
        <f>Sheet1!A289 &amp; "/" &amp; "2025"</f>
        <v/>
      </c>
      <c r="B289" s="5">
        <f>Sheet1!E289</f>
        <v/>
      </c>
      <c r="C289" s="6">
        <f>UPPER(Sheet1!B289)</f>
        <v/>
      </c>
      <c r="D289" s="7">
        <f>IF(Sheet1!F289="F","FEMALE","MALE")</f>
        <v/>
      </c>
      <c r="E289" s="6">
        <f>UPPER(Sheet1!G289)</f>
        <v/>
      </c>
      <c r="F289" s="6">
        <f>UPPER(Sheet1!H289)</f>
        <v/>
      </c>
      <c r="G289" s="5">
        <f>TEXT(Sheet1!C289,"dd/mm/yyyy") &amp; "," &amp; Sheet1!D289</f>
        <v/>
      </c>
      <c r="H289" s="38">
        <f>UPPER(Sheet1!J289 &amp; "," &amp; Sheet1!K289 &amp; "," &amp; Sheet1!L289)</f>
        <v/>
      </c>
      <c r="I289" s="45">
        <f>Sheet1!I289</f>
        <v/>
      </c>
      <c r="J289" s="5">
        <f>Sheet1!M289 &amp; "," &amp; TEXT(Sheet1!N289,"dd/mm/yy")</f>
        <v/>
      </c>
      <c r="K289" s="5" t="inlineStr">
        <is>
          <t>PRINTED</t>
        </is>
      </c>
      <c r="L289" s="30" t="inlineStr">
        <is>
          <t>25/03/2026</t>
        </is>
      </c>
      <c r="M289" s="30" t="inlineStr">
        <is>
          <t>MANISH KATARIA, VICE CONSUL</t>
        </is>
      </c>
      <c r="N289" s="30" t="inlineStr">
        <is>
          <t>26/02/2026</t>
        </is>
      </c>
    </row>
    <row r="290">
      <c r="A290" s="4">
        <f>Sheet1!A290 &amp; "/" &amp; "2025"</f>
        <v/>
      </c>
      <c r="B290" s="5">
        <f>Sheet1!E290</f>
        <v/>
      </c>
      <c r="C290" s="6">
        <f>UPPER(Sheet1!B290)</f>
        <v/>
      </c>
      <c r="D290" s="7">
        <f>IF(Sheet1!F290="F","FEMALE","MALE")</f>
        <v/>
      </c>
      <c r="E290" s="6">
        <f>UPPER(Sheet1!G290)</f>
        <v/>
      </c>
      <c r="F290" s="6">
        <f>UPPER(Sheet1!H290)</f>
        <v/>
      </c>
      <c r="G290" s="5">
        <f>TEXT(Sheet1!C290,"dd/mm/yyyy") &amp; "," &amp; Sheet1!D290</f>
        <v/>
      </c>
      <c r="H290" s="38">
        <f>UPPER(Sheet1!J290 &amp; "," &amp; Sheet1!K290 &amp; "," &amp; Sheet1!L290)</f>
        <v/>
      </c>
      <c r="I290" s="45">
        <f>Sheet1!I290</f>
        <v/>
      </c>
      <c r="J290" s="5">
        <f>Sheet1!M290 &amp; "," &amp; TEXT(Sheet1!N290,"dd/mm/yy")</f>
        <v/>
      </c>
      <c r="K290" s="5" t="inlineStr">
        <is>
          <t>PRINTED</t>
        </is>
      </c>
      <c r="L290" s="30" t="inlineStr">
        <is>
          <t>25/03/2026</t>
        </is>
      </c>
      <c r="M290" s="30" t="inlineStr">
        <is>
          <t>MANISH KATARIA, VICE CONSUL</t>
        </is>
      </c>
      <c r="N290" s="30" t="inlineStr">
        <is>
          <t>26/02/2026</t>
        </is>
      </c>
    </row>
    <row r="291">
      <c r="A291" s="4">
        <f>Sheet1!A291 &amp; "/" &amp; "2025"</f>
        <v/>
      </c>
      <c r="B291" s="5">
        <f>Sheet1!E291</f>
        <v/>
      </c>
      <c r="C291" s="6">
        <f>UPPER(Sheet1!B291)</f>
        <v/>
      </c>
      <c r="D291" s="7">
        <f>IF(Sheet1!F291="F","FEMALE","MALE")</f>
        <v/>
      </c>
      <c r="E291" s="6">
        <f>UPPER(Sheet1!G291)</f>
        <v/>
      </c>
      <c r="F291" s="6">
        <f>UPPER(Sheet1!H291)</f>
        <v/>
      </c>
      <c r="G291" s="5">
        <f>TEXT(Sheet1!C291,"dd/mm/yyyy") &amp; "," &amp; Sheet1!D291</f>
        <v/>
      </c>
      <c r="H291" s="38">
        <f>UPPER(Sheet1!J291 &amp; "," &amp; Sheet1!K291 &amp; "," &amp; Sheet1!L291)</f>
        <v/>
      </c>
      <c r="I291" s="45">
        <f>Sheet1!I291</f>
        <v/>
      </c>
      <c r="J291" s="5">
        <f>Sheet1!M291 &amp; "," &amp; TEXT(Sheet1!N291,"dd/mm/yy")</f>
        <v/>
      </c>
      <c r="K291" s="5" t="inlineStr">
        <is>
          <t>PRINTED</t>
        </is>
      </c>
      <c r="L291" s="30" t="inlineStr">
        <is>
          <t>25/03/2026</t>
        </is>
      </c>
      <c r="M291" s="30" t="inlineStr">
        <is>
          <t>MANISH KATARIA, VICE CONSUL</t>
        </is>
      </c>
      <c r="N291" s="30" t="inlineStr">
        <is>
          <t>26/02/2026</t>
        </is>
      </c>
    </row>
    <row r="292">
      <c r="A292" s="4">
        <f>Sheet1!A292 &amp; "/" &amp; "2025"</f>
        <v/>
      </c>
      <c r="B292" s="5">
        <f>Sheet1!E292</f>
        <v/>
      </c>
      <c r="C292" s="6">
        <f>UPPER(Sheet1!B292)</f>
        <v/>
      </c>
      <c r="D292" s="7">
        <f>IF(Sheet1!F292="F","FEMALE","MALE")</f>
        <v/>
      </c>
      <c r="E292" s="6">
        <f>UPPER(Sheet1!G292)</f>
        <v/>
      </c>
      <c r="F292" s="6">
        <f>UPPER(Sheet1!H292)</f>
        <v/>
      </c>
      <c r="G292" s="5">
        <f>TEXT(Sheet1!C292,"dd/mm/yyyy") &amp; "," &amp; Sheet1!D292</f>
        <v/>
      </c>
      <c r="H292" s="38">
        <f>UPPER(Sheet1!J292 &amp; "," &amp; Sheet1!K292 &amp; "," &amp; Sheet1!L292)</f>
        <v/>
      </c>
      <c r="I292" s="45">
        <f>Sheet1!I292</f>
        <v/>
      </c>
      <c r="J292" s="5">
        <f>Sheet1!M292 &amp; "," &amp; TEXT(Sheet1!N292,"dd/mm/yy")</f>
        <v/>
      </c>
      <c r="K292" s="5" t="inlineStr">
        <is>
          <t>PRINTED</t>
        </is>
      </c>
      <c r="L292" s="30" t="inlineStr">
        <is>
          <t>25/03/2026</t>
        </is>
      </c>
      <c r="M292" s="30" t="inlineStr">
        <is>
          <t>MANISH KATARIA, VICE CONSUL</t>
        </is>
      </c>
      <c r="N292" s="30" t="inlineStr">
        <is>
          <t>26/02/2026</t>
        </is>
      </c>
    </row>
    <row r="293">
      <c r="A293" s="4">
        <f>Sheet1!A293 &amp; "/" &amp; "2025"</f>
        <v/>
      </c>
      <c r="B293" s="5">
        <f>Sheet1!E293</f>
        <v/>
      </c>
      <c r="C293" s="6">
        <f>UPPER(Sheet1!B293)</f>
        <v/>
      </c>
      <c r="D293" s="7">
        <f>IF(Sheet1!F293="F","FEMALE","MALE")</f>
        <v/>
      </c>
      <c r="E293" s="6">
        <f>UPPER(Sheet1!G293)</f>
        <v/>
      </c>
      <c r="F293" s="6">
        <f>UPPER(Sheet1!H293)</f>
        <v/>
      </c>
      <c r="G293" s="5">
        <f>TEXT(Sheet1!C293,"dd/mm/yyyy") &amp; "," &amp; Sheet1!D293</f>
        <v/>
      </c>
      <c r="H293" s="38">
        <f>UPPER(Sheet1!J293 &amp; "," &amp; Sheet1!K293 &amp; "," &amp; Sheet1!L293)</f>
        <v/>
      </c>
      <c r="I293" s="45">
        <f>Sheet1!I293</f>
        <v/>
      </c>
      <c r="J293" s="5">
        <f>Sheet1!M293 &amp; "," &amp; TEXT(Sheet1!N293,"dd/mm/yy")</f>
        <v/>
      </c>
      <c r="K293" s="5" t="inlineStr">
        <is>
          <t>PRINTED</t>
        </is>
      </c>
      <c r="L293" s="30" t="inlineStr">
        <is>
          <t>25/03/2026</t>
        </is>
      </c>
      <c r="M293" s="30" t="inlineStr">
        <is>
          <t>MANISH KATARIA, VICE CONSUL</t>
        </is>
      </c>
      <c r="N293" s="30" t="inlineStr">
        <is>
          <t>26/02/2026</t>
        </is>
      </c>
    </row>
    <row r="294">
      <c r="A294" s="4">
        <f>Sheet1!A294 &amp; "/" &amp; "2025"</f>
        <v/>
      </c>
      <c r="B294" s="5">
        <f>Sheet1!E294</f>
        <v/>
      </c>
      <c r="C294" s="6">
        <f>UPPER(Sheet1!B294)</f>
        <v/>
      </c>
      <c r="D294" s="7">
        <f>IF(Sheet1!F294="F","FEMALE","MALE")</f>
        <v/>
      </c>
      <c r="E294" s="6">
        <f>UPPER(Sheet1!G294)</f>
        <v/>
      </c>
      <c r="F294" s="6">
        <f>UPPER(Sheet1!H294)</f>
        <v/>
      </c>
      <c r="G294" s="5">
        <f>TEXT(Sheet1!C294,"dd/mm/yyyy") &amp; "," &amp; Sheet1!D294</f>
        <v/>
      </c>
      <c r="H294" s="38">
        <f>UPPER(Sheet1!J294 &amp; "," &amp; Sheet1!K294 &amp; "," &amp; Sheet1!L294)</f>
        <v/>
      </c>
      <c r="I294" s="45">
        <f>Sheet1!I294</f>
        <v/>
      </c>
      <c r="J294" s="5">
        <f>Sheet1!M294 &amp; "," &amp; TEXT(Sheet1!N294,"dd/mm/yy")</f>
        <v/>
      </c>
      <c r="K294" s="5" t="inlineStr">
        <is>
          <t>PRINTED</t>
        </is>
      </c>
      <c r="L294" s="30" t="inlineStr">
        <is>
          <t>25/03/2026</t>
        </is>
      </c>
      <c r="M294" s="30" t="inlineStr">
        <is>
          <t>MANISH KATARIA, VICE CONSUL</t>
        </is>
      </c>
      <c r="N294" s="30" t="inlineStr">
        <is>
          <t>26/02/2026</t>
        </is>
      </c>
    </row>
    <row r="295">
      <c r="A295" s="4">
        <f>Sheet1!A295 &amp; "/" &amp; "2025"</f>
        <v/>
      </c>
      <c r="B295" s="5">
        <f>Sheet1!E295</f>
        <v/>
      </c>
      <c r="C295" s="6">
        <f>UPPER(Sheet1!B295)</f>
        <v/>
      </c>
      <c r="D295" s="7">
        <f>IF(Sheet1!F295="F","FEMALE","MALE")</f>
        <v/>
      </c>
      <c r="E295" s="6">
        <f>UPPER(Sheet1!G295)</f>
        <v/>
      </c>
      <c r="F295" s="6">
        <f>UPPER(Sheet1!H295)</f>
        <v/>
      </c>
      <c r="G295" s="5">
        <f>TEXT(Sheet1!C295,"dd/mm/yyyy") &amp; "," &amp; Sheet1!D295</f>
        <v/>
      </c>
      <c r="H295" s="38">
        <f>UPPER(Sheet1!J295 &amp; "," &amp; Sheet1!K295 &amp; "," &amp; Sheet1!L295)</f>
        <v/>
      </c>
      <c r="I295" s="45">
        <f>Sheet1!I295</f>
        <v/>
      </c>
      <c r="J295" s="5">
        <f>Sheet1!M295 &amp; "," &amp; TEXT(Sheet1!N295,"dd/mm/yy")</f>
        <v/>
      </c>
      <c r="K295" s="5" t="inlineStr">
        <is>
          <t>PRINTED</t>
        </is>
      </c>
      <c r="L295" s="30" t="inlineStr">
        <is>
          <t>25/03/2026</t>
        </is>
      </c>
      <c r="M295" s="30" t="inlineStr">
        <is>
          <t>MANISH KATARIA, VICE CONSUL</t>
        </is>
      </c>
      <c r="N295" s="30" t="inlineStr">
        <is>
          <t>26/02/2026</t>
        </is>
      </c>
    </row>
    <row r="296">
      <c r="A296" s="4">
        <f>Sheet1!A296 &amp; "/" &amp; "2025"</f>
        <v/>
      </c>
      <c r="B296" s="5">
        <f>Sheet1!E296</f>
        <v/>
      </c>
      <c r="C296" s="6">
        <f>UPPER(Sheet1!B296)</f>
        <v/>
      </c>
      <c r="D296" s="7">
        <f>IF(Sheet1!F296="F","FEMALE","MALE")</f>
        <v/>
      </c>
      <c r="E296" s="6">
        <f>UPPER(Sheet1!G296)</f>
        <v/>
      </c>
      <c r="F296" s="6">
        <f>UPPER(Sheet1!H296)</f>
        <v/>
      </c>
      <c r="G296" s="5">
        <f>TEXT(Sheet1!C296,"dd/mm/yyyy") &amp; "," &amp; Sheet1!D296</f>
        <v/>
      </c>
      <c r="H296" s="38">
        <f>UPPER(Sheet1!J296 &amp; "," &amp; Sheet1!K296 &amp; "," &amp; Sheet1!L296)</f>
        <v/>
      </c>
      <c r="I296" s="45">
        <f>Sheet1!I296</f>
        <v/>
      </c>
      <c r="J296" s="5">
        <f>Sheet1!M296 &amp; "," &amp; TEXT(Sheet1!N296,"dd/mm/yy")</f>
        <v/>
      </c>
      <c r="K296" s="5" t="inlineStr">
        <is>
          <t>PRINTED</t>
        </is>
      </c>
      <c r="L296" s="30" t="inlineStr">
        <is>
          <t>25/03/2026</t>
        </is>
      </c>
      <c r="M296" s="30" t="inlineStr">
        <is>
          <t>MANISH KATARIA, VICE CONSUL</t>
        </is>
      </c>
      <c r="N296" s="30" t="inlineStr">
        <is>
          <t>26/02/2026</t>
        </is>
      </c>
    </row>
    <row r="297">
      <c r="A297" s="4">
        <f>Sheet1!A297 &amp; "/" &amp; "2025"</f>
        <v/>
      </c>
      <c r="B297" s="5">
        <f>Sheet1!E297</f>
        <v/>
      </c>
      <c r="C297" s="6">
        <f>UPPER(Sheet1!B297)</f>
        <v/>
      </c>
      <c r="D297" s="7">
        <f>IF(Sheet1!F297="F","FEMALE","MALE")</f>
        <v/>
      </c>
      <c r="E297" s="6">
        <f>UPPER(Sheet1!G297)</f>
        <v/>
      </c>
      <c r="F297" s="6">
        <f>UPPER(Sheet1!H297)</f>
        <v/>
      </c>
      <c r="G297" s="5">
        <f>TEXT(Sheet1!C297,"dd/mm/yyyy") &amp; "," &amp; Sheet1!D297</f>
        <v/>
      </c>
      <c r="H297" s="38">
        <f>UPPER(Sheet1!J297 &amp; "," &amp; Sheet1!K297 &amp; "," &amp; Sheet1!L297)</f>
        <v/>
      </c>
      <c r="I297" s="45">
        <f>Sheet1!I297</f>
        <v/>
      </c>
      <c r="J297" s="5">
        <f>Sheet1!M297 &amp; "," &amp; TEXT(Sheet1!N297,"dd/mm/yy")</f>
        <v/>
      </c>
      <c r="K297" s="5" t="inlineStr">
        <is>
          <t>PRINTED</t>
        </is>
      </c>
      <c r="L297" s="30" t="inlineStr">
        <is>
          <t>25/03/2026</t>
        </is>
      </c>
      <c r="M297" s="30" t="inlineStr">
        <is>
          <t>MANISH KATARIA, VICE CONSUL</t>
        </is>
      </c>
      <c r="N297" s="30" t="inlineStr">
        <is>
          <t>26/02/2026</t>
        </is>
      </c>
    </row>
    <row r="298">
      <c r="A298" s="4">
        <f>Sheet1!A298 &amp; "/" &amp; "2025"</f>
        <v/>
      </c>
      <c r="B298" s="5">
        <f>Sheet1!E298</f>
        <v/>
      </c>
      <c r="C298" s="6">
        <f>UPPER(Sheet1!B298)</f>
        <v/>
      </c>
      <c r="D298" s="7">
        <f>IF(Sheet1!F298="F","FEMALE","MALE")</f>
        <v/>
      </c>
      <c r="E298" s="6">
        <f>UPPER(Sheet1!G298)</f>
        <v/>
      </c>
      <c r="F298" s="6">
        <f>UPPER(Sheet1!H298)</f>
        <v/>
      </c>
      <c r="G298" s="5">
        <f>TEXT(Sheet1!C298,"dd/mm/yyyy") &amp; "," &amp; Sheet1!D298</f>
        <v/>
      </c>
      <c r="H298" s="38">
        <f>UPPER(Sheet1!J298 &amp; "," &amp; Sheet1!K298 &amp; "," &amp; Sheet1!L298)</f>
        <v/>
      </c>
      <c r="I298" s="45">
        <f>Sheet1!I298</f>
        <v/>
      </c>
      <c r="J298" s="5">
        <f>Sheet1!M298 &amp; "," &amp; TEXT(Sheet1!N298,"dd/mm/yy")</f>
        <v/>
      </c>
      <c r="K298" s="5" t="inlineStr">
        <is>
          <t>PRINTED</t>
        </is>
      </c>
      <c r="L298" s="30" t="inlineStr">
        <is>
          <t>25/03/2026</t>
        </is>
      </c>
      <c r="M298" s="30" t="inlineStr">
        <is>
          <t>MANISH KATARIA, VICE CONSUL</t>
        </is>
      </c>
      <c r="N298" s="30" t="inlineStr">
        <is>
          <t>26/02/2026</t>
        </is>
      </c>
    </row>
    <row r="299">
      <c r="A299" s="4">
        <f>Sheet1!A299 &amp; "/" &amp; "2025"</f>
        <v/>
      </c>
      <c r="B299" s="5">
        <f>Sheet1!E299</f>
        <v/>
      </c>
      <c r="C299" s="6">
        <f>UPPER(Sheet1!B299)</f>
        <v/>
      </c>
      <c r="D299" s="7">
        <f>IF(Sheet1!F299="F","FEMALE","MALE")</f>
        <v/>
      </c>
      <c r="E299" s="6">
        <f>UPPER(Sheet1!G299)</f>
        <v/>
      </c>
      <c r="F299" s="6">
        <f>UPPER(Sheet1!H299)</f>
        <v/>
      </c>
      <c r="G299" s="5">
        <f>TEXT(Sheet1!C299,"dd/mm/yyyy") &amp; "," &amp; Sheet1!D299</f>
        <v/>
      </c>
      <c r="H299" s="38">
        <f>UPPER(Sheet1!J299 &amp; "," &amp; Sheet1!K299 &amp; "," &amp; Sheet1!L299)</f>
        <v/>
      </c>
      <c r="I299" s="45">
        <f>Sheet1!I299</f>
        <v/>
      </c>
      <c r="J299" s="5">
        <f>Sheet1!M299 &amp; "," &amp; TEXT(Sheet1!N299,"dd/mm/yy")</f>
        <v/>
      </c>
      <c r="K299" s="5" t="inlineStr">
        <is>
          <t>PRINTED</t>
        </is>
      </c>
      <c r="L299" s="30" t="inlineStr">
        <is>
          <t>25/03/2026</t>
        </is>
      </c>
      <c r="M299" s="30" t="inlineStr">
        <is>
          <t>MANISH KATARIA, VICE CONSUL</t>
        </is>
      </c>
      <c r="N299" s="30" t="inlineStr">
        <is>
          <t>26/02/2026</t>
        </is>
      </c>
    </row>
    <row r="300">
      <c r="A300" s="4">
        <f>Sheet1!A300 &amp; "/" &amp; "2025"</f>
        <v/>
      </c>
      <c r="B300" s="5">
        <f>Sheet1!E300</f>
        <v/>
      </c>
      <c r="C300" s="6">
        <f>UPPER(Sheet1!B300)</f>
        <v/>
      </c>
      <c r="D300" s="7">
        <f>IF(Sheet1!F300="F","FEMALE","MALE")</f>
        <v/>
      </c>
      <c r="E300" s="6">
        <f>UPPER(Sheet1!G300)</f>
        <v/>
      </c>
      <c r="F300" s="6">
        <f>UPPER(Sheet1!H300)</f>
        <v/>
      </c>
      <c r="G300" s="5">
        <f>TEXT(Sheet1!C300,"dd/mm/yyyy") &amp; "," &amp; Sheet1!D300</f>
        <v/>
      </c>
      <c r="H300" s="38">
        <f>UPPER(Sheet1!J300 &amp; "," &amp; Sheet1!K300 &amp; "," &amp; Sheet1!L300)</f>
        <v/>
      </c>
      <c r="I300" s="45">
        <f>Sheet1!I300</f>
        <v/>
      </c>
      <c r="J300" s="5">
        <f>Sheet1!M300 &amp; "," &amp; TEXT(Sheet1!N300,"dd/mm/yy")</f>
        <v/>
      </c>
      <c r="K300" s="5" t="inlineStr">
        <is>
          <t>PRINTED</t>
        </is>
      </c>
      <c r="L300" s="30" t="inlineStr">
        <is>
          <t>25/03/2026</t>
        </is>
      </c>
      <c r="M300" s="30" t="inlineStr">
        <is>
          <t>MANISH KATARIA, VICE CONSUL</t>
        </is>
      </c>
      <c r="N300" s="30" t="inlineStr">
        <is>
          <t>26/02/2026</t>
        </is>
      </c>
    </row>
    <row r="301">
      <c r="A301" s="4">
        <f>Sheet1!A301 &amp; "/" &amp; "2025"</f>
        <v/>
      </c>
      <c r="B301" s="5">
        <f>Sheet1!E301</f>
        <v/>
      </c>
      <c r="C301" s="6">
        <f>UPPER(Sheet1!B301)</f>
        <v/>
      </c>
      <c r="D301" s="7">
        <f>IF(Sheet1!F301="F","FEMALE","MALE")</f>
        <v/>
      </c>
      <c r="E301" s="6">
        <f>UPPER(Sheet1!G301)</f>
        <v/>
      </c>
      <c r="F301" s="6">
        <f>UPPER(Sheet1!H301)</f>
        <v/>
      </c>
      <c r="G301" s="5">
        <f>TEXT(Sheet1!C301,"dd/mm/yyyy") &amp; "," &amp; Sheet1!D301</f>
        <v/>
      </c>
      <c r="H301" s="38">
        <f>UPPER(Sheet1!J301 &amp; "," &amp; Sheet1!K301 &amp; "," &amp; Sheet1!L301)</f>
        <v/>
      </c>
      <c r="I301" s="45">
        <f>Sheet1!I301</f>
        <v/>
      </c>
      <c r="J301" s="5">
        <f>Sheet1!M301 &amp; "," &amp; TEXT(Sheet1!N301,"dd/mm/yy")</f>
        <v/>
      </c>
      <c r="K301" s="5" t="inlineStr">
        <is>
          <t>PRINTED</t>
        </is>
      </c>
      <c r="L301" s="30" t="inlineStr">
        <is>
          <t>25/03/2026</t>
        </is>
      </c>
      <c r="M301" s="30" t="inlineStr">
        <is>
          <t>MANISH KATARIA, VICE CONSUL</t>
        </is>
      </c>
      <c r="N301" s="30" t="inlineStr">
        <is>
          <t>26/02/2026</t>
        </is>
      </c>
    </row>
    <row r="302">
      <c r="A302" s="4">
        <f>Sheet1!A302 &amp; "/" &amp; "2025"</f>
        <v/>
      </c>
      <c r="B302" s="5">
        <f>Sheet1!E302</f>
        <v/>
      </c>
      <c r="C302" s="6">
        <f>UPPER(Sheet1!B302)</f>
        <v/>
      </c>
      <c r="D302" s="7">
        <f>IF(Sheet1!F302="F","FEMALE","MALE")</f>
        <v/>
      </c>
      <c r="E302" s="6">
        <f>UPPER(Sheet1!G302)</f>
        <v/>
      </c>
      <c r="F302" s="6">
        <f>UPPER(Sheet1!H302)</f>
        <v/>
      </c>
      <c r="G302" s="5">
        <f>TEXT(Sheet1!C302,"dd/mm/yyyy") &amp; "," &amp; Sheet1!D302</f>
        <v/>
      </c>
      <c r="H302" s="38">
        <f>UPPER(Sheet1!J302 &amp; "," &amp; Sheet1!K302 &amp; "," &amp; Sheet1!L302)</f>
        <v/>
      </c>
      <c r="I302" s="45">
        <f>Sheet1!I302</f>
        <v/>
      </c>
      <c r="J302" s="5">
        <f>Sheet1!M302 &amp; "," &amp; TEXT(Sheet1!N302,"dd/mm/yy")</f>
        <v/>
      </c>
      <c r="K302" s="5" t="inlineStr">
        <is>
          <t>PRINTED</t>
        </is>
      </c>
      <c r="L302" s="30" t="inlineStr">
        <is>
          <t>25/03/2026</t>
        </is>
      </c>
      <c r="M302" s="30" t="inlineStr">
        <is>
          <t>MANISH KATARIA, VICE CONSUL</t>
        </is>
      </c>
      <c r="N302" s="30" t="inlineStr">
        <is>
          <t>26/02/2026</t>
        </is>
      </c>
    </row>
    <row r="303">
      <c r="A303" s="4">
        <f>Sheet1!A303 &amp; "/" &amp; "2025"</f>
        <v/>
      </c>
      <c r="B303" s="5">
        <f>Sheet1!E303</f>
        <v/>
      </c>
      <c r="C303" s="6">
        <f>UPPER(Sheet1!B303)</f>
        <v/>
      </c>
      <c r="D303" s="7">
        <f>IF(Sheet1!F303="F","FEMALE","MALE")</f>
        <v/>
      </c>
      <c r="E303" s="6">
        <f>UPPER(Sheet1!G303)</f>
        <v/>
      </c>
      <c r="F303" s="6">
        <f>UPPER(Sheet1!H303)</f>
        <v/>
      </c>
      <c r="G303" s="5">
        <f>TEXT(Sheet1!C303,"dd/mm/yyyy") &amp; "," &amp; Sheet1!D303</f>
        <v/>
      </c>
      <c r="H303" s="38">
        <f>UPPER(Sheet1!J303 &amp; "," &amp; Sheet1!K303 &amp; "," &amp; Sheet1!L303)</f>
        <v/>
      </c>
      <c r="I303" s="45">
        <f>Sheet1!I303</f>
        <v/>
      </c>
      <c r="J303" s="5">
        <f>Sheet1!M303 &amp; "," &amp; TEXT(Sheet1!N303,"dd/mm/yy")</f>
        <v/>
      </c>
      <c r="K303" s="5" t="inlineStr">
        <is>
          <t>PRINTED</t>
        </is>
      </c>
      <c r="L303" s="30" t="inlineStr">
        <is>
          <t>25/03/2026</t>
        </is>
      </c>
      <c r="M303" s="30" t="inlineStr">
        <is>
          <t>MANISH KATARIA, VICE CONSUL</t>
        </is>
      </c>
      <c r="N303" s="30" t="inlineStr">
        <is>
          <t>26/02/2026</t>
        </is>
      </c>
    </row>
    <row r="304">
      <c r="A304" s="4">
        <f>Sheet1!A304 &amp; "/" &amp; "2025"</f>
        <v/>
      </c>
      <c r="B304" s="5">
        <f>Sheet1!E304</f>
        <v/>
      </c>
      <c r="C304" s="6">
        <f>UPPER(Sheet1!B304)</f>
        <v/>
      </c>
      <c r="D304" s="7">
        <f>IF(Sheet1!F304="F","FEMALE","MALE")</f>
        <v/>
      </c>
      <c r="E304" s="6">
        <f>UPPER(Sheet1!G304)</f>
        <v/>
      </c>
      <c r="F304" s="6">
        <f>UPPER(Sheet1!H304)</f>
        <v/>
      </c>
      <c r="G304" s="5">
        <f>TEXT(Sheet1!C304,"dd/mm/yyyy") &amp; "," &amp; Sheet1!D304</f>
        <v/>
      </c>
      <c r="H304" s="38">
        <f>UPPER(Sheet1!J304 &amp; "," &amp; Sheet1!K304 &amp; "," &amp; Sheet1!L304)</f>
        <v/>
      </c>
      <c r="I304" s="45">
        <f>Sheet1!I304</f>
        <v/>
      </c>
      <c r="J304" s="5">
        <f>Sheet1!M304 &amp; "," &amp; TEXT(Sheet1!N304,"dd/mm/yy")</f>
        <v/>
      </c>
      <c r="K304" s="5" t="inlineStr">
        <is>
          <t>PRINTED</t>
        </is>
      </c>
      <c r="L304" s="30" t="inlineStr">
        <is>
          <t>25/03/2026</t>
        </is>
      </c>
      <c r="M304" s="30" t="inlineStr">
        <is>
          <t>MANISH KATARIA, VICE CONSUL</t>
        </is>
      </c>
      <c r="N304" s="30" t="inlineStr">
        <is>
          <t>26/02/2026</t>
        </is>
      </c>
    </row>
    <row r="305">
      <c r="A305" s="4">
        <f>Sheet1!A305 &amp; "/" &amp; "2025"</f>
        <v/>
      </c>
      <c r="B305" s="5">
        <f>Sheet1!E305</f>
        <v/>
      </c>
      <c r="C305" s="6">
        <f>UPPER(Sheet1!B305)</f>
        <v/>
      </c>
      <c r="D305" s="7">
        <f>IF(Sheet1!F305="F","FEMALE","MALE")</f>
        <v/>
      </c>
      <c r="E305" s="6">
        <f>UPPER(Sheet1!G305)</f>
        <v/>
      </c>
      <c r="F305" s="6">
        <f>UPPER(Sheet1!H305)</f>
        <v/>
      </c>
      <c r="G305" s="5">
        <f>TEXT(Sheet1!C305,"dd/mm/yyyy") &amp; "," &amp; Sheet1!D305</f>
        <v/>
      </c>
      <c r="H305" s="38">
        <f>UPPER(Sheet1!J305 &amp; "," &amp; Sheet1!K305 &amp; "," &amp; Sheet1!L305)</f>
        <v/>
      </c>
      <c r="I305" s="45">
        <f>Sheet1!I305</f>
        <v/>
      </c>
      <c r="J305" s="5">
        <f>Sheet1!M305 &amp; "," &amp; TEXT(Sheet1!N305,"dd/mm/yy")</f>
        <v/>
      </c>
      <c r="K305" s="5" t="inlineStr">
        <is>
          <t>PRINTED</t>
        </is>
      </c>
      <c r="L305" s="30" t="inlineStr">
        <is>
          <t>25/03/2026</t>
        </is>
      </c>
      <c r="M305" s="30" t="inlineStr">
        <is>
          <t>MANISH KATARIA, VICE CONSUL</t>
        </is>
      </c>
      <c r="N305" s="30" t="inlineStr">
        <is>
          <t>26/02/2026</t>
        </is>
      </c>
    </row>
    <row r="306">
      <c r="A306" s="4">
        <f>Sheet1!A306 &amp; "/" &amp; "2025"</f>
        <v/>
      </c>
      <c r="B306" s="5">
        <f>Sheet1!E306</f>
        <v/>
      </c>
      <c r="C306" s="6">
        <f>UPPER(Sheet1!B306)</f>
        <v/>
      </c>
      <c r="D306" s="7">
        <f>IF(Sheet1!F306="F","FEMALE","MALE")</f>
        <v/>
      </c>
      <c r="E306" s="6">
        <f>UPPER(Sheet1!G306)</f>
        <v/>
      </c>
      <c r="F306" s="6">
        <f>UPPER(Sheet1!H306)</f>
        <v/>
      </c>
      <c r="G306" s="5">
        <f>TEXT(Sheet1!C306,"dd/mm/yyyy") &amp; "," &amp; Sheet1!D306</f>
        <v/>
      </c>
      <c r="H306" s="38">
        <f>UPPER(Sheet1!J306 &amp; "," &amp; Sheet1!K306 &amp; "," &amp; Sheet1!L306)</f>
        <v/>
      </c>
      <c r="I306" s="45">
        <f>Sheet1!I306</f>
        <v/>
      </c>
      <c r="J306" s="5">
        <f>Sheet1!M306 &amp; "," &amp; TEXT(Sheet1!N306,"dd/mm/yy")</f>
        <v/>
      </c>
      <c r="K306" s="5" t="inlineStr">
        <is>
          <t>PRINTED</t>
        </is>
      </c>
      <c r="L306" s="30" t="inlineStr">
        <is>
          <t>25/03/2026</t>
        </is>
      </c>
      <c r="M306" s="30" t="inlineStr">
        <is>
          <t>MANISH KATARIA, VICE CONSUL</t>
        </is>
      </c>
      <c r="N306" s="30" t="inlineStr">
        <is>
          <t>26/02/2026</t>
        </is>
      </c>
    </row>
    <row r="307">
      <c r="A307" s="4">
        <f>Sheet1!A307 &amp; "/" &amp; "2025"</f>
        <v/>
      </c>
      <c r="B307" s="5">
        <f>Sheet1!E307</f>
        <v/>
      </c>
      <c r="C307" s="6">
        <f>UPPER(Sheet1!B307)</f>
        <v/>
      </c>
      <c r="D307" s="7">
        <f>IF(Sheet1!F307="F","FEMALE","MALE")</f>
        <v/>
      </c>
      <c r="E307" s="6">
        <f>UPPER(Sheet1!G307)</f>
        <v/>
      </c>
      <c r="F307" s="6">
        <f>UPPER(Sheet1!H307)</f>
        <v/>
      </c>
      <c r="G307" s="5">
        <f>TEXT(Sheet1!C307,"dd/mm/yyyy") &amp; "," &amp; Sheet1!D307</f>
        <v/>
      </c>
      <c r="H307" s="38">
        <f>UPPER(Sheet1!J307 &amp; "," &amp; Sheet1!K307 &amp; "," &amp; Sheet1!L307)</f>
        <v/>
      </c>
      <c r="I307" s="45">
        <f>Sheet1!I307</f>
        <v/>
      </c>
      <c r="J307" s="5">
        <f>Sheet1!M307 &amp; "," &amp; TEXT(Sheet1!N307,"dd/mm/yy")</f>
        <v/>
      </c>
      <c r="K307" s="5" t="inlineStr">
        <is>
          <t>PRINTED</t>
        </is>
      </c>
      <c r="L307" s="30" t="inlineStr">
        <is>
          <t>25/03/2026</t>
        </is>
      </c>
      <c r="M307" s="30" t="inlineStr">
        <is>
          <t>MANISH KATARIA, VICE CONSUL</t>
        </is>
      </c>
      <c r="N307" s="30" t="inlineStr">
        <is>
          <t>26/02/2026</t>
        </is>
      </c>
    </row>
    <row r="308">
      <c r="A308" s="4">
        <f>Sheet1!A308 &amp; "/" &amp; "2025"</f>
        <v/>
      </c>
      <c r="B308" s="5">
        <f>Sheet1!E308</f>
        <v/>
      </c>
      <c r="C308" s="6">
        <f>UPPER(Sheet1!B308)</f>
        <v/>
      </c>
      <c r="D308" s="7">
        <f>IF(Sheet1!F308="F","FEMALE","MALE")</f>
        <v/>
      </c>
      <c r="E308" s="6">
        <f>UPPER(Sheet1!G308)</f>
        <v/>
      </c>
      <c r="F308" s="6">
        <f>UPPER(Sheet1!H308)</f>
        <v/>
      </c>
      <c r="G308" s="5">
        <f>TEXT(Sheet1!C308,"dd/mm/yyyy") &amp; "," &amp; Sheet1!D308</f>
        <v/>
      </c>
      <c r="H308" s="38">
        <f>UPPER(Sheet1!J308 &amp; "," &amp; Sheet1!K308 &amp; "," &amp; Sheet1!L308)</f>
        <v/>
      </c>
      <c r="I308" s="45">
        <f>Sheet1!I308</f>
        <v/>
      </c>
      <c r="J308" s="5">
        <f>Sheet1!M308 &amp; "," &amp; TEXT(Sheet1!N308,"dd/mm/yy")</f>
        <v/>
      </c>
      <c r="K308" s="5" t="inlineStr">
        <is>
          <t>PRINTED</t>
        </is>
      </c>
      <c r="L308" s="30" t="inlineStr">
        <is>
          <t>25/03/2026</t>
        </is>
      </c>
      <c r="M308" s="30" t="inlineStr">
        <is>
          <t>MANISH KATARIA, VICE CONSUL</t>
        </is>
      </c>
      <c r="N308" s="30" t="inlineStr">
        <is>
          <t>26/02/2026</t>
        </is>
      </c>
    </row>
    <row r="309">
      <c r="A309" s="4">
        <f>Sheet1!A309 &amp; "/" &amp; "2025"</f>
        <v/>
      </c>
      <c r="B309" s="5">
        <f>Sheet1!E309</f>
        <v/>
      </c>
      <c r="C309" s="6">
        <f>UPPER(Sheet1!B309)</f>
        <v/>
      </c>
      <c r="D309" s="7">
        <f>IF(Sheet1!F309="F","FEMALE","MALE")</f>
        <v/>
      </c>
      <c r="E309" s="6">
        <f>UPPER(Sheet1!G309)</f>
        <v/>
      </c>
      <c r="F309" s="6">
        <f>UPPER(Sheet1!H309)</f>
        <v/>
      </c>
      <c r="G309" s="5">
        <f>TEXT(Sheet1!C309,"dd/mm/yyyy") &amp; "," &amp; Sheet1!D309</f>
        <v/>
      </c>
      <c r="H309" s="38">
        <f>UPPER(Sheet1!J309 &amp; "," &amp; Sheet1!K309 &amp; "," &amp; Sheet1!L309)</f>
        <v/>
      </c>
      <c r="I309" s="45">
        <f>Sheet1!I309</f>
        <v/>
      </c>
      <c r="J309" s="5">
        <f>Sheet1!M309 &amp; "," &amp; TEXT(Sheet1!N309,"dd/mm/yy")</f>
        <v/>
      </c>
      <c r="K309" s="5" t="inlineStr">
        <is>
          <t>PRINTED</t>
        </is>
      </c>
      <c r="L309" s="30" t="inlineStr">
        <is>
          <t>25/03/2026</t>
        </is>
      </c>
      <c r="M309" s="30" t="inlineStr">
        <is>
          <t>MANISH KATARIA, VICE CONSUL</t>
        </is>
      </c>
      <c r="N309" s="30" t="inlineStr">
        <is>
          <t>26/02/2026</t>
        </is>
      </c>
    </row>
    <row r="310">
      <c r="A310" s="4">
        <f>Sheet1!A310 &amp; "/" &amp; "2025"</f>
        <v/>
      </c>
      <c r="B310" s="5">
        <f>Sheet1!E310</f>
        <v/>
      </c>
      <c r="C310" s="6">
        <f>UPPER(Sheet1!B310)</f>
        <v/>
      </c>
      <c r="D310" s="7">
        <f>IF(Sheet1!F310="F","FEMALE","MALE")</f>
        <v/>
      </c>
      <c r="E310" s="6">
        <f>UPPER(Sheet1!G310)</f>
        <v/>
      </c>
      <c r="F310" s="6">
        <f>UPPER(Sheet1!H310)</f>
        <v/>
      </c>
      <c r="G310" s="5">
        <f>TEXT(Sheet1!C310,"dd/mm/yyyy") &amp; "," &amp; Sheet1!D310</f>
        <v/>
      </c>
      <c r="H310" s="38">
        <f>UPPER(Sheet1!J310 &amp; "," &amp; Sheet1!K310 &amp; "," &amp; Sheet1!L310)</f>
        <v/>
      </c>
      <c r="I310" s="45">
        <f>Sheet1!I310</f>
        <v/>
      </c>
      <c r="J310" s="5">
        <f>Sheet1!M310 &amp; "," &amp; TEXT(Sheet1!N310,"dd/mm/yy")</f>
        <v/>
      </c>
      <c r="K310" s="5" t="inlineStr">
        <is>
          <t>PRINTED</t>
        </is>
      </c>
      <c r="L310" s="30" t="inlineStr">
        <is>
          <t>25/03/2026</t>
        </is>
      </c>
      <c r="M310" s="30" t="inlineStr">
        <is>
          <t>MANISH KATARIA, VICE CONSUL</t>
        </is>
      </c>
      <c r="N310" s="30" t="inlineStr">
        <is>
          <t>26/02/2026</t>
        </is>
      </c>
    </row>
    <row r="311">
      <c r="A311" s="4">
        <f>Sheet1!A311 &amp; "/" &amp; "2025"</f>
        <v/>
      </c>
      <c r="B311" s="5">
        <f>Sheet1!E311</f>
        <v/>
      </c>
      <c r="C311" s="6">
        <f>UPPER(Sheet1!B311)</f>
        <v/>
      </c>
      <c r="D311" s="7">
        <f>IF(Sheet1!F311="F","FEMALE","MALE")</f>
        <v/>
      </c>
      <c r="E311" s="6">
        <f>UPPER(Sheet1!G311)</f>
        <v/>
      </c>
      <c r="F311" s="6">
        <f>UPPER(Sheet1!H311)</f>
        <v/>
      </c>
      <c r="G311" s="5">
        <f>TEXT(Sheet1!C311,"dd/mm/yyyy") &amp; "," &amp; Sheet1!D311</f>
        <v/>
      </c>
      <c r="H311" s="38">
        <f>UPPER(Sheet1!J311 &amp; "," &amp; Sheet1!K311 &amp; "," &amp; Sheet1!L311)</f>
        <v/>
      </c>
      <c r="I311" s="45">
        <f>Sheet1!I311</f>
        <v/>
      </c>
      <c r="J311" s="5">
        <f>Sheet1!M311 &amp; "," &amp; TEXT(Sheet1!N311,"dd/mm/yy")</f>
        <v/>
      </c>
      <c r="K311" s="5" t="inlineStr">
        <is>
          <t>PRINTED</t>
        </is>
      </c>
      <c r="L311" s="30" t="inlineStr">
        <is>
          <t>25/03/2026</t>
        </is>
      </c>
      <c r="M311" s="30" t="inlineStr">
        <is>
          <t>MANISH KATARIA, VICE CONSUL</t>
        </is>
      </c>
      <c r="N311" s="30" t="inlineStr">
        <is>
          <t>26/02/2026</t>
        </is>
      </c>
    </row>
    <row r="312">
      <c r="A312" s="4">
        <f>Sheet1!A312 &amp; "/" &amp; "2025"</f>
        <v/>
      </c>
      <c r="B312" s="5">
        <f>Sheet1!E312</f>
        <v/>
      </c>
      <c r="C312" s="6">
        <f>UPPER(Sheet1!B312)</f>
        <v/>
      </c>
      <c r="D312" s="7">
        <f>IF(Sheet1!F312="F","FEMALE","MALE")</f>
        <v/>
      </c>
      <c r="E312" s="6">
        <f>UPPER(Sheet1!G312)</f>
        <v/>
      </c>
      <c r="F312" s="6">
        <f>UPPER(Sheet1!H312)</f>
        <v/>
      </c>
      <c r="G312" s="5">
        <f>TEXT(Sheet1!C312,"dd/mm/yyyy") &amp; "," &amp; Sheet1!D312</f>
        <v/>
      </c>
      <c r="H312" s="38">
        <f>UPPER(Sheet1!J312 &amp; "," &amp; Sheet1!K312 &amp; "," &amp; Sheet1!L312)</f>
        <v/>
      </c>
      <c r="I312" s="45">
        <f>Sheet1!I312</f>
        <v/>
      </c>
      <c r="J312" s="5">
        <f>Sheet1!M312 &amp; "," &amp; TEXT(Sheet1!N312,"dd/mm/yy")</f>
        <v/>
      </c>
      <c r="K312" s="5" t="inlineStr">
        <is>
          <t>PRINTED</t>
        </is>
      </c>
      <c r="L312" s="30" t="inlineStr">
        <is>
          <t>25/03/2026</t>
        </is>
      </c>
      <c r="M312" s="30" t="inlineStr">
        <is>
          <t>MANISH KATARIA, VICE CONSUL</t>
        </is>
      </c>
      <c r="N312" s="30" t="inlineStr">
        <is>
          <t>26/02/2026</t>
        </is>
      </c>
    </row>
    <row r="313">
      <c r="A313" s="4">
        <f>Sheet1!A313 &amp; "/" &amp; "2025"</f>
        <v/>
      </c>
      <c r="B313" s="5">
        <f>Sheet1!E313</f>
        <v/>
      </c>
      <c r="C313" s="6">
        <f>UPPER(Sheet1!B313)</f>
        <v/>
      </c>
      <c r="D313" s="7">
        <f>IF(Sheet1!F313="F","FEMALE","MALE")</f>
        <v/>
      </c>
      <c r="E313" s="6">
        <f>UPPER(Sheet1!G313)</f>
        <v/>
      </c>
      <c r="F313" s="6">
        <f>UPPER(Sheet1!H313)</f>
        <v/>
      </c>
      <c r="G313" s="5">
        <f>TEXT(Sheet1!C313,"dd/mm/yyyy") &amp; "," &amp; Sheet1!D313</f>
        <v/>
      </c>
      <c r="H313" s="38">
        <f>UPPER(Sheet1!J313 &amp; "," &amp; Sheet1!K313 &amp; "," &amp; Sheet1!L313)</f>
        <v/>
      </c>
      <c r="I313" s="45">
        <f>Sheet1!I313</f>
        <v/>
      </c>
      <c r="J313" s="5">
        <f>Sheet1!M313 &amp; "," &amp; TEXT(Sheet1!N313,"dd/mm/yy")</f>
        <v/>
      </c>
      <c r="K313" s="5" t="inlineStr">
        <is>
          <t>PRINTED</t>
        </is>
      </c>
      <c r="L313" s="30" t="inlineStr">
        <is>
          <t>25/03/2026</t>
        </is>
      </c>
      <c r="M313" s="30" t="inlineStr">
        <is>
          <t>MANISH KATARIA, VICE CONSUL</t>
        </is>
      </c>
      <c r="N313" s="30" t="inlineStr">
        <is>
          <t>26/02/2026</t>
        </is>
      </c>
    </row>
    <row r="314">
      <c r="A314" s="4">
        <f>Sheet1!A314 &amp; "/" &amp; "2025"</f>
        <v/>
      </c>
      <c r="B314" s="5">
        <f>Sheet1!E314</f>
        <v/>
      </c>
      <c r="C314" s="6">
        <f>UPPER(Sheet1!B314)</f>
        <v/>
      </c>
      <c r="D314" s="7">
        <f>IF(Sheet1!F314="F","FEMALE","MALE")</f>
        <v/>
      </c>
      <c r="E314" s="6">
        <f>UPPER(Sheet1!G314)</f>
        <v/>
      </c>
      <c r="F314" s="6">
        <f>UPPER(Sheet1!H314)</f>
        <v/>
      </c>
      <c r="G314" s="5">
        <f>TEXT(Sheet1!C314,"dd/mm/yyyy") &amp; "," &amp; Sheet1!D314</f>
        <v/>
      </c>
      <c r="H314" s="38">
        <f>UPPER(Sheet1!J314 &amp; "," &amp; Sheet1!K314 &amp; "," &amp; Sheet1!L314)</f>
        <v/>
      </c>
      <c r="I314" s="45">
        <f>Sheet1!I314</f>
        <v/>
      </c>
      <c r="J314" s="5">
        <f>Sheet1!M314 &amp; "," &amp; TEXT(Sheet1!N314,"dd/mm/yy")</f>
        <v/>
      </c>
      <c r="K314" s="5" t="inlineStr">
        <is>
          <t>PRINTED</t>
        </is>
      </c>
      <c r="L314" s="30" t="inlineStr">
        <is>
          <t>25/03/2026</t>
        </is>
      </c>
      <c r="M314" s="30" t="inlineStr">
        <is>
          <t>MANISH KATARIA, VICE CONSUL</t>
        </is>
      </c>
      <c r="N314" s="30" t="inlineStr">
        <is>
          <t>26/02/2026</t>
        </is>
      </c>
    </row>
    <row r="315">
      <c r="A315" s="4">
        <f>Sheet1!A315 &amp; "/" &amp; "2025"</f>
        <v/>
      </c>
      <c r="B315" s="5">
        <f>Sheet1!E315</f>
        <v/>
      </c>
      <c r="C315" s="6">
        <f>UPPER(Sheet1!B315)</f>
        <v/>
      </c>
      <c r="D315" s="7">
        <f>IF(Sheet1!F315="F","FEMALE","MALE")</f>
        <v/>
      </c>
      <c r="E315" s="6">
        <f>UPPER(Sheet1!G315)</f>
        <v/>
      </c>
      <c r="F315" s="6">
        <f>UPPER(Sheet1!H315)</f>
        <v/>
      </c>
      <c r="G315" s="5">
        <f>TEXT(Sheet1!C315,"dd/mm/yyyy") &amp; "," &amp; Sheet1!D315</f>
        <v/>
      </c>
      <c r="H315" s="38">
        <f>UPPER(Sheet1!J315 &amp; "," &amp; Sheet1!K315 &amp; "," &amp; Sheet1!L315)</f>
        <v/>
      </c>
      <c r="I315" s="45">
        <f>Sheet1!I315</f>
        <v/>
      </c>
      <c r="J315" s="5">
        <f>Sheet1!M315 &amp; "," &amp; TEXT(Sheet1!N315,"dd/mm/yy")</f>
        <v/>
      </c>
      <c r="K315" s="5" t="inlineStr">
        <is>
          <t>PRINTED</t>
        </is>
      </c>
      <c r="L315" s="30" t="inlineStr">
        <is>
          <t>25/03/2026</t>
        </is>
      </c>
      <c r="M315" s="30" t="inlineStr">
        <is>
          <t>MANISH KATARIA, VICE CONSUL</t>
        </is>
      </c>
      <c r="N315" s="30" t="inlineStr">
        <is>
          <t>26/02/2026</t>
        </is>
      </c>
    </row>
    <row r="316">
      <c r="A316" s="4">
        <f>Sheet1!A316 &amp; "/" &amp; "2025"</f>
        <v/>
      </c>
      <c r="B316" s="5">
        <f>Sheet1!E316</f>
        <v/>
      </c>
      <c r="C316" s="6">
        <f>UPPER(Sheet1!B316)</f>
        <v/>
      </c>
      <c r="D316" s="7">
        <f>IF(Sheet1!F316="F","FEMALE","MALE")</f>
        <v/>
      </c>
      <c r="E316" s="6">
        <f>UPPER(Sheet1!G316)</f>
        <v/>
      </c>
      <c r="F316" s="6">
        <f>UPPER(Sheet1!H316)</f>
        <v/>
      </c>
      <c r="G316" s="5">
        <f>TEXT(Sheet1!C316,"dd/mm/yyyy") &amp; "," &amp; Sheet1!D316</f>
        <v/>
      </c>
      <c r="H316" s="38">
        <f>UPPER(Sheet1!J316 &amp; "," &amp; Sheet1!K316 &amp; "," &amp; Sheet1!L316)</f>
        <v/>
      </c>
      <c r="I316" s="45">
        <f>Sheet1!I316</f>
        <v/>
      </c>
      <c r="J316" s="5">
        <f>Sheet1!M316 &amp; "," &amp; TEXT(Sheet1!N316,"dd/mm/yy")</f>
        <v/>
      </c>
      <c r="K316" s="5" t="inlineStr">
        <is>
          <t>PRINTED</t>
        </is>
      </c>
      <c r="L316" s="30" t="inlineStr">
        <is>
          <t>25/03/2026</t>
        </is>
      </c>
      <c r="M316" s="30" t="inlineStr">
        <is>
          <t>MANISH KATARIA, VICE CONSUL</t>
        </is>
      </c>
      <c r="N316" s="30" t="inlineStr">
        <is>
          <t>26/02/2026</t>
        </is>
      </c>
    </row>
    <row r="317">
      <c r="A317" s="4">
        <f>Sheet1!A317 &amp; "/" &amp; "2025"</f>
        <v/>
      </c>
      <c r="B317" s="5">
        <f>Sheet1!E317</f>
        <v/>
      </c>
      <c r="C317" s="6">
        <f>UPPER(Sheet1!B317)</f>
        <v/>
      </c>
      <c r="D317" s="7">
        <f>IF(Sheet1!F317="F","FEMALE","MALE")</f>
        <v/>
      </c>
      <c r="E317" s="6">
        <f>UPPER(Sheet1!G317)</f>
        <v/>
      </c>
      <c r="F317" s="6">
        <f>UPPER(Sheet1!H317)</f>
        <v/>
      </c>
      <c r="G317" s="5">
        <f>TEXT(Sheet1!C317,"dd/mm/yyyy") &amp; "," &amp; Sheet1!D317</f>
        <v/>
      </c>
      <c r="H317" s="38">
        <f>UPPER(Sheet1!J317 &amp; "," &amp; Sheet1!K317 &amp; "," &amp; Sheet1!L317)</f>
        <v/>
      </c>
      <c r="I317" s="45">
        <f>Sheet1!I317</f>
        <v/>
      </c>
      <c r="J317" s="5">
        <f>Sheet1!M317 &amp; "," &amp; TEXT(Sheet1!N317,"dd/mm/yy")</f>
        <v/>
      </c>
      <c r="K317" s="5" t="inlineStr">
        <is>
          <t>PRINTED</t>
        </is>
      </c>
      <c r="L317" s="30" t="inlineStr">
        <is>
          <t>25/03/2026</t>
        </is>
      </c>
      <c r="M317" s="30" t="inlineStr">
        <is>
          <t>MANISH KATARIA, VICE CONSUL</t>
        </is>
      </c>
      <c r="N317" s="30" t="inlineStr">
        <is>
          <t>26/02/2026</t>
        </is>
      </c>
    </row>
    <row r="318">
      <c r="A318" s="4">
        <f>Sheet1!A318 &amp; "/" &amp; "2025"</f>
        <v/>
      </c>
      <c r="B318" s="5">
        <f>Sheet1!E318</f>
        <v/>
      </c>
      <c r="C318" s="6">
        <f>UPPER(Sheet1!B318)</f>
        <v/>
      </c>
      <c r="D318" s="7">
        <f>IF(Sheet1!F318="F","FEMALE","MALE")</f>
        <v/>
      </c>
      <c r="E318" s="6">
        <f>UPPER(Sheet1!G318)</f>
        <v/>
      </c>
      <c r="F318" s="6">
        <f>UPPER(Sheet1!H318)</f>
        <v/>
      </c>
      <c r="G318" s="5">
        <f>TEXT(Sheet1!C318,"dd/mm/yyyy") &amp; "," &amp; Sheet1!D318</f>
        <v/>
      </c>
      <c r="H318" s="38">
        <f>UPPER(Sheet1!J318 &amp; "," &amp; Sheet1!K318 &amp; "," &amp; Sheet1!L318)</f>
        <v/>
      </c>
      <c r="I318" s="45">
        <f>Sheet1!I318</f>
        <v/>
      </c>
      <c r="J318" s="5">
        <f>Sheet1!M318 &amp; "," &amp; TEXT(Sheet1!N318,"dd/mm/yy")</f>
        <v/>
      </c>
      <c r="K318" s="5" t="inlineStr">
        <is>
          <t>PRINTED</t>
        </is>
      </c>
      <c r="L318" s="30" t="inlineStr">
        <is>
          <t>25/03/2026</t>
        </is>
      </c>
      <c r="M318" s="30" t="inlineStr">
        <is>
          <t>MANISH KATARIA, VICE CONSUL</t>
        </is>
      </c>
      <c r="N318" s="30" t="inlineStr">
        <is>
          <t>26/02/2026</t>
        </is>
      </c>
    </row>
    <row r="319">
      <c r="A319" s="4">
        <f>Sheet1!A319 &amp; "/" &amp; "2025"</f>
        <v/>
      </c>
      <c r="B319" s="5">
        <f>Sheet1!E319</f>
        <v/>
      </c>
      <c r="C319" s="6">
        <f>UPPER(Sheet1!B319)</f>
        <v/>
      </c>
      <c r="D319" s="7">
        <f>IF(Sheet1!F319="F","FEMALE","MALE")</f>
        <v/>
      </c>
      <c r="E319" s="6">
        <f>UPPER(Sheet1!G319)</f>
        <v/>
      </c>
      <c r="F319" s="6">
        <f>UPPER(Sheet1!H319)</f>
        <v/>
      </c>
      <c r="G319" s="5">
        <f>TEXT(Sheet1!C319,"dd/mm/yyyy") &amp; "," &amp; Sheet1!D319</f>
        <v/>
      </c>
      <c r="H319" s="38">
        <f>UPPER(Sheet1!J319 &amp; "," &amp; Sheet1!K319 &amp; "," &amp; Sheet1!L319)</f>
        <v/>
      </c>
      <c r="I319" s="45">
        <f>Sheet1!I319</f>
        <v/>
      </c>
      <c r="J319" s="5">
        <f>Sheet1!M319 &amp; "," &amp; TEXT(Sheet1!N319,"dd/mm/yy")</f>
        <v/>
      </c>
      <c r="K319" s="5" t="inlineStr">
        <is>
          <t>PRINTED</t>
        </is>
      </c>
      <c r="L319" s="30" t="inlineStr">
        <is>
          <t>25/03/2026</t>
        </is>
      </c>
      <c r="M319" s="30" t="inlineStr">
        <is>
          <t>MANISH KATARIA, VICE CONSUL</t>
        </is>
      </c>
      <c r="N319" s="30" t="inlineStr">
        <is>
          <t>26/02/2026</t>
        </is>
      </c>
    </row>
    <row r="320">
      <c r="A320" s="4">
        <f>Sheet1!A320 &amp; "/" &amp; "2025"</f>
        <v/>
      </c>
      <c r="B320" s="5">
        <f>Sheet1!E320</f>
        <v/>
      </c>
      <c r="C320" s="6">
        <f>UPPER(Sheet1!B320)</f>
        <v/>
      </c>
      <c r="D320" s="7">
        <f>IF(Sheet1!F320="F","FEMALE","MALE")</f>
        <v/>
      </c>
      <c r="E320" s="6">
        <f>UPPER(Sheet1!G320)</f>
        <v/>
      </c>
      <c r="F320" s="6">
        <f>UPPER(Sheet1!H320)</f>
        <v/>
      </c>
      <c r="G320" s="5">
        <f>TEXT(Sheet1!C320,"dd/mm/yyyy") &amp; "," &amp; Sheet1!D320</f>
        <v/>
      </c>
      <c r="H320" s="38">
        <f>UPPER(Sheet1!J320 &amp; "," &amp; Sheet1!K320 &amp; "," &amp; Sheet1!L320)</f>
        <v/>
      </c>
      <c r="I320" s="45">
        <f>Sheet1!I320</f>
        <v/>
      </c>
      <c r="J320" s="5">
        <f>Sheet1!M320 &amp; "," &amp; TEXT(Sheet1!N320,"dd/mm/yy")</f>
        <v/>
      </c>
      <c r="K320" s="5" t="inlineStr">
        <is>
          <t>PRINTED</t>
        </is>
      </c>
      <c r="L320" s="30" t="inlineStr">
        <is>
          <t>25/03/2026</t>
        </is>
      </c>
      <c r="M320" s="30" t="inlineStr">
        <is>
          <t>MANISH KATARIA, VICE CONSUL</t>
        </is>
      </c>
      <c r="N320" s="30" t="inlineStr">
        <is>
          <t>26/02/2026</t>
        </is>
      </c>
    </row>
    <row r="321">
      <c r="A321" s="4">
        <f>Sheet1!A321 &amp; "/" &amp; "2025"</f>
        <v/>
      </c>
      <c r="B321" s="5">
        <f>Sheet1!E321</f>
        <v/>
      </c>
      <c r="C321" s="6">
        <f>UPPER(Sheet1!B321)</f>
        <v/>
      </c>
      <c r="D321" s="7">
        <f>IF(Sheet1!F321="F","FEMALE","MALE")</f>
        <v/>
      </c>
      <c r="E321" s="6">
        <f>UPPER(Sheet1!G321)</f>
        <v/>
      </c>
      <c r="F321" s="6">
        <f>UPPER(Sheet1!H321)</f>
        <v/>
      </c>
      <c r="G321" s="5">
        <f>TEXT(Sheet1!C321,"dd/mm/yyyy") &amp; "," &amp; Sheet1!D321</f>
        <v/>
      </c>
      <c r="H321" s="38">
        <f>UPPER(Sheet1!J321 &amp; "," &amp; Sheet1!K321 &amp; "," &amp; Sheet1!L321)</f>
        <v/>
      </c>
      <c r="I321" s="45">
        <f>Sheet1!I321</f>
        <v/>
      </c>
      <c r="J321" s="5">
        <f>Sheet1!M321 &amp; "," &amp; TEXT(Sheet1!N321,"dd/mm/yy")</f>
        <v/>
      </c>
      <c r="K321" s="5" t="inlineStr">
        <is>
          <t>PRINTED</t>
        </is>
      </c>
      <c r="L321" s="30" t="inlineStr">
        <is>
          <t>25/03/2026</t>
        </is>
      </c>
      <c r="M321" s="30" t="inlineStr">
        <is>
          <t>MANISH KATARIA, VICE CONSUL</t>
        </is>
      </c>
      <c r="N321" s="30" t="inlineStr">
        <is>
          <t>26/02/2026</t>
        </is>
      </c>
    </row>
    <row r="322">
      <c r="A322" s="4">
        <f>Sheet1!A322 &amp; "/" &amp; "2025"</f>
        <v/>
      </c>
      <c r="B322" s="5">
        <f>Sheet1!E322</f>
        <v/>
      </c>
      <c r="C322" s="6">
        <f>UPPER(Sheet1!B322)</f>
        <v/>
      </c>
      <c r="D322" s="7">
        <f>IF(Sheet1!F322="F","FEMALE","MALE")</f>
        <v/>
      </c>
      <c r="E322" s="6">
        <f>UPPER(Sheet1!G322)</f>
        <v/>
      </c>
      <c r="F322" s="6">
        <f>UPPER(Sheet1!H322)</f>
        <v/>
      </c>
      <c r="G322" s="5">
        <f>TEXT(Sheet1!C322,"dd/mm/yyyy") &amp; "," &amp; Sheet1!D322</f>
        <v/>
      </c>
      <c r="H322" s="38">
        <f>UPPER(Sheet1!J322 &amp; "," &amp; Sheet1!K322 &amp; "," &amp; Sheet1!L322)</f>
        <v/>
      </c>
      <c r="I322" s="45">
        <f>Sheet1!I322</f>
        <v/>
      </c>
      <c r="J322" s="5">
        <f>Sheet1!M322 &amp; "," &amp; TEXT(Sheet1!N322,"dd/mm/yy")</f>
        <v/>
      </c>
      <c r="K322" s="5" t="inlineStr">
        <is>
          <t>PRINTED</t>
        </is>
      </c>
      <c r="L322" s="30" t="inlineStr">
        <is>
          <t>25/03/2026</t>
        </is>
      </c>
      <c r="M322" s="30" t="inlineStr">
        <is>
          <t>MANISH KATARIA, VICE CONSUL</t>
        </is>
      </c>
      <c r="N322" s="30" t="inlineStr">
        <is>
          <t>26/02/2026</t>
        </is>
      </c>
    </row>
    <row r="323">
      <c r="A323" s="4">
        <f>Sheet1!A323 &amp; "/" &amp; "2025"</f>
        <v/>
      </c>
      <c r="B323" s="5">
        <f>Sheet1!E323</f>
        <v/>
      </c>
      <c r="C323" s="6">
        <f>UPPER(Sheet1!B323)</f>
        <v/>
      </c>
      <c r="D323" s="7">
        <f>IF(Sheet1!F323="F","FEMALE","MALE")</f>
        <v/>
      </c>
      <c r="E323" s="6">
        <f>UPPER(Sheet1!G323)</f>
        <v/>
      </c>
      <c r="F323" s="6">
        <f>UPPER(Sheet1!H323)</f>
        <v/>
      </c>
      <c r="G323" s="5">
        <f>TEXT(Sheet1!C323,"dd/mm/yyyy") &amp; "," &amp; Sheet1!D323</f>
        <v/>
      </c>
      <c r="H323" s="38">
        <f>UPPER(Sheet1!J323 &amp; "," &amp; Sheet1!K323 &amp; "," &amp; Sheet1!L323)</f>
        <v/>
      </c>
      <c r="I323" s="45">
        <f>Sheet1!I323</f>
        <v/>
      </c>
      <c r="J323" s="5">
        <f>Sheet1!M323 &amp; "," &amp; TEXT(Sheet1!N323,"dd/mm/yy")</f>
        <v/>
      </c>
      <c r="K323" s="5" t="inlineStr">
        <is>
          <t>PRINTED</t>
        </is>
      </c>
      <c r="L323" s="30" t="inlineStr">
        <is>
          <t>25/03/2026</t>
        </is>
      </c>
      <c r="M323" s="30" t="inlineStr">
        <is>
          <t>MANISH KATARIA, VICE CONSUL</t>
        </is>
      </c>
      <c r="N323" s="30" t="inlineStr">
        <is>
          <t>26/02/2026</t>
        </is>
      </c>
    </row>
    <row r="324">
      <c r="A324" s="4">
        <f>Sheet1!A324 &amp; "/" &amp; "2025"</f>
        <v/>
      </c>
      <c r="B324" s="5">
        <f>Sheet1!E324</f>
        <v/>
      </c>
      <c r="C324" s="6">
        <f>UPPER(Sheet1!B324)</f>
        <v/>
      </c>
      <c r="D324" s="7">
        <f>IF(Sheet1!F324="F","FEMALE","MALE")</f>
        <v/>
      </c>
      <c r="E324" s="6">
        <f>UPPER(Sheet1!G324)</f>
        <v/>
      </c>
      <c r="F324" s="6">
        <f>UPPER(Sheet1!H324)</f>
        <v/>
      </c>
      <c r="G324" s="5">
        <f>TEXT(Sheet1!C324,"dd/mm/yyyy") &amp; "," &amp; Sheet1!D324</f>
        <v/>
      </c>
      <c r="H324" s="38">
        <f>UPPER(Sheet1!J324 &amp; "," &amp; Sheet1!K324 &amp; "," &amp; Sheet1!L324)</f>
        <v/>
      </c>
      <c r="I324" s="45">
        <f>Sheet1!I324</f>
        <v/>
      </c>
      <c r="J324" s="5">
        <f>Sheet1!M324 &amp; "," &amp; TEXT(Sheet1!N324,"dd/mm/yy")</f>
        <v/>
      </c>
      <c r="K324" s="5" t="inlineStr">
        <is>
          <t>PRINTED</t>
        </is>
      </c>
      <c r="L324" s="30" t="inlineStr">
        <is>
          <t>25/03/2026</t>
        </is>
      </c>
      <c r="M324" s="30" t="inlineStr">
        <is>
          <t>MANISH KATARIA, VICE CONSUL</t>
        </is>
      </c>
      <c r="N324" s="30" t="inlineStr">
        <is>
          <t>26/02/2026</t>
        </is>
      </c>
    </row>
    <row r="325">
      <c r="A325" s="4">
        <f>Sheet1!A325 &amp; "/" &amp; "2025"</f>
        <v/>
      </c>
      <c r="B325" s="5">
        <f>Sheet1!E325</f>
        <v/>
      </c>
      <c r="C325" s="6">
        <f>UPPER(Sheet1!B325)</f>
        <v/>
      </c>
      <c r="D325" s="7">
        <f>IF(Sheet1!F325="F","FEMALE","MALE")</f>
        <v/>
      </c>
      <c r="E325" s="6">
        <f>UPPER(Sheet1!G325)</f>
        <v/>
      </c>
      <c r="F325" s="6">
        <f>UPPER(Sheet1!H325)</f>
        <v/>
      </c>
      <c r="G325" s="5">
        <f>TEXT(Sheet1!C325,"dd/mm/yyyy") &amp; "," &amp; Sheet1!D325</f>
        <v/>
      </c>
      <c r="H325" s="38">
        <f>UPPER(Sheet1!J325 &amp; "," &amp; Sheet1!K325 &amp; "," &amp; Sheet1!L325)</f>
        <v/>
      </c>
      <c r="I325" s="45">
        <f>Sheet1!I325</f>
        <v/>
      </c>
      <c r="J325" s="5">
        <f>Sheet1!M325 &amp; "," &amp; TEXT(Sheet1!N325,"dd/mm/yy")</f>
        <v/>
      </c>
      <c r="K325" s="5" t="inlineStr">
        <is>
          <t>PRINTED</t>
        </is>
      </c>
      <c r="L325" s="30" t="inlineStr">
        <is>
          <t>25/03/2026</t>
        </is>
      </c>
      <c r="M325" s="30" t="inlineStr">
        <is>
          <t>MANISH KATARIA, VICE CONSUL</t>
        </is>
      </c>
      <c r="N325" s="30" t="inlineStr">
        <is>
          <t>26/02/2026</t>
        </is>
      </c>
    </row>
    <row r="326">
      <c r="A326" s="4">
        <f>Sheet1!A326 &amp; "/" &amp; "2025"</f>
        <v/>
      </c>
      <c r="B326" s="5">
        <f>Sheet1!E326</f>
        <v/>
      </c>
      <c r="C326" s="6">
        <f>UPPER(Sheet1!B326)</f>
        <v/>
      </c>
      <c r="D326" s="7">
        <f>IF(Sheet1!F326="F","FEMALE","MALE")</f>
        <v/>
      </c>
      <c r="E326" s="6">
        <f>UPPER(Sheet1!G326)</f>
        <v/>
      </c>
      <c r="F326" s="6">
        <f>UPPER(Sheet1!H326)</f>
        <v/>
      </c>
      <c r="G326" s="5">
        <f>TEXT(Sheet1!C326,"dd/mm/yyyy") &amp; "," &amp; Sheet1!D326</f>
        <v/>
      </c>
      <c r="H326" s="38">
        <f>UPPER(Sheet1!J326 &amp; "," &amp; Sheet1!K326 &amp; "," &amp; Sheet1!L326)</f>
        <v/>
      </c>
      <c r="I326" s="45">
        <f>Sheet1!I326</f>
        <v/>
      </c>
      <c r="J326" s="5">
        <f>Sheet1!M326 &amp; "," &amp; TEXT(Sheet1!N326,"dd/mm/yy")</f>
        <v/>
      </c>
      <c r="K326" s="5" t="inlineStr">
        <is>
          <t>PRINTED</t>
        </is>
      </c>
      <c r="L326" s="30" t="inlineStr">
        <is>
          <t>25/03/2026</t>
        </is>
      </c>
      <c r="M326" s="30" t="inlineStr">
        <is>
          <t>MANISH KATARIA, VICE CONSUL</t>
        </is>
      </c>
      <c r="N326" s="30" t="inlineStr">
        <is>
          <t>26/02/2026</t>
        </is>
      </c>
    </row>
    <row r="327">
      <c r="A327" s="4">
        <f>Sheet1!A327 &amp; "/" &amp; "2025"</f>
        <v/>
      </c>
      <c r="B327" s="5">
        <f>Sheet1!E327</f>
        <v/>
      </c>
      <c r="C327" s="6">
        <f>UPPER(Sheet1!B327)</f>
        <v/>
      </c>
      <c r="D327" s="7">
        <f>IF(Sheet1!F327="F","FEMALE","MALE")</f>
        <v/>
      </c>
      <c r="E327" s="6">
        <f>UPPER(Sheet1!G327)</f>
        <v/>
      </c>
      <c r="F327" s="6">
        <f>UPPER(Sheet1!H327)</f>
        <v/>
      </c>
      <c r="G327" s="5">
        <f>TEXT(Sheet1!C327,"dd/mm/yyyy") &amp; "," &amp; Sheet1!D327</f>
        <v/>
      </c>
      <c r="H327" s="38">
        <f>UPPER(Sheet1!J327 &amp; "," &amp; Sheet1!K327 &amp; "," &amp; Sheet1!L327)</f>
        <v/>
      </c>
      <c r="I327" s="45">
        <f>Sheet1!I327</f>
        <v/>
      </c>
      <c r="J327" s="5">
        <f>Sheet1!M327 &amp; "," &amp; TEXT(Sheet1!N327,"dd/mm/yy")</f>
        <v/>
      </c>
      <c r="K327" s="5" t="inlineStr">
        <is>
          <t>PRINTED</t>
        </is>
      </c>
      <c r="L327" s="30" t="inlineStr">
        <is>
          <t>25/03/2026</t>
        </is>
      </c>
      <c r="M327" s="30" t="inlineStr">
        <is>
          <t>MANISH KATARIA, VICE CONSUL</t>
        </is>
      </c>
      <c r="N327" s="30" t="inlineStr">
        <is>
          <t>26/02/2026</t>
        </is>
      </c>
    </row>
    <row r="328">
      <c r="A328" s="4">
        <f>Sheet1!A328 &amp; "/" &amp; "2025"</f>
        <v/>
      </c>
      <c r="B328" s="5">
        <f>Sheet1!E328</f>
        <v/>
      </c>
      <c r="C328" s="6">
        <f>UPPER(Sheet1!B328)</f>
        <v/>
      </c>
      <c r="D328" s="7">
        <f>IF(Sheet1!F328="F","FEMALE","MALE")</f>
        <v/>
      </c>
      <c r="E328" s="6">
        <f>UPPER(Sheet1!G328)</f>
        <v/>
      </c>
      <c r="F328" s="6">
        <f>UPPER(Sheet1!H328)</f>
        <v/>
      </c>
      <c r="G328" s="5">
        <f>TEXT(Sheet1!C328,"dd/mm/yyyy") &amp; "," &amp; Sheet1!D328</f>
        <v/>
      </c>
      <c r="H328" s="38">
        <f>UPPER(Sheet1!J328 &amp; "," &amp; Sheet1!K328 &amp; "," &amp; Sheet1!L328)</f>
        <v/>
      </c>
      <c r="I328" s="45">
        <f>Sheet1!I328</f>
        <v/>
      </c>
      <c r="J328" s="5">
        <f>Sheet1!M328 &amp; "," &amp; TEXT(Sheet1!N328,"dd/mm/yy")</f>
        <v/>
      </c>
      <c r="K328" s="5" t="inlineStr">
        <is>
          <t>PRINTED</t>
        </is>
      </c>
      <c r="L328" s="30" t="inlineStr">
        <is>
          <t>25/03/2026</t>
        </is>
      </c>
      <c r="M328" s="30" t="inlineStr">
        <is>
          <t>MANISH KATARIA, VICE CONSUL</t>
        </is>
      </c>
      <c r="N328" s="30" t="inlineStr">
        <is>
          <t>26/02/2026</t>
        </is>
      </c>
    </row>
    <row r="329">
      <c r="A329" s="4">
        <f>Sheet1!A329 &amp; "/" &amp; "2025"</f>
        <v/>
      </c>
      <c r="B329" s="5">
        <f>Sheet1!E329</f>
        <v/>
      </c>
      <c r="C329" s="6">
        <f>UPPER(Sheet1!B329)</f>
        <v/>
      </c>
      <c r="D329" s="7">
        <f>IF(Sheet1!F329="F","FEMALE","MALE")</f>
        <v/>
      </c>
      <c r="E329" s="6">
        <f>UPPER(Sheet1!G329)</f>
        <v/>
      </c>
      <c r="F329" s="6">
        <f>UPPER(Sheet1!H329)</f>
        <v/>
      </c>
      <c r="G329" s="5">
        <f>TEXT(Sheet1!C329,"dd/mm/yyyy") &amp; "," &amp; Sheet1!D329</f>
        <v/>
      </c>
      <c r="H329" s="38">
        <f>UPPER(Sheet1!J329 &amp; "," &amp; Sheet1!K329 &amp; "," &amp; Sheet1!L329)</f>
        <v/>
      </c>
      <c r="I329" s="45">
        <f>Sheet1!I329</f>
        <v/>
      </c>
      <c r="J329" s="5">
        <f>Sheet1!M329 &amp; "," &amp; TEXT(Sheet1!N329,"dd/mm/yy")</f>
        <v/>
      </c>
      <c r="K329" s="5" t="inlineStr">
        <is>
          <t>PRINTED</t>
        </is>
      </c>
      <c r="L329" s="30" t="inlineStr">
        <is>
          <t>25/03/2026</t>
        </is>
      </c>
      <c r="M329" s="30" t="inlineStr">
        <is>
          <t>MANISH KATARIA, VICE CONSUL</t>
        </is>
      </c>
      <c r="N329" s="30" t="inlineStr">
        <is>
          <t>26/02/2026</t>
        </is>
      </c>
    </row>
    <row r="330">
      <c r="A330" s="4">
        <f>Sheet1!A330 &amp; "/" &amp; "2025"</f>
        <v/>
      </c>
      <c r="B330" s="5">
        <f>Sheet1!E330</f>
        <v/>
      </c>
      <c r="C330" s="6">
        <f>UPPER(Sheet1!B330)</f>
        <v/>
      </c>
      <c r="D330" s="7">
        <f>IF(Sheet1!F330="F","FEMALE","MALE")</f>
        <v/>
      </c>
      <c r="E330" s="6">
        <f>UPPER(Sheet1!G330)</f>
        <v/>
      </c>
      <c r="F330" s="6">
        <f>UPPER(Sheet1!H330)</f>
        <v/>
      </c>
      <c r="G330" s="5">
        <f>TEXT(Sheet1!C330,"dd/mm/yyyy") &amp; "," &amp; Sheet1!D330</f>
        <v/>
      </c>
      <c r="H330" s="38">
        <f>UPPER(Sheet1!J330 &amp; "," &amp; Sheet1!K330 &amp; "," &amp; Sheet1!L330)</f>
        <v/>
      </c>
      <c r="I330" s="45">
        <f>Sheet1!I330</f>
        <v/>
      </c>
      <c r="J330" s="5">
        <f>Sheet1!M330 &amp; "," &amp; TEXT(Sheet1!N330,"dd/mm/yy")</f>
        <v/>
      </c>
      <c r="K330" s="5" t="inlineStr">
        <is>
          <t>PRINTED</t>
        </is>
      </c>
      <c r="L330" s="30" t="inlineStr">
        <is>
          <t>25/03/2026</t>
        </is>
      </c>
      <c r="M330" s="30" t="inlineStr">
        <is>
          <t>MANISH KATARIA, VICE CONSUL</t>
        </is>
      </c>
      <c r="N330" s="30" t="inlineStr">
        <is>
          <t>26/02/2026</t>
        </is>
      </c>
    </row>
    <row r="331">
      <c r="A331" s="4">
        <f>Sheet1!A331 &amp; "/" &amp; "2025"</f>
        <v/>
      </c>
      <c r="B331" s="5">
        <f>Sheet1!E331</f>
        <v/>
      </c>
      <c r="C331" s="6">
        <f>UPPER(Sheet1!B331)</f>
        <v/>
      </c>
      <c r="D331" s="7">
        <f>IF(Sheet1!F331="F","FEMALE","MALE")</f>
        <v/>
      </c>
      <c r="E331" s="6">
        <f>UPPER(Sheet1!G331)</f>
        <v/>
      </c>
      <c r="F331" s="6">
        <f>UPPER(Sheet1!H331)</f>
        <v/>
      </c>
      <c r="G331" s="5">
        <f>TEXT(Sheet1!C331,"dd/mm/yyyy") &amp; "," &amp; Sheet1!D331</f>
        <v/>
      </c>
      <c r="H331" s="38">
        <f>UPPER(Sheet1!J331 &amp; "," &amp; Sheet1!K331 &amp; "," &amp; Sheet1!L331)</f>
        <v/>
      </c>
      <c r="I331" s="45">
        <f>Sheet1!I331</f>
        <v/>
      </c>
      <c r="J331" s="5">
        <f>Sheet1!M331 &amp; "," &amp; TEXT(Sheet1!N331,"dd/mm/yy")</f>
        <v/>
      </c>
      <c r="K331" s="5" t="inlineStr">
        <is>
          <t>PRINTED</t>
        </is>
      </c>
      <c r="L331" s="30" t="inlineStr">
        <is>
          <t>25/03/2026</t>
        </is>
      </c>
      <c r="M331" s="30" t="inlineStr">
        <is>
          <t>MANISH KATARIA, VICE CONSUL</t>
        </is>
      </c>
      <c r="N331" s="30" t="inlineStr">
        <is>
          <t>26/02/2026</t>
        </is>
      </c>
    </row>
    <row r="332">
      <c r="A332" s="4">
        <f>Sheet1!A332 &amp; "/" &amp; "2025"</f>
        <v/>
      </c>
      <c r="B332" s="5">
        <f>Sheet1!E332</f>
        <v/>
      </c>
      <c r="C332" s="6">
        <f>UPPER(Sheet1!B332)</f>
        <v/>
      </c>
      <c r="D332" s="7">
        <f>IF(Sheet1!F332="F","FEMALE","MALE")</f>
        <v/>
      </c>
      <c r="E332" s="6">
        <f>UPPER(Sheet1!G332)</f>
        <v/>
      </c>
      <c r="F332" s="6">
        <f>UPPER(Sheet1!H332)</f>
        <v/>
      </c>
      <c r="G332" s="5">
        <f>TEXT(Sheet1!C332,"dd/mm/yyyy") &amp; "," &amp; Sheet1!D332</f>
        <v/>
      </c>
      <c r="H332" s="38">
        <f>UPPER(Sheet1!J332 &amp; "," &amp; Sheet1!K332 &amp; "," &amp; Sheet1!L332)</f>
        <v/>
      </c>
      <c r="I332" s="45">
        <f>Sheet1!I332</f>
        <v/>
      </c>
      <c r="J332" s="5">
        <f>Sheet1!M332 &amp; "," &amp; TEXT(Sheet1!N332,"dd/mm/yy")</f>
        <v/>
      </c>
      <c r="K332" s="5" t="inlineStr">
        <is>
          <t>PRINTED</t>
        </is>
      </c>
      <c r="L332" s="30" t="inlineStr">
        <is>
          <t>25/03/2026</t>
        </is>
      </c>
      <c r="M332" s="30" t="inlineStr">
        <is>
          <t>MANISH KATARIA, VICE CONSUL</t>
        </is>
      </c>
      <c r="N332" s="30" t="inlineStr">
        <is>
          <t>26/02/2026</t>
        </is>
      </c>
    </row>
    <row r="333">
      <c r="A333" s="4">
        <f>Sheet1!A333 &amp; "/" &amp; "2025"</f>
        <v/>
      </c>
      <c r="B333" s="5">
        <f>Sheet1!E333</f>
        <v/>
      </c>
      <c r="C333" s="6">
        <f>UPPER(Sheet1!B333)</f>
        <v/>
      </c>
      <c r="D333" s="7">
        <f>IF(Sheet1!F333="F","FEMALE","MALE")</f>
        <v/>
      </c>
      <c r="E333" s="6">
        <f>UPPER(Sheet1!G333)</f>
        <v/>
      </c>
      <c r="F333" s="6">
        <f>UPPER(Sheet1!H333)</f>
        <v/>
      </c>
      <c r="G333" s="5">
        <f>TEXT(Sheet1!C333,"dd/mm/yyyy") &amp; "," &amp; Sheet1!D333</f>
        <v/>
      </c>
      <c r="H333" s="38">
        <f>UPPER(Sheet1!J333 &amp; "," &amp; Sheet1!K333 &amp; "," &amp; Sheet1!L333)</f>
        <v/>
      </c>
      <c r="I333" s="45">
        <f>Sheet1!I333</f>
        <v/>
      </c>
      <c r="J333" s="5">
        <f>Sheet1!M333 &amp; "," &amp; TEXT(Sheet1!N333,"dd/mm/yy")</f>
        <v/>
      </c>
      <c r="K333" s="5" t="inlineStr">
        <is>
          <t>PRINTED</t>
        </is>
      </c>
      <c r="L333" s="30" t="inlineStr">
        <is>
          <t>25/03/2026</t>
        </is>
      </c>
      <c r="M333" s="30" t="inlineStr">
        <is>
          <t>MANISH KATARIA, VICE CONSUL</t>
        </is>
      </c>
      <c r="N333" s="30" t="inlineStr">
        <is>
          <t>26/02/2026</t>
        </is>
      </c>
    </row>
    <row r="334">
      <c r="A334" s="4">
        <f>Sheet1!A334 &amp; "/" &amp; "2025"</f>
        <v/>
      </c>
      <c r="B334" s="5">
        <f>Sheet1!E334</f>
        <v/>
      </c>
      <c r="C334" s="6">
        <f>UPPER(Sheet1!B334)</f>
        <v/>
      </c>
      <c r="D334" s="7">
        <f>IF(Sheet1!F334="F","FEMALE","MALE")</f>
        <v/>
      </c>
      <c r="E334" s="6">
        <f>UPPER(Sheet1!G334)</f>
        <v/>
      </c>
      <c r="F334" s="6">
        <f>UPPER(Sheet1!H334)</f>
        <v/>
      </c>
      <c r="G334" s="5">
        <f>TEXT(Sheet1!C334,"dd/mm/yyyy") &amp; "," &amp; Sheet1!D334</f>
        <v/>
      </c>
      <c r="H334" s="38">
        <f>UPPER(Sheet1!J334 &amp; "," &amp; Sheet1!K334 &amp; "," &amp; Sheet1!L334)</f>
        <v/>
      </c>
      <c r="I334" s="45">
        <f>Sheet1!I334</f>
        <v/>
      </c>
      <c r="J334" s="5">
        <f>Sheet1!M334 &amp; "," &amp; TEXT(Sheet1!N334,"dd/mm/yy")</f>
        <v/>
      </c>
      <c r="K334" s="5" t="inlineStr">
        <is>
          <t>PRINTED</t>
        </is>
      </c>
      <c r="L334" s="30" t="inlineStr">
        <is>
          <t>25/03/2026</t>
        </is>
      </c>
      <c r="M334" s="30" t="inlineStr">
        <is>
          <t>MANISH KATARIA, VICE CONSUL</t>
        </is>
      </c>
      <c r="N334" s="30" t="inlineStr">
        <is>
          <t>26/02/2026</t>
        </is>
      </c>
    </row>
    <row r="335">
      <c r="A335" s="4">
        <f>Sheet1!A335 &amp; "/" &amp; "2025"</f>
        <v/>
      </c>
      <c r="B335" s="5">
        <f>Sheet1!E335</f>
        <v/>
      </c>
      <c r="C335" s="6">
        <f>UPPER(Sheet1!B335)</f>
        <v/>
      </c>
      <c r="D335" s="7">
        <f>IF(Sheet1!F335="F","FEMALE","MALE")</f>
        <v/>
      </c>
      <c r="E335" s="6">
        <f>UPPER(Sheet1!G335)</f>
        <v/>
      </c>
      <c r="F335" s="6">
        <f>UPPER(Sheet1!H335)</f>
        <v/>
      </c>
      <c r="G335" s="5">
        <f>TEXT(Sheet1!C335,"dd/mm/yyyy") &amp; "," &amp; Sheet1!D335</f>
        <v/>
      </c>
      <c r="H335" s="38">
        <f>UPPER(Sheet1!J335 &amp; "," &amp; Sheet1!K335 &amp; "," &amp; Sheet1!L335)</f>
        <v/>
      </c>
      <c r="I335" s="45">
        <f>Sheet1!I335</f>
        <v/>
      </c>
      <c r="J335" s="5">
        <f>Sheet1!M335 &amp; "," &amp; TEXT(Sheet1!N335,"dd/mm/yy")</f>
        <v/>
      </c>
      <c r="K335" s="5" t="inlineStr">
        <is>
          <t>PRINTED</t>
        </is>
      </c>
      <c r="L335" s="30" t="inlineStr">
        <is>
          <t>25/03/2026</t>
        </is>
      </c>
      <c r="M335" s="30" t="inlineStr">
        <is>
          <t>MANISH KATARIA, VICE CONSUL</t>
        </is>
      </c>
      <c r="N335" s="30" t="inlineStr">
        <is>
          <t>26/02/2026</t>
        </is>
      </c>
    </row>
    <row r="336">
      <c r="A336" s="4">
        <f>Sheet1!A336 &amp; "/" &amp; "2025"</f>
        <v/>
      </c>
      <c r="B336" s="5">
        <f>Sheet1!E336</f>
        <v/>
      </c>
      <c r="C336" s="6">
        <f>UPPER(Sheet1!B336)</f>
        <v/>
      </c>
      <c r="D336" s="7">
        <f>IF(Sheet1!F336="F","FEMALE","MALE")</f>
        <v/>
      </c>
      <c r="E336" s="6">
        <f>UPPER(Sheet1!G336)</f>
        <v/>
      </c>
      <c r="F336" s="6">
        <f>UPPER(Sheet1!H336)</f>
        <v/>
      </c>
      <c r="G336" s="5">
        <f>TEXT(Sheet1!C336,"dd/mm/yyyy") &amp; "," &amp; Sheet1!D336</f>
        <v/>
      </c>
      <c r="H336" s="38">
        <f>UPPER(Sheet1!J336 &amp; "," &amp; Sheet1!K336 &amp; "," &amp; Sheet1!L336)</f>
        <v/>
      </c>
      <c r="I336" s="45">
        <f>Sheet1!I336</f>
        <v/>
      </c>
      <c r="J336" s="5">
        <f>Sheet1!M336 &amp; "," &amp; TEXT(Sheet1!N336,"dd/mm/yy")</f>
        <v/>
      </c>
      <c r="K336" s="5" t="inlineStr">
        <is>
          <t>PRINTED</t>
        </is>
      </c>
      <c r="L336" s="30" t="inlineStr">
        <is>
          <t>25/03/2026</t>
        </is>
      </c>
      <c r="M336" s="30" t="inlineStr">
        <is>
          <t>MANISH KATARIA, VICE CONSUL</t>
        </is>
      </c>
      <c r="N336" s="30" t="inlineStr">
        <is>
          <t>26/02/2026</t>
        </is>
      </c>
    </row>
    <row r="337">
      <c r="A337" s="4">
        <f>Sheet1!A337 &amp; "/" &amp; "2025"</f>
        <v/>
      </c>
      <c r="B337" s="5">
        <f>Sheet1!E337</f>
        <v/>
      </c>
      <c r="C337" s="6">
        <f>UPPER(Sheet1!B337)</f>
        <v/>
      </c>
      <c r="D337" s="7">
        <f>IF(Sheet1!F337="F","FEMALE","MALE")</f>
        <v/>
      </c>
      <c r="E337" s="6">
        <f>UPPER(Sheet1!G337)</f>
        <v/>
      </c>
      <c r="F337" s="6">
        <f>UPPER(Sheet1!H337)</f>
        <v/>
      </c>
      <c r="G337" s="5">
        <f>TEXT(Sheet1!C337,"dd/mm/yyyy") &amp; "," &amp; Sheet1!D337</f>
        <v/>
      </c>
      <c r="H337" s="38">
        <f>UPPER(Sheet1!J337 &amp; "," &amp; Sheet1!K337 &amp; "," &amp; Sheet1!L337)</f>
        <v/>
      </c>
      <c r="I337" s="45">
        <f>Sheet1!I337</f>
        <v/>
      </c>
      <c r="J337" s="5">
        <f>Sheet1!M337 &amp; "," &amp; TEXT(Sheet1!N337,"dd/mm/yy")</f>
        <v/>
      </c>
      <c r="K337" s="5" t="inlineStr">
        <is>
          <t>PRINTED</t>
        </is>
      </c>
      <c r="L337" s="30" t="inlineStr">
        <is>
          <t>25/03/2026</t>
        </is>
      </c>
      <c r="M337" s="30" t="inlineStr">
        <is>
          <t>MANISH KATARIA, VICE CONSUL</t>
        </is>
      </c>
      <c r="N337" s="30" t="inlineStr">
        <is>
          <t>26/02/2026</t>
        </is>
      </c>
    </row>
    <row r="338">
      <c r="A338" s="4">
        <f>Sheet1!A338 &amp; "/" &amp; "2025"</f>
        <v/>
      </c>
      <c r="B338" s="5">
        <f>Sheet1!E338</f>
        <v/>
      </c>
      <c r="C338" s="6">
        <f>UPPER(Sheet1!B338)</f>
        <v/>
      </c>
      <c r="D338" s="7">
        <f>IF(Sheet1!F338="F","FEMALE","MALE")</f>
        <v/>
      </c>
      <c r="E338" s="6">
        <f>UPPER(Sheet1!G338)</f>
        <v/>
      </c>
      <c r="F338" s="6">
        <f>UPPER(Sheet1!H338)</f>
        <v/>
      </c>
      <c r="G338" s="5">
        <f>TEXT(Sheet1!C338,"dd/mm/yyyy") &amp; "," &amp; Sheet1!D338</f>
        <v/>
      </c>
      <c r="H338" s="38">
        <f>UPPER(Sheet1!J338 &amp; "," &amp; Sheet1!K338 &amp; "," &amp; Sheet1!L338)</f>
        <v/>
      </c>
      <c r="I338" s="45">
        <f>Sheet1!I338</f>
        <v/>
      </c>
      <c r="J338" s="5">
        <f>Sheet1!M338 &amp; "," &amp; TEXT(Sheet1!N338,"dd/mm/yy")</f>
        <v/>
      </c>
      <c r="K338" s="5" t="inlineStr">
        <is>
          <t>PRINTED</t>
        </is>
      </c>
      <c r="L338" s="30" t="inlineStr">
        <is>
          <t>25/03/2026</t>
        </is>
      </c>
      <c r="M338" s="30" t="inlineStr">
        <is>
          <t>MANISH KATARIA, VICE CONSUL</t>
        </is>
      </c>
      <c r="N338" s="30" t="inlineStr">
        <is>
          <t>26/02/2026</t>
        </is>
      </c>
    </row>
    <row r="339">
      <c r="A339" s="4">
        <f>Sheet1!A339 &amp; "/" &amp; "2025"</f>
        <v/>
      </c>
      <c r="B339" s="5">
        <f>Sheet1!E339</f>
        <v/>
      </c>
      <c r="C339" s="6">
        <f>UPPER(Sheet1!B339)</f>
        <v/>
      </c>
      <c r="D339" s="7">
        <f>IF(Sheet1!F339="F","FEMALE","MALE")</f>
        <v/>
      </c>
      <c r="E339" s="6">
        <f>UPPER(Sheet1!G339)</f>
        <v/>
      </c>
      <c r="F339" s="6">
        <f>UPPER(Sheet1!H339)</f>
        <v/>
      </c>
      <c r="G339" s="5">
        <f>TEXT(Sheet1!C339,"dd/mm/yyyy") &amp; "," &amp; Sheet1!D339</f>
        <v/>
      </c>
      <c r="H339" s="38">
        <f>UPPER(Sheet1!J339 &amp; "," &amp; Sheet1!K339 &amp; "," &amp; Sheet1!L339)</f>
        <v/>
      </c>
      <c r="I339" s="45">
        <f>Sheet1!I339</f>
        <v/>
      </c>
      <c r="J339" s="5">
        <f>Sheet1!M339 &amp; "," &amp; TEXT(Sheet1!N339,"dd/mm/yy")</f>
        <v/>
      </c>
      <c r="K339" s="5" t="inlineStr">
        <is>
          <t>PRINTED</t>
        </is>
      </c>
      <c r="L339" s="30" t="inlineStr">
        <is>
          <t>25/03/2026</t>
        </is>
      </c>
      <c r="M339" s="30" t="inlineStr">
        <is>
          <t>MANISH KATARIA, VICE CONSUL</t>
        </is>
      </c>
      <c r="N339" s="30" t="inlineStr">
        <is>
          <t>26/02/2026</t>
        </is>
      </c>
    </row>
    <row r="340">
      <c r="A340" s="4">
        <f>Sheet1!A340 &amp; "/" &amp; "2025"</f>
        <v/>
      </c>
      <c r="B340" s="5">
        <f>Sheet1!E340</f>
        <v/>
      </c>
      <c r="C340" s="6">
        <f>UPPER(Sheet1!B340)</f>
        <v/>
      </c>
      <c r="D340" s="7">
        <f>IF(Sheet1!F340="F","FEMALE","MALE")</f>
        <v/>
      </c>
      <c r="E340" s="6">
        <f>UPPER(Sheet1!G340)</f>
        <v/>
      </c>
      <c r="F340" s="6">
        <f>UPPER(Sheet1!H340)</f>
        <v/>
      </c>
      <c r="G340" s="5">
        <f>TEXT(Sheet1!C340,"dd/mm/yyyy") &amp; "," &amp; Sheet1!D340</f>
        <v/>
      </c>
      <c r="H340" s="38">
        <f>UPPER(Sheet1!J340 &amp; "," &amp; Sheet1!K340 &amp; "," &amp; Sheet1!L340)</f>
        <v/>
      </c>
      <c r="I340" s="45">
        <f>Sheet1!I340</f>
        <v/>
      </c>
      <c r="J340" s="5">
        <f>Sheet1!M340 &amp; "," &amp; TEXT(Sheet1!N340,"dd/mm/yy")</f>
        <v/>
      </c>
      <c r="K340" s="5" t="inlineStr">
        <is>
          <t>PRINTED</t>
        </is>
      </c>
      <c r="L340" s="30" t="inlineStr">
        <is>
          <t>25/03/2026</t>
        </is>
      </c>
      <c r="M340" s="30" t="inlineStr">
        <is>
          <t>MANISH KATARIA, VICE CONSUL</t>
        </is>
      </c>
      <c r="N340" s="30" t="inlineStr">
        <is>
          <t>26/02/2026</t>
        </is>
      </c>
    </row>
    <row r="341">
      <c r="A341" s="4">
        <f>Sheet1!A341 &amp; "/" &amp; "2025"</f>
        <v/>
      </c>
      <c r="B341" s="5">
        <f>Sheet1!E341</f>
        <v/>
      </c>
      <c r="C341" s="6">
        <f>UPPER(Sheet1!B341)</f>
        <v/>
      </c>
      <c r="D341" s="7">
        <f>IF(Sheet1!F341="F","FEMALE","MALE")</f>
        <v/>
      </c>
      <c r="E341" s="6">
        <f>UPPER(Sheet1!G341)</f>
        <v/>
      </c>
      <c r="F341" s="6">
        <f>UPPER(Sheet1!H341)</f>
        <v/>
      </c>
      <c r="G341" s="5">
        <f>TEXT(Sheet1!C341,"dd/mm/yyyy") &amp; "," &amp; Sheet1!D341</f>
        <v/>
      </c>
      <c r="H341" s="38">
        <f>UPPER(Sheet1!J341 &amp; "," &amp; Sheet1!K341 &amp; "," &amp; Sheet1!L341)</f>
        <v/>
      </c>
      <c r="I341" s="45">
        <f>Sheet1!I341</f>
        <v/>
      </c>
      <c r="J341" s="5">
        <f>Sheet1!M341 &amp; "," &amp; TEXT(Sheet1!N341,"dd/mm/yy")</f>
        <v/>
      </c>
      <c r="K341" s="5" t="inlineStr">
        <is>
          <t>PRINTED</t>
        </is>
      </c>
      <c r="L341" s="30" t="inlineStr">
        <is>
          <t>25/03/2026</t>
        </is>
      </c>
      <c r="M341" s="30" t="inlineStr">
        <is>
          <t>MANISH KATARIA, VICE CONSUL</t>
        </is>
      </c>
      <c r="N341" s="30" t="inlineStr">
        <is>
          <t>26/02/2026</t>
        </is>
      </c>
    </row>
    <row r="342">
      <c r="A342" s="4">
        <f>Sheet1!A342 &amp; "/" &amp; "2025"</f>
        <v/>
      </c>
      <c r="B342" s="5">
        <f>Sheet1!E342</f>
        <v/>
      </c>
      <c r="C342" s="6">
        <f>UPPER(Sheet1!B342)</f>
        <v/>
      </c>
      <c r="D342" s="7">
        <f>IF(Sheet1!F342="F","FEMALE","MALE")</f>
        <v/>
      </c>
      <c r="E342" s="6">
        <f>UPPER(Sheet1!G342)</f>
        <v/>
      </c>
      <c r="F342" s="6">
        <f>UPPER(Sheet1!H342)</f>
        <v/>
      </c>
      <c r="G342" s="5">
        <f>TEXT(Sheet1!C342,"dd/mm/yyyy") &amp; "," &amp; Sheet1!D342</f>
        <v/>
      </c>
      <c r="H342" s="38">
        <f>UPPER(Sheet1!J342 &amp; "," &amp; Sheet1!K342 &amp; "," &amp; Sheet1!L342)</f>
        <v/>
      </c>
      <c r="I342" s="45">
        <f>Sheet1!I342</f>
        <v/>
      </c>
      <c r="J342" s="5">
        <f>Sheet1!M342 &amp; "," &amp; TEXT(Sheet1!N342,"dd/mm/yy")</f>
        <v/>
      </c>
      <c r="K342" s="5" t="inlineStr">
        <is>
          <t>PRINTED</t>
        </is>
      </c>
      <c r="L342" s="30" t="inlineStr">
        <is>
          <t>25/03/2026</t>
        </is>
      </c>
      <c r="M342" s="30" t="inlineStr">
        <is>
          <t>MANISH KATARIA, VICE CONSUL</t>
        </is>
      </c>
      <c r="N342" s="30" t="inlineStr">
        <is>
          <t>26/02/2026</t>
        </is>
      </c>
    </row>
    <row r="343">
      <c r="A343" s="4">
        <f>Sheet1!A343 &amp; "/" &amp; "2025"</f>
        <v/>
      </c>
      <c r="B343" s="5">
        <f>Sheet1!E343</f>
        <v/>
      </c>
      <c r="C343" s="6">
        <f>UPPER(Sheet1!B343)</f>
        <v/>
      </c>
      <c r="D343" s="7">
        <f>IF(Sheet1!F343="F","FEMALE","MALE")</f>
        <v/>
      </c>
      <c r="E343" s="6">
        <f>UPPER(Sheet1!G343)</f>
        <v/>
      </c>
      <c r="F343" s="6">
        <f>UPPER(Sheet1!H343)</f>
        <v/>
      </c>
      <c r="G343" s="5">
        <f>TEXT(Sheet1!C343,"dd/mm/yyyy") &amp; "," &amp; Sheet1!D343</f>
        <v/>
      </c>
      <c r="H343" s="38">
        <f>UPPER(Sheet1!J343 &amp; "," &amp; Sheet1!K343 &amp; "," &amp; Sheet1!L343)</f>
        <v/>
      </c>
      <c r="I343" s="45">
        <f>Sheet1!I343</f>
        <v/>
      </c>
      <c r="J343" s="5">
        <f>Sheet1!M343 &amp; "," &amp; TEXT(Sheet1!N343,"dd/mm/yy")</f>
        <v/>
      </c>
      <c r="K343" s="5" t="inlineStr">
        <is>
          <t>PRINTED</t>
        </is>
      </c>
      <c r="L343" s="30" t="inlineStr">
        <is>
          <t>25/03/2026</t>
        </is>
      </c>
      <c r="M343" s="30" t="inlineStr">
        <is>
          <t>MANISH KATARIA, VICE CONSUL</t>
        </is>
      </c>
      <c r="N343" s="30" t="inlineStr">
        <is>
          <t>26/02/2026</t>
        </is>
      </c>
    </row>
    <row r="344">
      <c r="A344" s="4">
        <f>Sheet1!A344 &amp; "/" &amp; "2025"</f>
        <v/>
      </c>
      <c r="B344" s="5">
        <f>Sheet1!E344</f>
        <v/>
      </c>
      <c r="C344" s="6">
        <f>UPPER(Sheet1!B344)</f>
        <v/>
      </c>
      <c r="D344" s="7">
        <f>IF(Sheet1!F344="F","FEMALE","MALE")</f>
        <v/>
      </c>
      <c r="E344" s="6">
        <f>UPPER(Sheet1!G344)</f>
        <v/>
      </c>
      <c r="F344" s="6">
        <f>UPPER(Sheet1!H344)</f>
        <v/>
      </c>
      <c r="G344" s="5">
        <f>TEXT(Sheet1!C344,"dd/mm/yyyy") &amp; "," &amp; Sheet1!D344</f>
        <v/>
      </c>
      <c r="H344" s="38">
        <f>UPPER(Sheet1!J344 &amp; "," &amp; Sheet1!K344 &amp; "," &amp; Sheet1!L344)</f>
        <v/>
      </c>
      <c r="I344" s="45">
        <f>Sheet1!I344</f>
        <v/>
      </c>
      <c r="J344" s="5">
        <f>Sheet1!M344 &amp; "," &amp; TEXT(Sheet1!N344,"dd/mm/yy")</f>
        <v/>
      </c>
      <c r="K344" s="5" t="inlineStr">
        <is>
          <t>PRINTED</t>
        </is>
      </c>
      <c r="L344" s="30" t="inlineStr">
        <is>
          <t>25/03/2026</t>
        </is>
      </c>
      <c r="M344" s="30" t="inlineStr">
        <is>
          <t>MANISH KATARIA, VICE CONSUL</t>
        </is>
      </c>
      <c r="N344" s="30" t="inlineStr">
        <is>
          <t>26/02/2026</t>
        </is>
      </c>
    </row>
    <row r="345">
      <c r="A345" s="4">
        <f>Sheet1!A345 &amp; "/" &amp; "2025"</f>
        <v/>
      </c>
      <c r="B345" s="5">
        <f>Sheet1!E345</f>
        <v/>
      </c>
      <c r="C345" s="6">
        <f>UPPER(Sheet1!B345)</f>
        <v/>
      </c>
      <c r="D345" s="7">
        <f>IF(Sheet1!F345="F","FEMALE","MALE")</f>
        <v/>
      </c>
      <c r="E345" s="6">
        <f>UPPER(Sheet1!G345)</f>
        <v/>
      </c>
      <c r="F345" s="6">
        <f>UPPER(Sheet1!H345)</f>
        <v/>
      </c>
      <c r="G345" s="5">
        <f>TEXT(Sheet1!C345,"dd/mm/yyyy") &amp; "," &amp; Sheet1!D345</f>
        <v/>
      </c>
      <c r="H345" s="38">
        <f>UPPER(Sheet1!J345 &amp; "," &amp; Sheet1!K345 &amp; "," &amp; Sheet1!L345)</f>
        <v/>
      </c>
      <c r="I345" s="45">
        <f>Sheet1!I345</f>
        <v/>
      </c>
      <c r="J345" s="5">
        <f>Sheet1!M345 &amp; "," &amp; TEXT(Sheet1!N345,"dd/mm/yy")</f>
        <v/>
      </c>
      <c r="K345" s="5" t="inlineStr">
        <is>
          <t>PRINTED</t>
        </is>
      </c>
      <c r="L345" s="30" t="inlineStr">
        <is>
          <t>25/03/2026</t>
        </is>
      </c>
      <c r="M345" s="30" t="inlineStr">
        <is>
          <t>MANISH KATARIA, VICE CONSUL</t>
        </is>
      </c>
      <c r="N345" s="30" t="inlineStr">
        <is>
          <t>26/02/2026</t>
        </is>
      </c>
    </row>
    <row r="346">
      <c r="A346" s="4">
        <f>Sheet1!A346 &amp; "/" &amp; "2025"</f>
        <v/>
      </c>
      <c r="B346" s="5">
        <f>Sheet1!E346</f>
        <v/>
      </c>
      <c r="C346" s="6">
        <f>UPPER(Sheet1!B346)</f>
        <v/>
      </c>
      <c r="D346" s="7">
        <f>IF(Sheet1!F346="F","FEMALE","MALE")</f>
        <v/>
      </c>
      <c r="E346" s="6">
        <f>UPPER(Sheet1!G346)</f>
        <v/>
      </c>
      <c r="F346" s="6">
        <f>UPPER(Sheet1!H346)</f>
        <v/>
      </c>
      <c r="G346" s="5">
        <f>TEXT(Sheet1!C346,"dd/mm/yyyy") &amp; "," &amp; Sheet1!D346</f>
        <v/>
      </c>
      <c r="H346" s="38">
        <f>UPPER(Sheet1!J346 &amp; "," &amp; Sheet1!K346 &amp; "," &amp; Sheet1!L346)</f>
        <v/>
      </c>
      <c r="I346" s="45">
        <f>Sheet1!I346</f>
        <v/>
      </c>
      <c r="J346" s="5">
        <f>Sheet1!M346 &amp; "," &amp; TEXT(Sheet1!N346,"dd/mm/yy")</f>
        <v/>
      </c>
      <c r="K346" s="5" t="inlineStr">
        <is>
          <t>PRINTED</t>
        </is>
      </c>
      <c r="L346" s="30" t="inlineStr">
        <is>
          <t>25/03/2026</t>
        </is>
      </c>
      <c r="M346" s="30" t="inlineStr">
        <is>
          <t>MANISH KATARIA, VICE CONSUL</t>
        </is>
      </c>
      <c r="N346" s="30" t="inlineStr">
        <is>
          <t>26/02/2026</t>
        </is>
      </c>
    </row>
    <row r="347">
      <c r="A347" s="4">
        <f>Sheet1!A347 &amp; "/" &amp; "2025"</f>
        <v/>
      </c>
      <c r="B347" s="5">
        <f>Sheet1!E347</f>
        <v/>
      </c>
      <c r="C347" s="6">
        <f>UPPER(Sheet1!B347)</f>
        <v/>
      </c>
      <c r="D347" s="7">
        <f>IF(Sheet1!F347="F","FEMALE","MALE")</f>
        <v/>
      </c>
      <c r="E347" s="6">
        <f>UPPER(Sheet1!G347)</f>
        <v/>
      </c>
      <c r="F347" s="6">
        <f>UPPER(Sheet1!H347)</f>
        <v/>
      </c>
      <c r="G347" s="5">
        <f>TEXT(Sheet1!C347,"dd/mm/yyyy") &amp; "," &amp; Sheet1!D347</f>
        <v/>
      </c>
      <c r="H347" s="38">
        <f>UPPER(Sheet1!J347 &amp; "," &amp; Sheet1!K347 &amp; "," &amp; Sheet1!L347)</f>
        <v/>
      </c>
      <c r="I347" s="45">
        <f>Sheet1!I347</f>
        <v/>
      </c>
      <c r="J347" s="5">
        <f>Sheet1!M347 &amp; "," &amp; TEXT(Sheet1!N347,"dd/mm/yy")</f>
        <v/>
      </c>
      <c r="K347" s="5" t="inlineStr">
        <is>
          <t>PRINTED</t>
        </is>
      </c>
      <c r="L347" s="30" t="inlineStr">
        <is>
          <t>25/03/2026</t>
        </is>
      </c>
      <c r="M347" s="30" t="inlineStr">
        <is>
          <t>MANISH KATARIA, VICE CONSUL</t>
        </is>
      </c>
      <c r="N347" s="30" t="inlineStr">
        <is>
          <t>26/02/2026</t>
        </is>
      </c>
    </row>
    <row r="348">
      <c r="A348" s="4">
        <f>Sheet1!A348 &amp; "/" &amp; "2025"</f>
        <v/>
      </c>
      <c r="B348" s="5">
        <f>Sheet1!E348</f>
        <v/>
      </c>
      <c r="C348" s="6">
        <f>UPPER(Sheet1!B348)</f>
        <v/>
      </c>
      <c r="D348" s="7">
        <f>IF(Sheet1!F348="F","FEMALE","MALE")</f>
        <v/>
      </c>
      <c r="E348" s="6">
        <f>UPPER(Sheet1!G348)</f>
        <v/>
      </c>
      <c r="F348" s="6">
        <f>UPPER(Sheet1!H348)</f>
        <v/>
      </c>
      <c r="G348" s="5">
        <f>TEXT(Sheet1!C348,"dd/mm/yyyy") &amp; "," &amp; Sheet1!D348</f>
        <v/>
      </c>
      <c r="H348" s="38">
        <f>UPPER(Sheet1!J348 &amp; "," &amp; Sheet1!K348 &amp; "," &amp; Sheet1!L348)</f>
        <v/>
      </c>
      <c r="I348" s="45">
        <f>Sheet1!I348</f>
        <v/>
      </c>
      <c r="J348" s="5">
        <f>Sheet1!M348 &amp; "," &amp; TEXT(Sheet1!N348,"dd/mm/yy")</f>
        <v/>
      </c>
      <c r="K348" s="5" t="inlineStr">
        <is>
          <t>PRINTED</t>
        </is>
      </c>
      <c r="L348" s="30" t="inlineStr">
        <is>
          <t>25/03/2026</t>
        </is>
      </c>
      <c r="M348" s="30" t="inlineStr">
        <is>
          <t>MANISH KATARIA, VICE CONSUL</t>
        </is>
      </c>
      <c r="N348" s="30" t="inlineStr">
        <is>
          <t>26/02/2026</t>
        </is>
      </c>
    </row>
    <row r="349">
      <c r="A349" s="4">
        <f>Sheet1!A349 &amp; "/" &amp; "2025"</f>
        <v/>
      </c>
      <c r="B349" s="5">
        <f>Sheet1!E349</f>
        <v/>
      </c>
      <c r="C349" s="6">
        <f>UPPER(Sheet1!B349)</f>
        <v/>
      </c>
      <c r="D349" s="7">
        <f>IF(Sheet1!F349="F","FEMALE","MALE")</f>
        <v/>
      </c>
      <c r="E349" s="6">
        <f>UPPER(Sheet1!G349)</f>
        <v/>
      </c>
      <c r="F349" s="6">
        <f>UPPER(Sheet1!H349)</f>
        <v/>
      </c>
      <c r="G349" s="5">
        <f>TEXT(Sheet1!C349,"dd/mm/yyyy") &amp; "," &amp; Sheet1!D349</f>
        <v/>
      </c>
      <c r="H349" s="38">
        <f>UPPER(Sheet1!J349 &amp; "," &amp; Sheet1!K349 &amp; "," &amp; Sheet1!L349)</f>
        <v/>
      </c>
      <c r="I349" s="45">
        <f>Sheet1!I349</f>
        <v/>
      </c>
      <c r="J349" s="5">
        <f>Sheet1!M349 &amp; "," &amp; TEXT(Sheet1!N349,"dd/mm/yy")</f>
        <v/>
      </c>
      <c r="K349" s="5" t="inlineStr">
        <is>
          <t>PRINTED</t>
        </is>
      </c>
      <c r="L349" s="30" t="inlineStr">
        <is>
          <t>25/03/2026</t>
        </is>
      </c>
      <c r="M349" s="30" t="inlineStr">
        <is>
          <t>MANISH KATARIA, VICE CONSUL</t>
        </is>
      </c>
      <c r="N349" s="30" t="inlineStr">
        <is>
          <t>26/02/2026</t>
        </is>
      </c>
    </row>
    <row r="350">
      <c r="A350" s="4">
        <f>Sheet1!A350 &amp; "/" &amp; "2025"</f>
        <v/>
      </c>
      <c r="B350" s="5">
        <f>Sheet1!E350</f>
        <v/>
      </c>
      <c r="C350" s="6">
        <f>UPPER(Sheet1!B350)</f>
        <v/>
      </c>
      <c r="D350" s="7">
        <f>IF(Sheet1!F350="F","FEMALE","MALE")</f>
        <v/>
      </c>
      <c r="E350" s="6">
        <f>UPPER(Sheet1!G350)</f>
        <v/>
      </c>
      <c r="F350" s="6">
        <f>UPPER(Sheet1!H350)</f>
        <v/>
      </c>
      <c r="G350" s="5">
        <f>TEXT(Sheet1!C350,"dd/mm/yyyy") &amp; "," &amp; Sheet1!D350</f>
        <v/>
      </c>
      <c r="H350" s="38">
        <f>UPPER(Sheet1!J350 &amp; "," &amp; Sheet1!K350 &amp; "," &amp; Sheet1!L350)</f>
        <v/>
      </c>
      <c r="I350" s="45">
        <f>Sheet1!I350</f>
        <v/>
      </c>
      <c r="J350" s="5">
        <f>Sheet1!M350 &amp; "," &amp; TEXT(Sheet1!N350,"dd/mm/yy")</f>
        <v/>
      </c>
      <c r="K350" s="5" t="inlineStr">
        <is>
          <t>PRINTED</t>
        </is>
      </c>
      <c r="L350" s="30" t="inlineStr">
        <is>
          <t>25/03/2026</t>
        </is>
      </c>
      <c r="M350" s="30" t="inlineStr">
        <is>
          <t>MANISH KATARIA, VICE CONSUL</t>
        </is>
      </c>
      <c r="N350" s="30" t="inlineStr">
        <is>
          <t>26/02/2026</t>
        </is>
      </c>
    </row>
    <row r="351">
      <c r="A351" s="4">
        <f>Sheet1!A351 &amp; "/" &amp; "2025"</f>
        <v/>
      </c>
      <c r="B351" s="5">
        <f>Sheet1!E351</f>
        <v/>
      </c>
      <c r="C351" s="6">
        <f>UPPER(Sheet1!B351)</f>
        <v/>
      </c>
      <c r="D351" s="7">
        <f>IF(Sheet1!F351="F","FEMALE","MALE")</f>
        <v/>
      </c>
      <c r="E351" s="6">
        <f>UPPER(Sheet1!G351)</f>
        <v/>
      </c>
      <c r="F351" s="6">
        <f>UPPER(Sheet1!H351)</f>
        <v/>
      </c>
      <c r="G351" s="5">
        <f>TEXT(Sheet1!C351,"dd/mm/yyyy") &amp; "," &amp; Sheet1!D351</f>
        <v/>
      </c>
      <c r="H351" s="38">
        <f>UPPER(Sheet1!J351 &amp; "," &amp; Sheet1!K351 &amp; "," &amp; Sheet1!L351)</f>
        <v/>
      </c>
      <c r="I351" s="45">
        <f>Sheet1!I351</f>
        <v/>
      </c>
      <c r="J351" s="5">
        <f>Sheet1!M351 &amp; "," &amp; TEXT(Sheet1!N351,"dd/mm/yy")</f>
        <v/>
      </c>
      <c r="K351" s="5" t="inlineStr">
        <is>
          <t>PRINTED</t>
        </is>
      </c>
      <c r="L351" s="30" t="inlineStr">
        <is>
          <t>25/03/2026</t>
        </is>
      </c>
      <c r="M351" s="30" t="inlineStr">
        <is>
          <t>MANISH KATARIA, VICE CONSUL</t>
        </is>
      </c>
      <c r="N351" s="30" t="inlineStr">
        <is>
          <t>26/02/2026</t>
        </is>
      </c>
    </row>
    <row r="352">
      <c r="A352" s="4">
        <f>Sheet1!A352 &amp; "/" &amp; "2025"</f>
        <v/>
      </c>
      <c r="B352" s="5">
        <f>Sheet1!E352</f>
        <v/>
      </c>
      <c r="C352" s="6">
        <f>UPPER(Sheet1!B352)</f>
        <v/>
      </c>
      <c r="D352" s="7">
        <f>IF(Sheet1!F352="F","FEMALE","MALE")</f>
        <v/>
      </c>
      <c r="E352" s="6">
        <f>UPPER(Sheet1!G352)</f>
        <v/>
      </c>
      <c r="F352" s="6">
        <f>UPPER(Sheet1!H352)</f>
        <v/>
      </c>
      <c r="G352" s="5">
        <f>TEXT(Sheet1!C352,"dd/mm/yyyy") &amp; "," &amp; Sheet1!D352</f>
        <v/>
      </c>
      <c r="H352" s="38">
        <f>UPPER(Sheet1!J352 &amp; "," &amp; Sheet1!K352 &amp; "," &amp; Sheet1!L352)</f>
        <v/>
      </c>
      <c r="I352" s="45">
        <f>Sheet1!I352</f>
        <v/>
      </c>
      <c r="J352" s="5">
        <f>Sheet1!M352 &amp; "," &amp; TEXT(Sheet1!N352,"dd/mm/yy")</f>
        <v/>
      </c>
      <c r="K352" s="5" t="inlineStr">
        <is>
          <t>PRINTED</t>
        </is>
      </c>
      <c r="L352" s="30" t="inlineStr">
        <is>
          <t>25/03/2026</t>
        </is>
      </c>
      <c r="M352" s="30" t="inlineStr">
        <is>
          <t>MANISH KATARIA, VICE CONSUL</t>
        </is>
      </c>
      <c r="N352" s="30" t="inlineStr">
        <is>
          <t>26/02/2026</t>
        </is>
      </c>
    </row>
    <row r="353">
      <c r="A353" s="4">
        <f>Sheet1!A353 &amp; "/" &amp; "2025"</f>
        <v/>
      </c>
      <c r="B353" s="5">
        <f>Sheet1!E353</f>
        <v/>
      </c>
      <c r="C353" s="6">
        <f>UPPER(Sheet1!B353)</f>
        <v/>
      </c>
      <c r="D353" s="7">
        <f>IF(Sheet1!F353="F","FEMALE","MALE")</f>
        <v/>
      </c>
      <c r="E353" s="6">
        <f>UPPER(Sheet1!G353)</f>
        <v/>
      </c>
      <c r="F353" s="6">
        <f>UPPER(Sheet1!H353)</f>
        <v/>
      </c>
      <c r="G353" s="5">
        <f>TEXT(Sheet1!C353,"dd/mm/yyyy") &amp; "," &amp; Sheet1!D353</f>
        <v/>
      </c>
      <c r="H353" s="38">
        <f>UPPER(Sheet1!J353 &amp; "," &amp; Sheet1!K353 &amp; "," &amp; Sheet1!L353)</f>
        <v/>
      </c>
      <c r="I353" s="45">
        <f>Sheet1!I353</f>
        <v/>
      </c>
      <c r="J353" s="5">
        <f>Sheet1!M353 &amp; "," &amp; TEXT(Sheet1!N353,"dd/mm/yy")</f>
        <v/>
      </c>
      <c r="K353" s="5" t="inlineStr">
        <is>
          <t>PRINTED</t>
        </is>
      </c>
      <c r="L353" s="30" t="inlineStr">
        <is>
          <t>25/03/2026</t>
        </is>
      </c>
      <c r="M353" s="30" t="inlineStr">
        <is>
          <t>MANISH KATARIA, VICE CONSUL</t>
        </is>
      </c>
      <c r="N353" s="30" t="inlineStr">
        <is>
          <t>26/02/2026</t>
        </is>
      </c>
    </row>
    <row r="354" ht="30" customHeight="1">
      <c r="A354" s="4">
        <f>Sheet1!A354 &amp; "/" &amp; "2025"</f>
        <v/>
      </c>
      <c r="B354" s="5">
        <f>Sheet1!E354</f>
        <v/>
      </c>
      <c r="C354" s="6">
        <f>UPPER(Sheet1!B354)</f>
        <v/>
      </c>
      <c r="D354" s="7">
        <f>IF(Sheet1!F354="F","FEMALE","MALE")</f>
        <v/>
      </c>
      <c r="E354" s="6">
        <f>UPPER(Sheet1!G354)</f>
        <v/>
      </c>
      <c r="F354" s="6">
        <f>UPPER(Sheet1!H354)</f>
        <v/>
      </c>
      <c r="G354" s="5">
        <f>TEXT(Sheet1!C354,"dd/mm/yyyy") &amp; "," &amp; Sheet1!D354</f>
        <v/>
      </c>
      <c r="H354" s="38">
        <f>UPPER(Sheet1!J354 &amp; "," &amp; Sheet1!K354 &amp; "," &amp; Sheet1!L354)</f>
        <v/>
      </c>
      <c r="I354" s="45">
        <f>Sheet1!I354</f>
        <v/>
      </c>
      <c r="J354" s="5">
        <f>Sheet1!M354 &amp; "," &amp; TEXT(Sheet1!N354,"dd/mm/yy")</f>
        <v/>
      </c>
      <c r="K354" s="5" t="inlineStr">
        <is>
          <t>PRINTED</t>
        </is>
      </c>
      <c r="L354" s="30" t="inlineStr">
        <is>
          <t>25/03/2026</t>
        </is>
      </c>
      <c r="M354" s="30" t="inlineStr">
        <is>
          <t>MANISH KATARIA, VICE CONSUL</t>
        </is>
      </c>
      <c r="N354" s="30" t="inlineStr">
        <is>
          <t>26/02/2026</t>
        </is>
      </c>
    </row>
    <row r="355">
      <c r="A355" s="4">
        <f>Sheet1!A355 &amp; "/" &amp; "2025"</f>
        <v/>
      </c>
      <c r="B355" s="5">
        <f>Sheet1!E355</f>
        <v/>
      </c>
      <c r="C355" s="6">
        <f>UPPER(Sheet1!B355)</f>
        <v/>
      </c>
      <c r="D355" s="7">
        <f>IF(Sheet1!F355="F","FEMALE","MALE")</f>
        <v/>
      </c>
      <c r="E355" s="6">
        <f>UPPER(Sheet1!G355)</f>
        <v/>
      </c>
      <c r="F355" s="6">
        <f>UPPER(Sheet1!H355)</f>
        <v/>
      </c>
      <c r="G355" s="5">
        <f>TEXT(Sheet1!C355,"dd/mm/yyyy") &amp; "," &amp; Sheet1!D355</f>
        <v/>
      </c>
      <c r="H355" s="38">
        <f>UPPER(Sheet1!J355 &amp; "," &amp; Sheet1!K355 &amp; "," &amp; Sheet1!L355)</f>
        <v/>
      </c>
      <c r="I355" s="45">
        <f>Sheet1!I355</f>
        <v/>
      </c>
      <c r="J355" s="5">
        <f>Sheet1!M355 &amp; "," &amp; TEXT(Sheet1!N355,"dd/mm/yy")</f>
        <v/>
      </c>
      <c r="K355" s="5" t="inlineStr">
        <is>
          <t>PRINTED</t>
        </is>
      </c>
      <c r="L355" s="30" t="inlineStr">
        <is>
          <t>25/03/2026</t>
        </is>
      </c>
      <c r="M355" s="30" t="inlineStr">
        <is>
          <t>MANISH KATARIA, VICE CONSUL</t>
        </is>
      </c>
      <c r="N355" s="30" t="inlineStr">
        <is>
          <t>26/02/2026</t>
        </is>
      </c>
    </row>
    <row r="356">
      <c r="A356" s="4">
        <f>Sheet1!A356 &amp; "/" &amp; "2025"</f>
        <v/>
      </c>
      <c r="B356" s="5">
        <f>Sheet1!E356</f>
        <v/>
      </c>
      <c r="C356" s="6">
        <f>UPPER(Sheet1!B356)</f>
        <v/>
      </c>
      <c r="D356" s="7">
        <f>IF(Sheet1!F356="F","FEMALE","MALE")</f>
        <v/>
      </c>
      <c r="E356" s="6">
        <f>UPPER(Sheet1!G356)</f>
        <v/>
      </c>
      <c r="F356" s="6">
        <f>UPPER(Sheet1!H356)</f>
        <v/>
      </c>
      <c r="G356" s="5">
        <f>TEXT(Sheet1!C356,"dd/mm/yyyy") &amp; "," &amp; Sheet1!D356</f>
        <v/>
      </c>
      <c r="H356" s="38">
        <f>UPPER(Sheet1!J356 &amp; "," &amp; Sheet1!K356 &amp; "," &amp; Sheet1!L356)</f>
        <v/>
      </c>
      <c r="I356" s="45">
        <f>Sheet1!I356</f>
        <v/>
      </c>
      <c r="J356" s="5">
        <f>Sheet1!M356 &amp; "," &amp; TEXT(Sheet1!N356,"dd/mm/yy")</f>
        <v/>
      </c>
      <c r="K356" s="5" t="inlineStr">
        <is>
          <t>PRINTED</t>
        </is>
      </c>
      <c r="L356" s="30" t="inlineStr">
        <is>
          <t>25/03/2026</t>
        </is>
      </c>
      <c r="M356" s="30" t="inlineStr">
        <is>
          <t>MANISH KATARIA, VICE CONSUL</t>
        </is>
      </c>
      <c r="N356" s="30" t="inlineStr">
        <is>
          <t>26/02/2026</t>
        </is>
      </c>
    </row>
    <row r="357">
      <c r="A357" s="4">
        <f>Sheet1!A357 &amp; "/" &amp; "2025"</f>
        <v/>
      </c>
      <c r="B357" s="5">
        <f>Sheet1!E357</f>
        <v/>
      </c>
      <c r="C357" s="6">
        <f>UPPER(Sheet1!B357)</f>
        <v/>
      </c>
      <c r="D357" s="7">
        <f>IF(Sheet1!F357="F","FEMALE","MALE")</f>
        <v/>
      </c>
      <c r="E357" s="6">
        <f>UPPER(Sheet1!G357)</f>
        <v/>
      </c>
      <c r="F357" s="6">
        <f>UPPER(Sheet1!H357)</f>
        <v/>
      </c>
      <c r="G357" s="5">
        <f>TEXT(Sheet1!C357,"dd/mm/yyyy") &amp; "," &amp; Sheet1!D357</f>
        <v/>
      </c>
      <c r="H357" s="38">
        <f>UPPER(Sheet1!J357 &amp; "," &amp; Sheet1!K357 &amp; "," &amp; Sheet1!L357)</f>
        <v/>
      </c>
      <c r="I357" s="45">
        <f>Sheet1!I357</f>
        <v/>
      </c>
      <c r="J357" s="5">
        <f>Sheet1!M357 &amp; "," &amp; TEXT(Sheet1!N357,"dd/mm/yy")</f>
        <v/>
      </c>
      <c r="K357" s="5" t="inlineStr">
        <is>
          <t>PRINTED</t>
        </is>
      </c>
      <c r="L357" s="30" t="inlineStr">
        <is>
          <t>25/03/2026</t>
        </is>
      </c>
      <c r="M357" s="30" t="inlineStr">
        <is>
          <t>MANISH KATARIA, VICE CONSUL</t>
        </is>
      </c>
      <c r="N357" s="30" t="inlineStr">
        <is>
          <t>26/02/2026</t>
        </is>
      </c>
    </row>
    <row r="358">
      <c r="A358" s="4">
        <f>Sheet1!A358 &amp; "/" &amp; "2025"</f>
        <v/>
      </c>
      <c r="B358" s="5">
        <f>Sheet1!E358</f>
        <v/>
      </c>
      <c r="C358" s="6">
        <f>UPPER(Sheet1!B358)</f>
        <v/>
      </c>
      <c r="D358" s="7">
        <f>IF(Sheet1!F358="F","FEMALE","MALE")</f>
        <v/>
      </c>
      <c r="E358" s="6">
        <f>UPPER(Sheet1!G358)</f>
        <v/>
      </c>
      <c r="F358" s="6">
        <f>UPPER(Sheet1!H358)</f>
        <v/>
      </c>
      <c r="G358" s="5">
        <f>TEXT(Sheet1!C358,"dd/mm/yyyy") &amp; "," &amp; Sheet1!D358</f>
        <v/>
      </c>
      <c r="H358" s="38">
        <f>UPPER(Sheet1!J358 &amp; "," &amp; Sheet1!K358 &amp; "," &amp; Sheet1!L358)</f>
        <v/>
      </c>
      <c r="I358" s="45">
        <f>Sheet1!I358</f>
        <v/>
      </c>
      <c r="J358" s="5">
        <f>Sheet1!M358 &amp; "," &amp; TEXT(Sheet1!N358,"dd/mm/yy")</f>
        <v/>
      </c>
      <c r="K358" s="5" t="inlineStr">
        <is>
          <t>PRINTED</t>
        </is>
      </c>
      <c r="L358" s="30" t="inlineStr">
        <is>
          <t>25/03/2026</t>
        </is>
      </c>
      <c r="M358" s="30" t="inlineStr">
        <is>
          <t>MANISH KATARIA, VICE CONSUL</t>
        </is>
      </c>
      <c r="N358" s="30" t="inlineStr">
        <is>
          <t>26/02/2026</t>
        </is>
      </c>
    </row>
    <row r="359">
      <c r="A359" s="4">
        <f>Sheet1!A359 &amp; "/" &amp; "2025"</f>
        <v/>
      </c>
      <c r="B359" s="5">
        <f>Sheet1!E359</f>
        <v/>
      </c>
      <c r="C359" s="6">
        <f>UPPER(Sheet1!B359)</f>
        <v/>
      </c>
      <c r="D359" s="7">
        <f>IF(Sheet1!F359="F","FEMALE","MALE")</f>
        <v/>
      </c>
      <c r="E359" s="6">
        <f>UPPER(Sheet1!G359)</f>
        <v/>
      </c>
      <c r="F359" s="6">
        <f>UPPER(Sheet1!H359)</f>
        <v/>
      </c>
      <c r="G359" s="5">
        <f>TEXT(Sheet1!C359,"dd/mm/yyyy") &amp; "," &amp; Sheet1!D359</f>
        <v/>
      </c>
      <c r="H359" s="38">
        <f>UPPER(Sheet1!J359 &amp; "," &amp; Sheet1!K359 &amp; "," &amp; Sheet1!L359)</f>
        <v/>
      </c>
      <c r="I359" s="45">
        <f>Sheet1!I359</f>
        <v/>
      </c>
      <c r="J359" s="5">
        <f>Sheet1!M359 &amp; "," &amp; TEXT(Sheet1!N359,"dd/mm/yy")</f>
        <v/>
      </c>
      <c r="K359" s="5" t="inlineStr">
        <is>
          <t>PRINTED</t>
        </is>
      </c>
      <c r="L359" s="30" t="inlineStr">
        <is>
          <t>25/03/2026</t>
        </is>
      </c>
      <c r="M359" s="30" t="inlineStr">
        <is>
          <t>MANISH KATARIA, VICE CONSUL</t>
        </is>
      </c>
      <c r="N359" s="30" t="inlineStr">
        <is>
          <t>26/02/2026</t>
        </is>
      </c>
    </row>
    <row r="360">
      <c r="A360" s="4">
        <f>Sheet1!A360 &amp; "/" &amp; "2025"</f>
        <v/>
      </c>
      <c r="B360" s="5">
        <f>Sheet1!E360</f>
        <v/>
      </c>
      <c r="C360" s="6">
        <f>UPPER(Sheet1!B360)</f>
        <v/>
      </c>
      <c r="D360" s="7">
        <f>IF(Sheet1!F360="F","FEMALE","MALE")</f>
        <v/>
      </c>
      <c r="E360" s="6">
        <f>UPPER(Sheet1!G360)</f>
        <v/>
      </c>
      <c r="F360" s="6">
        <f>UPPER(Sheet1!H360)</f>
        <v/>
      </c>
      <c r="G360" s="5">
        <f>TEXT(Sheet1!C360,"dd/mm/yyyy") &amp; "," &amp; Sheet1!D360</f>
        <v/>
      </c>
      <c r="H360" s="38">
        <f>UPPER(Sheet1!J360 &amp; "," &amp; Sheet1!K360 &amp; "," &amp; Sheet1!L360)</f>
        <v/>
      </c>
      <c r="I360" s="45">
        <f>Sheet1!I360</f>
        <v/>
      </c>
      <c r="J360" s="5">
        <f>Sheet1!M360 &amp; "," &amp; TEXT(Sheet1!N360,"dd/mm/yy")</f>
        <v/>
      </c>
      <c r="K360" s="5" t="inlineStr">
        <is>
          <t>PRINTED</t>
        </is>
      </c>
      <c r="L360" s="30" t="inlineStr">
        <is>
          <t>25/03/2026</t>
        </is>
      </c>
      <c r="M360" s="30" t="inlineStr">
        <is>
          <t>MANISH KATARIA, VICE CONSUL</t>
        </is>
      </c>
      <c r="N360" s="30" t="inlineStr">
        <is>
          <t>26/02/2026</t>
        </is>
      </c>
    </row>
    <row r="361">
      <c r="A361" s="4">
        <f>Sheet1!A361 &amp; "/" &amp; "2025"</f>
        <v/>
      </c>
      <c r="B361" s="5">
        <f>Sheet1!E361</f>
        <v/>
      </c>
      <c r="C361" s="6">
        <f>UPPER(Sheet1!B361)</f>
        <v/>
      </c>
      <c r="D361" s="7">
        <f>IF(Sheet1!F361="F","FEMALE","MALE")</f>
        <v/>
      </c>
      <c r="E361" s="6">
        <f>UPPER(Sheet1!G361)</f>
        <v/>
      </c>
      <c r="F361" s="6">
        <f>UPPER(Sheet1!H361)</f>
        <v/>
      </c>
      <c r="G361" s="5">
        <f>TEXT(Sheet1!C361,"dd/mm/yyyy") &amp; "," &amp; Sheet1!D361</f>
        <v/>
      </c>
      <c r="H361" s="38">
        <f>UPPER(Sheet1!J361 &amp; "," &amp; Sheet1!K361 &amp; "," &amp; Sheet1!L361)</f>
        <v/>
      </c>
      <c r="I361" s="45">
        <f>Sheet1!I361</f>
        <v/>
      </c>
      <c r="J361" s="5">
        <f>Sheet1!M361 &amp; "," &amp; TEXT(Sheet1!N361,"dd/mm/yy")</f>
        <v/>
      </c>
      <c r="K361" s="5" t="inlineStr">
        <is>
          <t>PRINTED</t>
        </is>
      </c>
      <c r="L361" s="30" t="inlineStr">
        <is>
          <t>25/03/2026</t>
        </is>
      </c>
      <c r="M361" s="30" t="inlineStr">
        <is>
          <t>MANISH KATARIA, VICE CONSUL</t>
        </is>
      </c>
      <c r="N361" s="30" t="inlineStr">
        <is>
          <t>26/02/2026</t>
        </is>
      </c>
    </row>
    <row r="362">
      <c r="A362" s="4">
        <f>Sheet1!A362 &amp; "/" &amp; "2025"</f>
        <v/>
      </c>
      <c r="B362" s="5">
        <f>Sheet1!E362</f>
        <v/>
      </c>
      <c r="C362" s="6">
        <f>UPPER(Sheet1!B362)</f>
        <v/>
      </c>
      <c r="D362" s="7">
        <f>IF(Sheet1!F362="F","FEMALE","MALE")</f>
        <v/>
      </c>
      <c r="E362" s="6">
        <f>UPPER(Sheet1!G362)</f>
        <v/>
      </c>
      <c r="F362" s="6">
        <f>UPPER(Sheet1!H362)</f>
        <v/>
      </c>
      <c r="G362" s="5">
        <f>TEXT(Sheet1!C362,"dd/mm/yyyy") &amp; "," &amp; Sheet1!D362</f>
        <v/>
      </c>
      <c r="H362" s="38">
        <f>UPPER(Sheet1!J362 &amp; "," &amp; Sheet1!K362 &amp; "," &amp; Sheet1!L362)</f>
        <v/>
      </c>
      <c r="I362" s="45">
        <f>Sheet1!I362</f>
        <v/>
      </c>
      <c r="J362" s="5">
        <f>Sheet1!M362 &amp; "," &amp; TEXT(Sheet1!N362,"dd/mm/yy")</f>
        <v/>
      </c>
      <c r="K362" s="5" t="inlineStr">
        <is>
          <t>PRINTED</t>
        </is>
      </c>
      <c r="L362" s="30" t="inlineStr">
        <is>
          <t>25/03/2026</t>
        </is>
      </c>
      <c r="M362" s="30" t="inlineStr">
        <is>
          <t>MANISH KATARIA, VICE CONSUL</t>
        </is>
      </c>
      <c r="N362" s="30" t="inlineStr">
        <is>
          <t>26/02/2026</t>
        </is>
      </c>
    </row>
    <row r="363">
      <c r="A363" s="4">
        <f>Sheet1!A363 &amp; "/" &amp; "2025"</f>
        <v/>
      </c>
      <c r="B363" s="5">
        <f>Sheet1!E363</f>
        <v/>
      </c>
      <c r="C363" s="6">
        <f>UPPER(Sheet1!B363)</f>
        <v/>
      </c>
      <c r="D363" s="7">
        <f>IF(Sheet1!F363="F","FEMALE","MALE")</f>
        <v/>
      </c>
      <c r="E363" s="6">
        <f>UPPER(Sheet1!G363)</f>
        <v/>
      </c>
      <c r="F363" s="6">
        <f>UPPER(Sheet1!H363)</f>
        <v/>
      </c>
      <c r="G363" s="5">
        <f>TEXT(Sheet1!C363,"dd/mm/yyyy") &amp; "," &amp; Sheet1!D363</f>
        <v/>
      </c>
      <c r="H363" s="38">
        <f>UPPER(Sheet1!J363 &amp; "," &amp; Sheet1!K363 &amp; "," &amp; Sheet1!L363)</f>
        <v/>
      </c>
      <c r="I363" s="45">
        <f>Sheet1!I363</f>
        <v/>
      </c>
      <c r="J363" s="5">
        <f>Sheet1!M363 &amp; "," &amp; TEXT(Sheet1!N363,"dd/mm/yy")</f>
        <v/>
      </c>
      <c r="K363" s="5" t="inlineStr">
        <is>
          <t>PRINTED</t>
        </is>
      </c>
      <c r="L363" s="30" t="inlineStr">
        <is>
          <t>25/03/2026</t>
        </is>
      </c>
      <c r="M363" s="30" t="inlineStr">
        <is>
          <t>MANISH KATARIA, VICE CONSUL</t>
        </is>
      </c>
      <c r="N363" s="30" t="inlineStr">
        <is>
          <t>26/02/2026</t>
        </is>
      </c>
    </row>
    <row r="364">
      <c r="A364" s="4">
        <f>Sheet1!A364 &amp; "/" &amp; "2025"</f>
        <v/>
      </c>
      <c r="B364" s="5">
        <f>Sheet1!E364</f>
        <v/>
      </c>
      <c r="C364" s="6">
        <f>UPPER(Sheet1!B364)</f>
        <v/>
      </c>
      <c r="D364" s="7">
        <f>IF(Sheet1!F364="F","FEMALE","MALE")</f>
        <v/>
      </c>
      <c r="E364" s="6">
        <f>UPPER(Sheet1!G364)</f>
        <v/>
      </c>
      <c r="F364" s="6">
        <f>UPPER(Sheet1!H364)</f>
        <v/>
      </c>
      <c r="G364" s="5">
        <f>TEXT(Sheet1!C364,"dd/mm/yyyy") &amp; "," &amp; Sheet1!D364</f>
        <v/>
      </c>
      <c r="H364" s="38">
        <f>UPPER(Sheet1!J364 &amp; "," &amp; Sheet1!K364 &amp; "," &amp; Sheet1!L364)</f>
        <v/>
      </c>
      <c r="I364" s="45">
        <f>Sheet1!I364</f>
        <v/>
      </c>
      <c r="J364" s="5">
        <f>Sheet1!M364 &amp; "," &amp; TEXT(Sheet1!N364,"dd/mm/yy")</f>
        <v/>
      </c>
      <c r="K364" s="5" t="inlineStr">
        <is>
          <t>PRINTED</t>
        </is>
      </c>
      <c r="L364" s="30" t="inlineStr">
        <is>
          <t>25/03/2026</t>
        </is>
      </c>
      <c r="M364" s="30" t="inlineStr">
        <is>
          <t>MANISH KATARIA, VICE CONSUL</t>
        </is>
      </c>
      <c r="N364" s="30" t="inlineStr">
        <is>
          <t>26/02/2026</t>
        </is>
      </c>
    </row>
    <row r="365">
      <c r="A365" s="4">
        <f>Sheet1!A365 &amp; "/" &amp; "2025"</f>
        <v/>
      </c>
      <c r="B365" s="5">
        <f>Sheet1!E365</f>
        <v/>
      </c>
      <c r="C365" s="6">
        <f>UPPER(Sheet1!B365)</f>
        <v/>
      </c>
      <c r="D365" s="7">
        <f>IF(Sheet1!F365="F","FEMALE","MALE")</f>
        <v/>
      </c>
      <c r="E365" s="6">
        <f>UPPER(Sheet1!G365)</f>
        <v/>
      </c>
      <c r="F365" s="6">
        <f>UPPER(Sheet1!H365)</f>
        <v/>
      </c>
      <c r="G365" s="5">
        <f>TEXT(Sheet1!C365,"dd/mm/yyyy") &amp; "," &amp; Sheet1!D365</f>
        <v/>
      </c>
      <c r="H365" s="38">
        <f>UPPER(Sheet1!J365 &amp; "," &amp; Sheet1!K365 &amp; "," &amp; Sheet1!L365)</f>
        <v/>
      </c>
      <c r="I365" s="45">
        <f>Sheet1!I365</f>
        <v/>
      </c>
      <c r="J365" s="5">
        <f>Sheet1!M365 &amp; "," &amp; TEXT(Sheet1!N365,"dd/mm/yy")</f>
        <v/>
      </c>
      <c r="K365" s="5" t="inlineStr">
        <is>
          <t>PRINTED</t>
        </is>
      </c>
      <c r="L365" s="30" t="inlineStr">
        <is>
          <t>25/03/2026</t>
        </is>
      </c>
      <c r="M365" s="30" t="inlineStr">
        <is>
          <t>MANISH KATARIA, VICE CONSUL</t>
        </is>
      </c>
      <c r="N365" s="30" t="inlineStr">
        <is>
          <t>26/02/2026</t>
        </is>
      </c>
    </row>
    <row r="366">
      <c r="A366" s="4">
        <f>Sheet1!A366 &amp; "/" &amp; "2025"</f>
        <v/>
      </c>
      <c r="B366" s="5">
        <f>Sheet1!E366</f>
        <v/>
      </c>
      <c r="C366" s="6">
        <f>UPPER(Sheet1!B366)</f>
        <v/>
      </c>
      <c r="D366" s="7">
        <f>IF(Sheet1!F366="F","FEMALE","MALE")</f>
        <v/>
      </c>
      <c r="E366" s="6">
        <f>UPPER(Sheet1!G366)</f>
        <v/>
      </c>
      <c r="F366" s="6">
        <f>UPPER(Sheet1!H366)</f>
        <v/>
      </c>
      <c r="G366" s="5">
        <f>TEXT(Sheet1!C366,"dd/mm/yyyy") &amp; "," &amp; Sheet1!D366</f>
        <v/>
      </c>
      <c r="H366" s="38">
        <f>UPPER(Sheet1!J366 &amp; "," &amp; Sheet1!K366 &amp; "," &amp; Sheet1!L366)</f>
        <v/>
      </c>
      <c r="I366" s="45">
        <f>Sheet1!I366</f>
        <v/>
      </c>
      <c r="J366" s="5">
        <f>Sheet1!M366 &amp; "," &amp; TEXT(Sheet1!N366,"dd/mm/yy")</f>
        <v/>
      </c>
      <c r="K366" s="5" t="inlineStr">
        <is>
          <t>PRINTED</t>
        </is>
      </c>
      <c r="L366" s="30" t="inlineStr">
        <is>
          <t>25/03/2026</t>
        </is>
      </c>
      <c r="M366" s="30" t="inlineStr">
        <is>
          <t>MANISH KATARIA, VICE CONSUL</t>
        </is>
      </c>
      <c r="N366" s="30" t="inlineStr">
        <is>
          <t>26/02/2026</t>
        </is>
      </c>
    </row>
    <row r="367" ht="30" customHeight="1">
      <c r="A367" s="4">
        <f>Sheet1!A367 &amp; "/" &amp; "2025"</f>
        <v/>
      </c>
      <c r="B367" s="5">
        <f>Sheet1!E367</f>
        <v/>
      </c>
      <c r="C367" s="6">
        <f>UPPER(Sheet1!B367)</f>
        <v/>
      </c>
      <c r="D367" s="7">
        <f>IF(Sheet1!F367="F","FEMALE","MALE")</f>
        <v/>
      </c>
      <c r="E367" s="6">
        <f>UPPER(Sheet1!G367)</f>
        <v/>
      </c>
      <c r="F367" s="6">
        <f>UPPER(Sheet1!H367)</f>
        <v/>
      </c>
      <c r="G367" s="5">
        <f>TEXT(Sheet1!C367,"dd/mm/yyyy") &amp; "," &amp; Sheet1!D367</f>
        <v/>
      </c>
      <c r="H367" s="38">
        <f>UPPER(Sheet1!J367 &amp; "," &amp; Sheet1!K367 &amp; "," &amp; Sheet1!L367)</f>
        <v/>
      </c>
      <c r="I367" s="45">
        <f>Sheet1!I367</f>
        <v/>
      </c>
      <c r="J367" s="5">
        <f>Sheet1!M367 &amp; "," &amp; TEXT(Sheet1!N367,"dd/mm/yy")</f>
        <v/>
      </c>
      <c r="K367" s="5" t="inlineStr">
        <is>
          <t>PRINTED</t>
        </is>
      </c>
      <c r="L367" s="30" t="inlineStr">
        <is>
          <t>25/03/2026</t>
        </is>
      </c>
      <c r="M367" s="30" t="inlineStr">
        <is>
          <t>MANISH KATARIA, VICE CONSUL</t>
        </is>
      </c>
      <c r="N367" s="30" t="inlineStr">
        <is>
          <t>26/02/2026</t>
        </is>
      </c>
    </row>
    <row r="368">
      <c r="A368" s="4">
        <f>Sheet1!A368 &amp; "/" &amp; "2025"</f>
        <v/>
      </c>
      <c r="B368" s="5">
        <f>Sheet1!E368</f>
        <v/>
      </c>
      <c r="C368" s="6">
        <f>UPPER(Sheet1!B368)</f>
        <v/>
      </c>
      <c r="D368" s="7">
        <f>IF(Sheet1!F368="F","FEMALE","MALE")</f>
        <v/>
      </c>
      <c r="E368" s="6">
        <f>UPPER(Sheet1!G368)</f>
        <v/>
      </c>
      <c r="F368" s="6">
        <f>UPPER(Sheet1!H368)</f>
        <v/>
      </c>
      <c r="G368" s="5">
        <f>TEXT(Sheet1!C368,"dd/mm/yyyy") &amp; "," &amp; Sheet1!D368</f>
        <v/>
      </c>
      <c r="H368" s="38">
        <f>UPPER(Sheet1!J368 &amp; "," &amp; Sheet1!K368 &amp; "," &amp; Sheet1!L368)</f>
        <v/>
      </c>
      <c r="I368" s="45">
        <f>Sheet1!I368</f>
        <v/>
      </c>
      <c r="J368" s="5">
        <f>Sheet1!M368 &amp; "," &amp; TEXT(Sheet1!N368,"dd/mm/yy")</f>
        <v/>
      </c>
      <c r="K368" s="5" t="inlineStr">
        <is>
          <t>PRINTED</t>
        </is>
      </c>
      <c r="L368" s="30" t="inlineStr">
        <is>
          <t>25/03/2026</t>
        </is>
      </c>
      <c r="M368" s="30" t="inlineStr">
        <is>
          <t>MANISH KATARIA, VICE CONSUL</t>
        </is>
      </c>
      <c r="N368" s="30" t="inlineStr">
        <is>
          <t>26/02/2026</t>
        </is>
      </c>
    </row>
    <row r="369">
      <c r="A369" s="4">
        <f>Sheet1!A369 &amp; "/" &amp; "2025"</f>
        <v/>
      </c>
      <c r="B369" s="5">
        <f>Sheet1!E369</f>
        <v/>
      </c>
      <c r="C369" s="6">
        <f>UPPER(Sheet1!B369)</f>
        <v/>
      </c>
      <c r="D369" s="7">
        <f>IF(Sheet1!F369="F","FEMALE","MALE")</f>
        <v/>
      </c>
      <c r="E369" s="6">
        <f>UPPER(Sheet1!G369)</f>
        <v/>
      </c>
      <c r="F369" s="6">
        <f>UPPER(Sheet1!H369)</f>
        <v/>
      </c>
      <c r="G369" s="5">
        <f>TEXT(Sheet1!C369,"dd/mm/yyyy") &amp; "," &amp; Sheet1!D369</f>
        <v/>
      </c>
      <c r="H369" s="38">
        <f>UPPER(Sheet1!J369 &amp; "," &amp; Sheet1!K369 &amp; "," &amp; Sheet1!L369)</f>
        <v/>
      </c>
      <c r="I369" s="45">
        <f>Sheet1!I369</f>
        <v/>
      </c>
      <c r="J369" s="5">
        <f>Sheet1!M369 &amp; "," &amp; TEXT(Sheet1!N369,"dd/mm/yy")</f>
        <v/>
      </c>
      <c r="K369" s="5" t="inlineStr">
        <is>
          <t>PRINTED</t>
        </is>
      </c>
      <c r="L369" s="30" t="inlineStr">
        <is>
          <t>25/03/2026</t>
        </is>
      </c>
      <c r="M369" s="30" t="inlineStr">
        <is>
          <t>MANISH KATARIA, VICE CONSUL</t>
        </is>
      </c>
      <c r="N369" s="30" t="inlineStr">
        <is>
          <t>26/02/2026</t>
        </is>
      </c>
    </row>
    <row r="370">
      <c r="A370" s="4">
        <f>Sheet1!A370 &amp; "/" &amp; "2025"</f>
        <v/>
      </c>
      <c r="B370" s="5">
        <f>Sheet1!E370</f>
        <v/>
      </c>
      <c r="C370" s="6">
        <f>UPPER(Sheet1!B370)</f>
        <v/>
      </c>
      <c r="D370" s="7">
        <f>IF(Sheet1!F370="F","FEMALE","MALE")</f>
        <v/>
      </c>
      <c r="E370" s="6">
        <f>UPPER(Sheet1!G370)</f>
        <v/>
      </c>
      <c r="F370" s="6">
        <f>UPPER(Sheet1!H370)</f>
        <v/>
      </c>
      <c r="G370" s="5">
        <f>TEXT(Sheet1!C370,"dd/mm/yyyy") &amp; "," &amp; Sheet1!D370</f>
        <v/>
      </c>
      <c r="H370" s="38">
        <f>UPPER(Sheet1!J370 &amp; "," &amp; Sheet1!K370 &amp; "," &amp; Sheet1!L370)</f>
        <v/>
      </c>
      <c r="I370" s="45">
        <f>Sheet1!I370</f>
        <v/>
      </c>
      <c r="J370" s="5">
        <f>Sheet1!M370 &amp; "," &amp; TEXT(Sheet1!N370,"dd/mm/yy")</f>
        <v/>
      </c>
      <c r="K370" s="5" t="inlineStr">
        <is>
          <t>PRINTED</t>
        </is>
      </c>
      <c r="L370" s="30" t="inlineStr">
        <is>
          <t>25/03/2026</t>
        </is>
      </c>
      <c r="M370" s="30" t="inlineStr">
        <is>
          <t>MANISH KATARIA, VICE CONSUL</t>
        </is>
      </c>
      <c r="N370" s="30" t="inlineStr">
        <is>
          <t>26/02/2026</t>
        </is>
      </c>
    </row>
    <row r="371">
      <c r="A371" s="4">
        <f>Sheet1!A371 &amp; "/" &amp; "2025"</f>
        <v/>
      </c>
      <c r="B371" s="5">
        <f>Sheet1!E371</f>
        <v/>
      </c>
      <c r="C371" s="6">
        <f>UPPER(Sheet1!B371)</f>
        <v/>
      </c>
      <c r="D371" s="7">
        <f>IF(Sheet1!F371="F","FEMALE","MALE")</f>
        <v/>
      </c>
      <c r="E371" s="6">
        <f>UPPER(Sheet1!G371)</f>
        <v/>
      </c>
      <c r="F371" s="6">
        <f>UPPER(Sheet1!H371)</f>
        <v/>
      </c>
      <c r="G371" s="5">
        <f>TEXT(Sheet1!C371,"dd/mm/yyyy") &amp; "," &amp; Sheet1!D371</f>
        <v/>
      </c>
      <c r="H371" s="38">
        <f>UPPER(Sheet1!J371 &amp; "," &amp; Sheet1!K371 &amp; "," &amp; Sheet1!L371)</f>
        <v/>
      </c>
      <c r="I371" s="45">
        <f>Sheet1!I371</f>
        <v/>
      </c>
      <c r="J371" s="5">
        <f>Sheet1!M371 &amp; "," &amp; TEXT(Sheet1!N371,"dd/mm/yy")</f>
        <v/>
      </c>
      <c r="K371" s="5" t="inlineStr">
        <is>
          <t>PRINTED</t>
        </is>
      </c>
      <c r="L371" s="30" t="inlineStr">
        <is>
          <t>25/03/2026</t>
        </is>
      </c>
      <c r="M371" s="30" t="inlineStr">
        <is>
          <t>MANISH KATARIA, VICE CONSUL</t>
        </is>
      </c>
      <c r="N371" s="30" t="inlineStr">
        <is>
          <t>26/02/2026</t>
        </is>
      </c>
    </row>
    <row r="372">
      <c r="A372" s="4">
        <f>Sheet1!A372 &amp; "/" &amp; "2025"</f>
        <v/>
      </c>
      <c r="B372" s="5">
        <f>Sheet1!E372</f>
        <v/>
      </c>
      <c r="C372" s="6">
        <f>UPPER(Sheet1!B372)</f>
        <v/>
      </c>
      <c r="D372" s="7">
        <f>IF(Sheet1!F372="F","FEMALE","MALE")</f>
        <v/>
      </c>
      <c r="E372" s="6">
        <f>UPPER(Sheet1!G372)</f>
        <v/>
      </c>
      <c r="F372" s="6">
        <f>UPPER(Sheet1!H372)</f>
        <v/>
      </c>
      <c r="G372" s="5">
        <f>TEXT(Sheet1!C372,"dd/mm/yyyy") &amp; "," &amp; Sheet1!D372</f>
        <v/>
      </c>
      <c r="H372" s="38">
        <f>UPPER(Sheet1!J372 &amp; "," &amp; Sheet1!K372 &amp; "," &amp; Sheet1!L372)</f>
        <v/>
      </c>
      <c r="I372" s="45">
        <f>Sheet1!I372</f>
        <v/>
      </c>
      <c r="J372" s="5">
        <f>Sheet1!M372 &amp; "," &amp; TEXT(Sheet1!N372,"dd/mm/yy")</f>
        <v/>
      </c>
      <c r="K372" s="5" t="inlineStr">
        <is>
          <t>PRINTED</t>
        </is>
      </c>
      <c r="L372" s="30" t="inlineStr">
        <is>
          <t>25/03/2026</t>
        </is>
      </c>
      <c r="M372" s="30" t="inlineStr">
        <is>
          <t>MANISH KATARIA, VICE CONSUL</t>
        </is>
      </c>
      <c r="N372" s="30" t="inlineStr">
        <is>
          <t>26/02/2026</t>
        </is>
      </c>
    </row>
    <row r="373">
      <c r="A373" s="4">
        <f>Sheet1!A373 &amp; "/" &amp; "2025"</f>
        <v/>
      </c>
      <c r="B373" s="5">
        <f>Sheet1!E373</f>
        <v/>
      </c>
      <c r="C373" s="6">
        <f>UPPER(Sheet1!B373)</f>
        <v/>
      </c>
      <c r="D373" s="7">
        <f>IF(Sheet1!F373="F","FEMALE","MALE")</f>
        <v/>
      </c>
      <c r="E373" s="6">
        <f>UPPER(Sheet1!G373)</f>
        <v/>
      </c>
      <c r="F373" s="6">
        <f>UPPER(Sheet1!H373)</f>
        <v/>
      </c>
      <c r="G373" s="5">
        <f>TEXT(Sheet1!C373,"dd/mm/yyyy") &amp; "," &amp; Sheet1!D373</f>
        <v/>
      </c>
      <c r="H373" s="38">
        <f>UPPER(Sheet1!J373 &amp; "," &amp; Sheet1!K373 &amp; "," &amp; Sheet1!L373)</f>
        <v/>
      </c>
      <c r="I373" s="45">
        <f>Sheet1!I373</f>
        <v/>
      </c>
      <c r="J373" s="5">
        <f>Sheet1!M373 &amp; "," &amp; TEXT(Sheet1!N373,"dd/mm/yy")</f>
        <v/>
      </c>
      <c r="K373" s="5" t="inlineStr">
        <is>
          <t>PRINTED</t>
        </is>
      </c>
      <c r="L373" s="30" t="inlineStr">
        <is>
          <t>25/03/2026</t>
        </is>
      </c>
      <c r="M373" s="30" t="inlineStr">
        <is>
          <t>MANISH KATARIA, VICE CONSUL</t>
        </is>
      </c>
      <c r="N373" s="30" t="inlineStr">
        <is>
          <t>26/02/2026</t>
        </is>
      </c>
    </row>
    <row r="374">
      <c r="A374" s="4">
        <f>Sheet1!A374 &amp; "/" &amp; "2025"</f>
        <v/>
      </c>
      <c r="B374" s="5">
        <f>Sheet1!E374</f>
        <v/>
      </c>
      <c r="C374" s="6">
        <f>UPPER(Sheet1!B374)</f>
        <v/>
      </c>
      <c r="D374" s="7">
        <f>IF(Sheet1!F374="F","FEMALE","MALE")</f>
        <v/>
      </c>
      <c r="E374" s="6">
        <f>UPPER(Sheet1!G374)</f>
        <v/>
      </c>
      <c r="F374" s="6">
        <f>UPPER(Sheet1!H374)</f>
        <v/>
      </c>
      <c r="G374" s="5">
        <f>TEXT(Sheet1!C374,"dd/mm/yyyy") &amp; "," &amp; Sheet1!D374</f>
        <v/>
      </c>
      <c r="H374" s="38">
        <f>UPPER(Sheet1!J374 &amp; "," &amp; Sheet1!K374 &amp; "," &amp; Sheet1!L374)</f>
        <v/>
      </c>
      <c r="I374" s="45">
        <f>Sheet1!I374</f>
        <v/>
      </c>
      <c r="J374" s="5">
        <f>Sheet1!M374 &amp; "," &amp; TEXT(Sheet1!N374,"dd/mm/yy")</f>
        <v/>
      </c>
      <c r="K374" s="5" t="inlineStr">
        <is>
          <t>PRINTED</t>
        </is>
      </c>
      <c r="L374" s="30" t="inlineStr">
        <is>
          <t>25/03/2026</t>
        </is>
      </c>
      <c r="M374" s="30" t="inlineStr">
        <is>
          <t>MANISH KATARIA, VICE CONSUL</t>
        </is>
      </c>
      <c r="N374" s="30" t="inlineStr">
        <is>
          <t>26/02/2026</t>
        </is>
      </c>
    </row>
    <row r="375">
      <c r="A375" s="4">
        <f>Sheet1!A375 &amp; "/" &amp; "2025"</f>
        <v/>
      </c>
      <c r="B375" s="5">
        <f>Sheet1!E375</f>
        <v/>
      </c>
      <c r="C375" s="6">
        <f>UPPER(Sheet1!B375)</f>
        <v/>
      </c>
      <c r="D375" s="7">
        <f>IF(Sheet1!F375="F","FEMALE","MALE")</f>
        <v/>
      </c>
      <c r="E375" s="6">
        <f>UPPER(Sheet1!G375)</f>
        <v/>
      </c>
      <c r="F375" s="6">
        <f>UPPER(Sheet1!H375)</f>
        <v/>
      </c>
      <c r="G375" s="5">
        <f>TEXT(Sheet1!C375,"dd/mm/yyyy") &amp; "," &amp; Sheet1!D375</f>
        <v/>
      </c>
      <c r="H375" s="38">
        <f>UPPER(Sheet1!J375 &amp; "," &amp; Sheet1!K375 &amp; "," &amp; Sheet1!L375)</f>
        <v/>
      </c>
      <c r="I375" s="45">
        <f>Sheet1!I375</f>
        <v/>
      </c>
      <c r="J375" s="5">
        <f>Sheet1!M375 &amp; "," &amp; TEXT(Sheet1!N375,"dd/mm/yy")</f>
        <v/>
      </c>
      <c r="K375" s="5" t="inlineStr">
        <is>
          <t>PRINTED</t>
        </is>
      </c>
      <c r="L375" s="30" t="inlineStr">
        <is>
          <t>25/03/2026</t>
        </is>
      </c>
      <c r="M375" s="30" t="inlineStr">
        <is>
          <t>MANISH KATARIA, VICE CONSUL</t>
        </is>
      </c>
      <c r="N375" s="30" t="inlineStr">
        <is>
          <t>26/02/2026</t>
        </is>
      </c>
    </row>
    <row r="376">
      <c r="A376" s="4">
        <f>Sheet1!A376 &amp; "/" &amp; "2025"</f>
        <v/>
      </c>
      <c r="B376" s="5">
        <f>Sheet1!E376</f>
        <v/>
      </c>
      <c r="C376" s="6">
        <f>UPPER(Sheet1!B376)</f>
        <v/>
      </c>
      <c r="D376" s="7">
        <f>IF(Sheet1!F376="F","FEMALE","MALE")</f>
        <v/>
      </c>
      <c r="E376" s="6">
        <f>UPPER(Sheet1!G376)</f>
        <v/>
      </c>
      <c r="F376" s="6">
        <f>UPPER(Sheet1!H376)</f>
        <v/>
      </c>
      <c r="G376" s="5">
        <f>TEXT(Sheet1!C376,"dd/mm/yyyy") &amp; "," &amp; Sheet1!D376</f>
        <v/>
      </c>
      <c r="H376" s="38">
        <f>UPPER(Sheet1!J376 &amp; "," &amp; Sheet1!K376 &amp; "," &amp; Sheet1!L376)</f>
        <v/>
      </c>
      <c r="I376" s="45">
        <f>Sheet1!I376</f>
        <v/>
      </c>
      <c r="J376" s="5">
        <f>Sheet1!M376 &amp; "," &amp; TEXT(Sheet1!N376,"dd/mm/yy")</f>
        <v/>
      </c>
      <c r="K376" s="5" t="inlineStr">
        <is>
          <t>PRINTED</t>
        </is>
      </c>
      <c r="L376" s="30" t="inlineStr">
        <is>
          <t>25/03/2026</t>
        </is>
      </c>
      <c r="M376" s="30" t="inlineStr">
        <is>
          <t>MANISH KATARIA, VICE CONSUL</t>
        </is>
      </c>
      <c r="N376" s="30" t="inlineStr">
        <is>
          <t>26/02/2026</t>
        </is>
      </c>
    </row>
    <row r="377">
      <c r="A377" s="4">
        <f>Sheet1!A377 &amp; "/" &amp; "2025"</f>
        <v/>
      </c>
      <c r="B377" s="5">
        <f>Sheet1!E377</f>
        <v/>
      </c>
      <c r="C377" s="6">
        <f>UPPER(Sheet1!B377)</f>
        <v/>
      </c>
      <c r="D377" s="7">
        <f>IF(Sheet1!F377="F","FEMALE","MALE")</f>
        <v/>
      </c>
      <c r="E377" s="6">
        <f>UPPER(Sheet1!G377)</f>
        <v/>
      </c>
      <c r="F377" s="6">
        <f>UPPER(Sheet1!H377)</f>
        <v/>
      </c>
      <c r="G377" s="5">
        <f>TEXT(Sheet1!C377,"dd/mm/yyyy") &amp; "," &amp; Sheet1!D377</f>
        <v/>
      </c>
      <c r="H377" s="38">
        <f>UPPER(Sheet1!J377 &amp; "," &amp; Sheet1!K377 &amp; "," &amp; Sheet1!L377)</f>
        <v/>
      </c>
      <c r="I377" s="45">
        <f>Sheet1!I377</f>
        <v/>
      </c>
      <c r="J377" s="5">
        <f>Sheet1!M377 &amp; "," &amp; TEXT(Sheet1!N377,"dd/mm/yy")</f>
        <v/>
      </c>
      <c r="K377" s="5" t="inlineStr">
        <is>
          <t>PRINTED</t>
        </is>
      </c>
      <c r="L377" s="30" t="inlineStr">
        <is>
          <t>25/03/2026</t>
        </is>
      </c>
      <c r="M377" s="30" t="inlineStr">
        <is>
          <t>MANISH KATARIA, VICE CONSUL</t>
        </is>
      </c>
      <c r="N377" s="30" t="inlineStr">
        <is>
          <t>26/02/2026</t>
        </is>
      </c>
    </row>
    <row r="378">
      <c r="A378" s="4">
        <f>Sheet1!A378 &amp; "/" &amp; "2025"</f>
        <v/>
      </c>
      <c r="B378" s="5">
        <f>Sheet1!E378</f>
        <v/>
      </c>
      <c r="C378" s="6">
        <f>UPPER(Sheet1!B378)</f>
        <v/>
      </c>
      <c r="D378" s="7">
        <f>IF(Sheet1!F378="F","FEMALE","MALE")</f>
        <v/>
      </c>
      <c r="E378" s="6">
        <f>UPPER(Sheet1!G378)</f>
        <v/>
      </c>
      <c r="F378" s="6">
        <f>UPPER(Sheet1!H378)</f>
        <v/>
      </c>
      <c r="G378" s="5">
        <f>TEXT(Sheet1!C378,"dd/mm/yyyy") &amp; "," &amp; Sheet1!D378</f>
        <v/>
      </c>
      <c r="H378" s="38">
        <f>UPPER(Sheet1!J378 &amp; "," &amp; Sheet1!K378 &amp; "," &amp; Sheet1!L378)</f>
        <v/>
      </c>
      <c r="I378" s="45">
        <f>Sheet1!I378</f>
        <v/>
      </c>
      <c r="J378" s="5">
        <f>Sheet1!M378 &amp; "," &amp; TEXT(Sheet1!N378,"dd/mm/yy")</f>
        <v/>
      </c>
      <c r="K378" s="5" t="inlineStr">
        <is>
          <t>PRINTED</t>
        </is>
      </c>
      <c r="L378" s="30" t="inlineStr">
        <is>
          <t>25/03/2026</t>
        </is>
      </c>
      <c r="M378" s="30" t="inlineStr">
        <is>
          <t>MANISH KATARIA, VICE CONSUL</t>
        </is>
      </c>
      <c r="N378" s="30" t="inlineStr">
        <is>
          <t>26/02/2026</t>
        </is>
      </c>
    </row>
    <row r="379">
      <c r="A379" s="4">
        <f>Sheet1!A379 &amp; "/" &amp; "2025"</f>
        <v/>
      </c>
      <c r="B379" s="5">
        <f>Sheet1!E379</f>
        <v/>
      </c>
      <c r="C379" s="6">
        <f>UPPER(Sheet1!B379)</f>
        <v/>
      </c>
      <c r="D379" s="7">
        <f>IF(Sheet1!F379="F","FEMALE","MALE")</f>
        <v/>
      </c>
      <c r="E379" s="6">
        <f>UPPER(Sheet1!G379)</f>
        <v/>
      </c>
      <c r="F379" s="6">
        <f>UPPER(Sheet1!H379)</f>
        <v/>
      </c>
      <c r="G379" s="5">
        <f>TEXT(Sheet1!C379,"dd/mm/yyyy") &amp; "," &amp; Sheet1!D379</f>
        <v/>
      </c>
      <c r="H379" s="38">
        <f>UPPER(Sheet1!J379 &amp; "," &amp; Sheet1!K379 &amp; "," &amp; Sheet1!L379)</f>
        <v/>
      </c>
      <c r="I379" s="45">
        <f>Sheet1!I379</f>
        <v/>
      </c>
      <c r="J379" s="5">
        <f>Sheet1!M379 &amp; "," &amp; TEXT(Sheet1!N379,"dd/mm/yy")</f>
        <v/>
      </c>
      <c r="K379" s="5" t="inlineStr">
        <is>
          <t>PRINTED</t>
        </is>
      </c>
      <c r="L379" s="30" t="inlineStr">
        <is>
          <t>25/03/2026</t>
        </is>
      </c>
      <c r="M379" s="30" t="inlineStr">
        <is>
          <t>MANISH KATARIA, VICE CONSUL</t>
        </is>
      </c>
      <c r="N379" s="30" t="inlineStr">
        <is>
          <t>26/02/2026</t>
        </is>
      </c>
    </row>
    <row r="380">
      <c r="A380" s="4">
        <f>Sheet1!A380 &amp; "/" &amp; "2025"</f>
        <v/>
      </c>
      <c r="B380" s="5">
        <f>Sheet1!E380</f>
        <v/>
      </c>
      <c r="C380" s="6">
        <f>UPPER(Sheet1!B380)</f>
        <v/>
      </c>
      <c r="D380" s="7">
        <f>IF(Sheet1!F380="F","FEMALE","MALE")</f>
        <v/>
      </c>
      <c r="E380" s="6">
        <f>UPPER(Sheet1!G380)</f>
        <v/>
      </c>
      <c r="F380" s="6">
        <f>UPPER(Sheet1!H380)</f>
        <v/>
      </c>
      <c r="G380" s="5">
        <f>TEXT(Sheet1!C380,"dd/mm/yyyy") &amp; "," &amp; Sheet1!D380</f>
        <v/>
      </c>
      <c r="H380" s="38">
        <f>UPPER(Sheet1!J380 &amp; "," &amp; Sheet1!K380 &amp; "," &amp; Sheet1!L380)</f>
        <v/>
      </c>
      <c r="I380" s="45">
        <f>Sheet1!I380</f>
        <v/>
      </c>
      <c r="J380" s="5">
        <f>Sheet1!M380 &amp; "," &amp; TEXT(Sheet1!N380,"dd/mm/yy")</f>
        <v/>
      </c>
      <c r="K380" s="5" t="inlineStr">
        <is>
          <t>PRINTED</t>
        </is>
      </c>
      <c r="L380" s="30" t="inlineStr">
        <is>
          <t>25/03/2026</t>
        </is>
      </c>
      <c r="M380" s="30" t="inlineStr">
        <is>
          <t>MANISH KATARIA, VICE CONSUL</t>
        </is>
      </c>
      <c r="N380" s="30" t="inlineStr">
        <is>
          <t>26/02/2026</t>
        </is>
      </c>
    </row>
    <row r="381">
      <c r="A381" s="4">
        <f>Sheet1!A381 &amp; "/" &amp; "2025"</f>
        <v/>
      </c>
      <c r="B381" s="5">
        <f>Sheet1!E381</f>
        <v/>
      </c>
      <c r="C381" s="6">
        <f>UPPER(Sheet1!B381)</f>
        <v/>
      </c>
      <c r="D381" s="7">
        <f>IF(Sheet1!F381="F","FEMALE","MALE")</f>
        <v/>
      </c>
      <c r="E381" s="6">
        <f>UPPER(Sheet1!G381)</f>
        <v/>
      </c>
      <c r="F381" s="6">
        <f>UPPER(Sheet1!H381)</f>
        <v/>
      </c>
      <c r="G381" s="5">
        <f>TEXT(Sheet1!C381,"dd/mm/yyyy") &amp; "," &amp; Sheet1!D381</f>
        <v/>
      </c>
      <c r="H381" s="38">
        <f>UPPER(Sheet1!J381 &amp; "," &amp; Sheet1!K381 &amp; "," &amp; Sheet1!L381)</f>
        <v/>
      </c>
      <c r="I381" s="45">
        <f>Sheet1!I381</f>
        <v/>
      </c>
      <c r="J381" s="5">
        <f>Sheet1!M381 &amp; "," &amp; TEXT(Sheet1!N381,"dd/mm/yy")</f>
        <v/>
      </c>
      <c r="K381" s="5" t="inlineStr">
        <is>
          <t>PRINTED</t>
        </is>
      </c>
      <c r="L381" s="30" t="inlineStr">
        <is>
          <t>25/03/2026</t>
        </is>
      </c>
      <c r="M381" s="30" t="inlineStr">
        <is>
          <t>MANISH KATARIA, VICE CONSUL</t>
        </is>
      </c>
      <c r="N381" s="30" t="inlineStr">
        <is>
          <t>26/02/2026</t>
        </is>
      </c>
    </row>
    <row r="382">
      <c r="A382" s="4">
        <f>Sheet1!A382 &amp; "/" &amp; "2025"</f>
        <v/>
      </c>
      <c r="B382" s="5">
        <f>Sheet1!E382</f>
        <v/>
      </c>
      <c r="C382" s="6">
        <f>UPPER(Sheet1!B382)</f>
        <v/>
      </c>
      <c r="D382" s="7">
        <f>IF(Sheet1!F382="F","FEMALE","MALE")</f>
        <v/>
      </c>
      <c r="E382" s="6">
        <f>UPPER(Sheet1!G382)</f>
        <v/>
      </c>
      <c r="F382" s="6">
        <f>UPPER(Sheet1!H382)</f>
        <v/>
      </c>
      <c r="G382" s="5">
        <f>TEXT(Sheet1!C382,"dd/mm/yyyy") &amp; "," &amp; Sheet1!D382</f>
        <v/>
      </c>
      <c r="H382" s="38">
        <f>UPPER(Sheet1!J382 &amp; "," &amp; Sheet1!K382 &amp; "," &amp; Sheet1!L382)</f>
        <v/>
      </c>
      <c r="I382" s="45">
        <f>Sheet1!I382</f>
        <v/>
      </c>
      <c r="J382" s="5">
        <f>Sheet1!M382 &amp; "," &amp; TEXT(Sheet1!N382,"dd/mm/yy")</f>
        <v/>
      </c>
      <c r="K382" s="5" t="inlineStr">
        <is>
          <t>PRINTED</t>
        </is>
      </c>
      <c r="L382" s="30" t="inlineStr">
        <is>
          <t>25/03/2026</t>
        </is>
      </c>
      <c r="M382" s="30" t="inlineStr">
        <is>
          <t>MANISH KATARIA, VICE CONSUL</t>
        </is>
      </c>
      <c r="N382" s="30" t="inlineStr">
        <is>
          <t>26/02/2026</t>
        </is>
      </c>
    </row>
    <row r="383">
      <c r="A383" s="4">
        <f>Sheet1!A383 &amp; "/" &amp; "2025"</f>
        <v/>
      </c>
      <c r="B383" s="5">
        <f>Sheet1!E383</f>
        <v/>
      </c>
      <c r="C383" s="6">
        <f>UPPER(Sheet1!B383)</f>
        <v/>
      </c>
      <c r="D383" s="7">
        <f>IF(Sheet1!F383="F","FEMALE","MALE")</f>
        <v/>
      </c>
      <c r="E383" s="6">
        <f>UPPER(Sheet1!G383)</f>
        <v/>
      </c>
      <c r="F383" s="6">
        <f>UPPER(Sheet1!H383)</f>
        <v/>
      </c>
      <c r="G383" s="5">
        <f>TEXT(Sheet1!C383,"dd/mm/yyyy") &amp; "," &amp; Sheet1!D383</f>
        <v/>
      </c>
      <c r="H383" s="38">
        <f>UPPER(Sheet1!J383 &amp; "," &amp; Sheet1!K383 &amp; "," &amp; Sheet1!L383)</f>
        <v/>
      </c>
      <c r="I383" s="45">
        <f>Sheet1!I383</f>
        <v/>
      </c>
      <c r="J383" s="5">
        <f>Sheet1!M383 &amp; "," &amp; TEXT(Sheet1!N383,"dd/mm/yy")</f>
        <v/>
      </c>
      <c r="K383" s="5" t="inlineStr">
        <is>
          <t>PRINTED</t>
        </is>
      </c>
      <c r="L383" s="30" t="inlineStr">
        <is>
          <t>25/03/2026</t>
        </is>
      </c>
      <c r="M383" s="30" t="inlineStr">
        <is>
          <t>MANISH KATARIA, VICE CONSUL</t>
        </is>
      </c>
      <c r="N383" s="30" t="inlineStr">
        <is>
          <t>26/02/2026</t>
        </is>
      </c>
    </row>
    <row r="384">
      <c r="A384" s="4">
        <f>Sheet1!A384 &amp; "/" &amp; "2025"</f>
        <v/>
      </c>
      <c r="B384" s="5">
        <f>Sheet1!E384</f>
        <v/>
      </c>
      <c r="C384" s="6">
        <f>UPPER(Sheet1!B384)</f>
        <v/>
      </c>
      <c r="D384" s="7">
        <f>IF(Sheet1!F384="F","FEMALE","MALE")</f>
        <v/>
      </c>
      <c r="E384" s="6">
        <f>UPPER(Sheet1!G384)</f>
        <v/>
      </c>
      <c r="F384" s="6">
        <f>UPPER(Sheet1!H384)</f>
        <v/>
      </c>
      <c r="G384" s="5">
        <f>TEXT(Sheet1!C384,"dd/mm/yyyy") &amp; "," &amp; Sheet1!D384</f>
        <v/>
      </c>
      <c r="H384" s="38">
        <f>UPPER(Sheet1!J384 &amp; "," &amp; Sheet1!K384 &amp; "," &amp; Sheet1!L384)</f>
        <v/>
      </c>
      <c r="I384" s="45">
        <f>Sheet1!I384</f>
        <v/>
      </c>
      <c r="J384" s="5">
        <f>Sheet1!M384 &amp; "," &amp; TEXT(Sheet1!N384,"dd/mm/yy")</f>
        <v/>
      </c>
      <c r="K384" s="5" t="inlineStr">
        <is>
          <t>PRINTED</t>
        </is>
      </c>
      <c r="L384" s="30" t="inlineStr">
        <is>
          <t>25/03/2026</t>
        </is>
      </c>
      <c r="M384" s="30" t="inlineStr">
        <is>
          <t>MANISH KATARIA, VICE CONSUL</t>
        </is>
      </c>
      <c r="N384" s="30" t="inlineStr">
        <is>
          <t>26/02/2026</t>
        </is>
      </c>
    </row>
    <row r="385">
      <c r="A385" s="4">
        <f>Sheet1!A385 &amp; "/" &amp; "2025"</f>
        <v/>
      </c>
      <c r="B385" s="5">
        <f>Sheet1!E385</f>
        <v/>
      </c>
      <c r="C385" s="6">
        <f>UPPER(Sheet1!B385)</f>
        <v/>
      </c>
      <c r="D385" s="7">
        <f>IF(Sheet1!F385="F","FEMALE","MALE")</f>
        <v/>
      </c>
      <c r="E385" s="6">
        <f>UPPER(Sheet1!G385)</f>
        <v/>
      </c>
      <c r="F385" s="6">
        <f>UPPER(Sheet1!H385)</f>
        <v/>
      </c>
      <c r="G385" s="5">
        <f>TEXT(Sheet1!C385,"dd/mm/yyyy") &amp; "," &amp; Sheet1!D385</f>
        <v/>
      </c>
      <c r="H385" s="38">
        <f>UPPER(Sheet1!J385 &amp; "," &amp; Sheet1!K385 &amp; "," &amp; Sheet1!L385)</f>
        <v/>
      </c>
      <c r="I385" s="45">
        <f>Sheet1!I385</f>
        <v/>
      </c>
      <c r="J385" s="5">
        <f>Sheet1!M385 &amp; "," &amp; TEXT(Sheet1!N385,"dd/mm/yy")</f>
        <v/>
      </c>
      <c r="K385" s="5" t="inlineStr">
        <is>
          <t>PRINTED</t>
        </is>
      </c>
      <c r="L385" s="30" t="inlineStr">
        <is>
          <t>25/03/2026</t>
        </is>
      </c>
      <c r="M385" s="30" t="inlineStr">
        <is>
          <t>MANISH KATARIA, VICE CONSUL</t>
        </is>
      </c>
      <c r="N385" s="30" t="inlineStr">
        <is>
          <t>26/02/2026</t>
        </is>
      </c>
    </row>
    <row r="386">
      <c r="A386" s="4">
        <f>Sheet1!A386 &amp; "/" &amp; "2025"</f>
        <v/>
      </c>
      <c r="B386" s="5">
        <f>Sheet1!E386</f>
        <v/>
      </c>
      <c r="C386" s="6">
        <f>UPPER(Sheet1!B386)</f>
        <v/>
      </c>
      <c r="D386" s="7">
        <f>IF(Sheet1!F386="F","FEMALE","MALE")</f>
        <v/>
      </c>
      <c r="E386" s="6">
        <f>UPPER(Sheet1!G386)</f>
        <v/>
      </c>
      <c r="F386" s="6">
        <f>UPPER(Sheet1!H386)</f>
        <v/>
      </c>
      <c r="G386" s="5">
        <f>TEXT(Sheet1!C386,"dd/mm/yyyy") &amp; "," &amp; Sheet1!D386</f>
        <v/>
      </c>
      <c r="H386" s="38">
        <f>UPPER(Sheet1!J386 &amp; "," &amp; Sheet1!K386 &amp; "," &amp; Sheet1!L386)</f>
        <v/>
      </c>
      <c r="I386" s="45">
        <f>Sheet1!I386</f>
        <v/>
      </c>
      <c r="J386" s="5">
        <f>Sheet1!M386 &amp; "," &amp; TEXT(Sheet1!N386,"dd/mm/yy")</f>
        <v/>
      </c>
      <c r="K386" s="5" t="inlineStr">
        <is>
          <t>PRINTED</t>
        </is>
      </c>
      <c r="L386" s="30" t="inlineStr">
        <is>
          <t>25/03/2026</t>
        </is>
      </c>
      <c r="M386" s="30" t="inlineStr">
        <is>
          <t>MANISH KATARIA, VICE CONSUL</t>
        </is>
      </c>
      <c r="N386" s="30" t="inlineStr">
        <is>
          <t>26/02/2026</t>
        </is>
      </c>
    </row>
    <row r="387">
      <c r="A387" s="4">
        <f>Sheet1!A387 &amp; "/" &amp; "2025"</f>
        <v/>
      </c>
      <c r="B387" s="5">
        <f>Sheet1!E387</f>
        <v/>
      </c>
      <c r="C387" s="6">
        <f>UPPER(Sheet1!B387)</f>
        <v/>
      </c>
      <c r="D387" s="7">
        <f>IF(Sheet1!F387="F","FEMALE","MALE")</f>
        <v/>
      </c>
      <c r="E387" s="6">
        <f>UPPER(Sheet1!G387)</f>
        <v/>
      </c>
      <c r="F387" s="6">
        <f>UPPER(Sheet1!H387)</f>
        <v/>
      </c>
      <c r="G387" s="5">
        <f>TEXT(Sheet1!C387,"dd/mm/yyyy") &amp; "," &amp; Sheet1!D387</f>
        <v/>
      </c>
      <c r="H387" s="38">
        <f>UPPER(Sheet1!J387 &amp; "," &amp; Sheet1!K387 &amp; "," &amp; Sheet1!L387)</f>
        <v/>
      </c>
      <c r="I387" s="45">
        <f>Sheet1!I387</f>
        <v/>
      </c>
      <c r="J387" s="5">
        <f>Sheet1!M387 &amp; "," &amp; TEXT(Sheet1!N387,"dd/mm/yy")</f>
        <v/>
      </c>
      <c r="K387" s="5" t="inlineStr">
        <is>
          <t>PRINTED</t>
        </is>
      </c>
      <c r="L387" s="30" t="inlineStr">
        <is>
          <t>25/03/2026</t>
        </is>
      </c>
      <c r="M387" s="30" t="inlineStr">
        <is>
          <t>MANISH KATARIA, VICE CONSUL</t>
        </is>
      </c>
      <c r="N387" s="30" t="inlineStr">
        <is>
          <t>26/02/2026</t>
        </is>
      </c>
    </row>
    <row r="388">
      <c r="A388" s="4">
        <f>Sheet1!A388 &amp; "/" &amp; "2025"</f>
        <v/>
      </c>
      <c r="B388" s="5">
        <f>Sheet1!E388</f>
        <v/>
      </c>
      <c r="C388" s="6">
        <f>UPPER(Sheet1!B388)</f>
        <v/>
      </c>
      <c r="D388" s="7">
        <f>IF(Sheet1!F388="F","FEMALE","MALE")</f>
        <v/>
      </c>
      <c r="E388" s="6">
        <f>UPPER(Sheet1!G388)</f>
        <v/>
      </c>
      <c r="F388" s="6">
        <f>UPPER(Sheet1!H388)</f>
        <v/>
      </c>
      <c r="G388" s="5">
        <f>TEXT(Sheet1!C388,"dd/mm/yyyy") &amp; "," &amp; Sheet1!D388</f>
        <v/>
      </c>
      <c r="H388" s="38">
        <f>UPPER(Sheet1!J388 &amp; "," &amp; Sheet1!K388 &amp; "," &amp; Sheet1!L388)</f>
        <v/>
      </c>
      <c r="I388" s="45">
        <f>Sheet1!I388</f>
        <v/>
      </c>
      <c r="J388" s="5">
        <f>Sheet1!M388 &amp; "," &amp; TEXT(Sheet1!N388,"dd/mm/yy")</f>
        <v/>
      </c>
      <c r="K388" s="5" t="inlineStr">
        <is>
          <t>PRINTED</t>
        </is>
      </c>
      <c r="L388" s="30" t="inlineStr">
        <is>
          <t>25/03/2026</t>
        </is>
      </c>
      <c r="M388" s="30" t="inlineStr">
        <is>
          <t>MANISH KATARIA, VICE CONSUL</t>
        </is>
      </c>
      <c r="N388" s="30" t="inlineStr">
        <is>
          <t>26/02/2026</t>
        </is>
      </c>
    </row>
    <row r="389">
      <c r="A389" s="4">
        <f>Sheet1!A389 &amp; "/" &amp; "2025"</f>
        <v/>
      </c>
      <c r="B389" s="5">
        <f>Sheet1!E389</f>
        <v/>
      </c>
      <c r="C389" s="6">
        <f>UPPER(Sheet1!B389)</f>
        <v/>
      </c>
      <c r="D389" s="7">
        <f>IF(Sheet1!F389="F","FEMALE","MALE")</f>
        <v/>
      </c>
      <c r="E389" s="6">
        <f>UPPER(Sheet1!G389)</f>
        <v/>
      </c>
      <c r="F389" s="6">
        <f>UPPER(Sheet1!H389)</f>
        <v/>
      </c>
      <c r="G389" s="5">
        <f>TEXT(Sheet1!C389,"dd/mm/yyyy") &amp; "," &amp; Sheet1!D389</f>
        <v/>
      </c>
      <c r="H389" s="38">
        <f>UPPER(Sheet1!J389 &amp; "," &amp; Sheet1!K389 &amp; "," &amp; Sheet1!L389)</f>
        <v/>
      </c>
      <c r="I389" s="45">
        <f>Sheet1!I389</f>
        <v/>
      </c>
      <c r="J389" s="5">
        <f>Sheet1!M389 &amp; "," &amp; TEXT(Sheet1!N389,"dd/mm/yy")</f>
        <v/>
      </c>
      <c r="K389" s="5" t="inlineStr">
        <is>
          <t>PRINTED</t>
        </is>
      </c>
      <c r="L389" s="30" t="inlineStr">
        <is>
          <t>25/03/2026</t>
        </is>
      </c>
      <c r="M389" s="30" t="inlineStr">
        <is>
          <t>MANISH KATARIA, VICE CONSUL</t>
        </is>
      </c>
      <c r="N389" s="30" t="inlineStr">
        <is>
          <t>26/02/2026</t>
        </is>
      </c>
    </row>
    <row r="390">
      <c r="A390" s="4">
        <f>Sheet1!A390 &amp; "/" &amp; "2025"</f>
        <v/>
      </c>
      <c r="B390" s="5">
        <f>Sheet1!E390</f>
        <v/>
      </c>
      <c r="C390" s="6">
        <f>UPPER(Sheet1!B390)</f>
        <v/>
      </c>
      <c r="D390" s="7">
        <f>IF(Sheet1!F390="F","FEMALE","MALE")</f>
        <v/>
      </c>
      <c r="E390" s="6">
        <f>UPPER(Sheet1!G390)</f>
        <v/>
      </c>
      <c r="F390" s="6">
        <f>UPPER(Sheet1!H390)</f>
        <v/>
      </c>
      <c r="G390" s="5">
        <f>TEXT(Sheet1!C390,"dd/mm/yyyy") &amp; "," &amp; Sheet1!D390</f>
        <v/>
      </c>
      <c r="H390" s="38">
        <f>UPPER(Sheet1!J390 &amp; "," &amp; Sheet1!K390 &amp; "," &amp; Sheet1!L390)</f>
        <v/>
      </c>
      <c r="I390" s="45">
        <f>Sheet1!I390</f>
        <v/>
      </c>
      <c r="J390" s="5">
        <f>Sheet1!M390 &amp; "," &amp; TEXT(Sheet1!N390,"dd/mm/yy")</f>
        <v/>
      </c>
      <c r="K390" s="5" t="inlineStr">
        <is>
          <t>PRINTED</t>
        </is>
      </c>
      <c r="L390" s="30" t="inlineStr">
        <is>
          <t>25/03/2026</t>
        </is>
      </c>
      <c r="M390" s="30" t="inlineStr">
        <is>
          <t>MANISH KATARIA, VICE CONSUL</t>
        </is>
      </c>
      <c r="N390" s="30" t="inlineStr">
        <is>
          <t>26/02/2026</t>
        </is>
      </c>
    </row>
    <row r="391">
      <c r="A391" s="4">
        <f>Sheet1!A391 &amp; "/" &amp; "2025"</f>
        <v/>
      </c>
      <c r="B391" s="5">
        <f>Sheet1!E391</f>
        <v/>
      </c>
      <c r="C391" s="6">
        <f>UPPER(Sheet1!B391)</f>
        <v/>
      </c>
      <c r="D391" s="7">
        <f>IF(Sheet1!F391="F","FEMALE","MALE")</f>
        <v/>
      </c>
      <c r="E391" s="6">
        <f>UPPER(Sheet1!G391)</f>
        <v/>
      </c>
      <c r="F391" s="6">
        <f>UPPER(Sheet1!H391)</f>
        <v/>
      </c>
      <c r="G391" s="5">
        <f>TEXT(Sheet1!C391,"dd/mm/yyyy") &amp; "," &amp; Sheet1!D391</f>
        <v/>
      </c>
      <c r="H391" s="38">
        <f>UPPER(Sheet1!J391 &amp; "," &amp; Sheet1!K391 &amp; "," &amp; Sheet1!L391)</f>
        <v/>
      </c>
      <c r="I391" s="45">
        <f>Sheet1!I391</f>
        <v/>
      </c>
      <c r="J391" s="5">
        <f>Sheet1!M391 &amp; "," &amp; TEXT(Sheet1!N391,"dd/mm/yy")</f>
        <v/>
      </c>
      <c r="K391" s="5" t="inlineStr">
        <is>
          <t>PRINTED</t>
        </is>
      </c>
      <c r="L391" s="30" t="inlineStr">
        <is>
          <t>25/03/2026</t>
        </is>
      </c>
      <c r="M391" s="30" t="inlineStr">
        <is>
          <t>MANISH KATARIA, VICE CONSUL</t>
        </is>
      </c>
      <c r="N391" s="30" t="inlineStr">
        <is>
          <t>26/02/2026</t>
        </is>
      </c>
    </row>
    <row r="392">
      <c r="A392" s="4">
        <f>Sheet1!A392 &amp; "/" &amp; "2025"</f>
        <v/>
      </c>
      <c r="B392" s="5">
        <f>Sheet1!E392</f>
        <v/>
      </c>
      <c r="C392" s="6">
        <f>UPPER(Sheet1!B392)</f>
        <v/>
      </c>
      <c r="D392" s="7">
        <f>IF(Sheet1!F392="F","FEMALE","MALE")</f>
        <v/>
      </c>
      <c r="E392" s="6">
        <f>UPPER(Sheet1!G392)</f>
        <v/>
      </c>
      <c r="F392" s="6">
        <f>UPPER(Sheet1!H392)</f>
        <v/>
      </c>
      <c r="G392" s="5">
        <f>TEXT(Sheet1!C392,"dd/mm/yyyy") &amp; "," &amp; Sheet1!D392</f>
        <v/>
      </c>
      <c r="H392" s="38">
        <f>UPPER(Sheet1!J392 &amp; "," &amp; Sheet1!K392 &amp; "," &amp; Sheet1!L392)</f>
        <v/>
      </c>
      <c r="I392" s="45">
        <f>Sheet1!I392</f>
        <v/>
      </c>
      <c r="J392" s="5">
        <f>Sheet1!M392 &amp; "," &amp; TEXT(Sheet1!N392,"dd/mm/yy")</f>
        <v/>
      </c>
      <c r="K392" s="5" t="inlineStr">
        <is>
          <t>PRINTED</t>
        </is>
      </c>
      <c r="L392" s="30" t="inlineStr">
        <is>
          <t>25/03/2026</t>
        </is>
      </c>
      <c r="M392" s="30" t="inlineStr">
        <is>
          <t>MANISH KATARIA, VICE CONSUL</t>
        </is>
      </c>
      <c r="N392" s="30" t="inlineStr">
        <is>
          <t>26/02/2026</t>
        </is>
      </c>
    </row>
    <row r="393">
      <c r="A393" s="4">
        <f>Sheet1!A393 &amp; "/" &amp; "2025"</f>
        <v/>
      </c>
      <c r="B393" s="5">
        <f>Sheet1!E393</f>
        <v/>
      </c>
      <c r="C393" s="6">
        <f>UPPER(Sheet1!B393)</f>
        <v/>
      </c>
      <c r="D393" s="7">
        <f>IF(Sheet1!F393="F","FEMALE","MALE")</f>
        <v/>
      </c>
      <c r="E393" s="6">
        <f>UPPER(Sheet1!G393)</f>
        <v/>
      </c>
      <c r="F393" s="6">
        <f>UPPER(Sheet1!H393)</f>
        <v/>
      </c>
      <c r="G393" s="5">
        <f>TEXT(Sheet1!C393,"dd/mm/yyyy") &amp; "," &amp; Sheet1!D393</f>
        <v/>
      </c>
      <c r="H393" s="38">
        <f>UPPER(Sheet1!J393 &amp; "," &amp; Sheet1!K393 &amp; "," &amp; Sheet1!L393)</f>
        <v/>
      </c>
      <c r="I393" s="45">
        <f>Sheet1!I393</f>
        <v/>
      </c>
      <c r="J393" s="5">
        <f>Sheet1!M393 &amp; "," &amp; TEXT(Sheet1!N393,"dd/mm/yy")</f>
        <v/>
      </c>
      <c r="K393" s="5" t="inlineStr">
        <is>
          <t>PRINTED</t>
        </is>
      </c>
      <c r="L393" s="30" t="inlineStr">
        <is>
          <t>25/03/2026</t>
        </is>
      </c>
      <c r="M393" s="30" t="inlineStr">
        <is>
          <t>MANISH KATARIA, VICE CONSUL</t>
        </is>
      </c>
      <c r="N393" s="30" t="inlineStr">
        <is>
          <t>26/02/2026</t>
        </is>
      </c>
    </row>
    <row r="394">
      <c r="A394" s="4">
        <f>Sheet1!A394 &amp; "/" &amp; "2025"</f>
        <v/>
      </c>
      <c r="B394" s="5">
        <f>Sheet1!E394</f>
        <v/>
      </c>
      <c r="C394" s="6">
        <f>UPPER(Sheet1!B394)</f>
        <v/>
      </c>
      <c r="D394" s="7">
        <f>IF(Sheet1!F394="F","FEMALE","MALE")</f>
        <v/>
      </c>
      <c r="E394" s="6">
        <f>UPPER(Sheet1!G394)</f>
        <v/>
      </c>
      <c r="F394" s="6">
        <f>UPPER(Sheet1!H394)</f>
        <v/>
      </c>
      <c r="G394" s="5">
        <f>TEXT(Sheet1!C394,"dd/mm/yyyy") &amp; "," &amp; Sheet1!D394</f>
        <v/>
      </c>
      <c r="H394" s="38">
        <f>UPPER(Sheet1!J394 &amp; "," &amp; Sheet1!K394 &amp; "," &amp; Sheet1!L394)</f>
        <v/>
      </c>
      <c r="I394" s="45">
        <f>Sheet1!I394</f>
        <v/>
      </c>
      <c r="J394" s="5">
        <f>Sheet1!M394 &amp; "," &amp; TEXT(Sheet1!N394,"dd/mm/yy")</f>
        <v/>
      </c>
      <c r="K394" s="5" t="inlineStr">
        <is>
          <t>PRINTED</t>
        </is>
      </c>
      <c r="L394" s="30" t="inlineStr">
        <is>
          <t>25/03/2026</t>
        </is>
      </c>
      <c r="M394" s="30" t="inlineStr">
        <is>
          <t>MANISH KATARIA, VICE CONSUL</t>
        </is>
      </c>
      <c r="N394" s="30" t="inlineStr">
        <is>
          <t>26/02/2026</t>
        </is>
      </c>
    </row>
    <row r="395">
      <c r="A395" s="4">
        <f>Sheet1!A395 &amp; "/" &amp; "2025"</f>
        <v/>
      </c>
      <c r="B395" s="5">
        <f>Sheet1!E395</f>
        <v/>
      </c>
      <c r="C395" s="6">
        <f>UPPER(Sheet1!B395)</f>
        <v/>
      </c>
      <c r="D395" s="7">
        <f>IF(Sheet1!F395="F","FEMALE","MALE")</f>
        <v/>
      </c>
      <c r="E395" s="6">
        <f>UPPER(Sheet1!G395)</f>
        <v/>
      </c>
      <c r="F395" s="6">
        <f>UPPER(Sheet1!H395)</f>
        <v/>
      </c>
      <c r="G395" s="5">
        <f>TEXT(Sheet1!C395,"dd/mm/yyyy") &amp; "," &amp; Sheet1!D395</f>
        <v/>
      </c>
      <c r="H395" s="38">
        <f>UPPER(Sheet1!J395 &amp; "," &amp; Sheet1!K395 &amp; "," &amp; Sheet1!L395)</f>
        <v/>
      </c>
      <c r="I395" s="45">
        <f>Sheet1!I395</f>
        <v/>
      </c>
      <c r="J395" s="5">
        <f>Sheet1!M395 &amp; "," &amp; TEXT(Sheet1!N395,"dd/mm/yy")</f>
        <v/>
      </c>
      <c r="K395" s="5" t="inlineStr">
        <is>
          <t>PRINTED</t>
        </is>
      </c>
      <c r="L395" s="30" t="inlineStr">
        <is>
          <t>25/03/2026</t>
        </is>
      </c>
      <c r="M395" s="30" t="inlineStr">
        <is>
          <t>MANISH KATARIA, VICE CONSUL</t>
        </is>
      </c>
      <c r="N395" s="30" t="inlineStr">
        <is>
          <t>26/02/2026</t>
        </is>
      </c>
    </row>
    <row r="396">
      <c r="A396" s="4">
        <f>Sheet1!A396 &amp; "/" &amp; "2025"</f>
        <v/>
      </c>
      <c r="B396" s="5">
        <f>Sheet1!E396</f>
        <v/>
      </c>
      <c r="C396" s="6">
        <f>UPPER(Sheet1!B396)</f>
        <v/>
      </c>
      <c r="D396" s="7">
        <f>IF(Sheet1!F396="F","FEMALE","MALE")</f>
        <v/>
      </c>
      <c r="E396" s="6">
        <f>UPPER(Sheet1!G396)</f>
        <v/>
      </c>
      <c r="F396" s="6">
        <f>UPPER(Sheet1!H396)</f>
        <v/>
      </c>
      <c r="G396" s="5">
        <f>TEXT(Sheet1!C396,"dd/mm/yyyy") &amp; "," &amp; Sheet1!D396</f>
        <v/>
      </c>
      <c r="H396" s="38">
        <f>UPPER(Sheet1!J396 &amp; "," &amp; Sheet1!K396 &amp; "," &amp; Sheet1!L396)</f>
        <v/>
      </c>
      <c r="I396" s="45">
        <f>Sheet1!I396</f>
        <v/>
      </c>
      <c r="J396" s="5">
        <f>Sheet1!M396 &amp; "," &amp; TEXT(Sheet1!N396,"dd/mm/yy")</f>
        <v/>
      </c>
      <c r="K396" s="5" t="inlineStr">
        <is>
          <t>PRINTED</t>
        </is>
      </c>
      <c r="L396" s="30" t="inlineStr">
        <is>
          <t>25/03/2026</t>
        </is>
      </c>
      <c r="M396" s="30" t="inlineStr">
        <is>
          <t>MANISH KATARIA, VICE CONSUL</t>
        </is>
      </c>
      <c r="N396" s="30" t="inlineStr">
        <is>
          <t>26/02/2026</t>
        </is>
      </c>
    </row>
    <row r="397">
      <c r="A397" s="4">
        <f>Sheet1!A397 &amp; "/" &amp; "2025"</f>
        <v/>
      </c>
      <c r="B397" s="5">
        <f>Sheet1!E397</f>
        <v/>
      </c>
      <c r="C397" s="6">
        <f>UPPER(Sheet1!B397)</f>
        <v/>
      </c>
      <c r="D397" s="7">
        <f>IF(Sheet1!F397="F","FEMALE","MALE")</f>
        <v/>
      </c>
      <c r="E397" s="6">
        <f>UPPER(Sheet1!G397)</f>
        <v/>
      </c>
      <c r="F397" s="6">
        <f>UPPER(Sheet1!H397)</f>
        <v/>
      </c>
      <c r="G397" s="5">
        <f>TEXT(Sheet1!C397,"dd/mm/yyyy") &amp; "," &amp; Sheet1!D397</f>
        <v/>
      </c>
      <c r="H397" s="38">
        <f>UPPER(Sheet1!J397 &amp; "," &amp; Sheet1!K397 &amp; "," &amp; Sheet1!L397)</f>
        <v/>
      </c>
      <c r="I397" s="45">
        <f>Sheet1!I397</f>
        <v/>
      </c>
      <c r="J397" s="5">
        <f>Sheet1!M397 &amp; "," &amp; TEXT(Sheet1!N397,"dd/mm/yy")</f>
        <v/>
      </c>
      <c r="K397" s="5" t="inlineStr">
        <is>
          <t>PRINTED</t>
        </is>
      </c>
      <c r="L397" s="30" t="inlineStr">
        <is>
          <t>25/03/2026</t>
        </is>
      </c>
      <c r="M397" s="30" t="inlineStr">
        <is>
          <t>MANISH KATARIA, VICE CONSUL</t>
        </is>
      </c>
      <c r="N397" s="30" t="inlineStr">
        <is>
          <t>26/02/2026</t>
        </is>
      </c>
    </row>
    <row r="398">
      <c r="A398" s="4">
        <f>Sheet1!A398 &amp; "/" &amp; "2025"</f>
        <v/>
      </c>
      <c r="B398" s="5">
        <f>Sheet1!E398</f>
        <v/>
      </c>
      <c r="C398" s="6">
        <f>UPPER(Sheet1!B398)</f>
        <v/>
      </c>
      <c r="D398" s="7">
        <f>IF(Sheet1!F398="F","FEMALE","MALE")</f>
        <v/>
      </c>
      <c r="E398" s="6">
        <f>UPPER(Sheet1!G398)</f>
        <v/>
      </c>
      <c r="F398" s="6">
        <f>UPPER(Sheet1!H398)</f>
        <v/>
      </c>
      <c r="G398" s="5">
        <f>TEXT(Sheet1!C398,"dd/mm/yyyy") &amp; "," &amp; Sheet1!D398</f>
        <v/>
      </c>
      <c r="H398" s="38">
        <f>UPPER(Sheet1!J398 &amp; "," &amp; Sheet1!K398 &amp; "," &amp; Sheet1!L398)</f>
        <v/>
      </c>
      <c r="I398" s="45">
        <f>Sheet1!I398</f>
        <v/>
      </c>
      <c r="J398" s="5">
        <f>Sheet1!M398 &amp; "," &amp; TEXT(Sheet1!N398,"dd/mm/yy")</f>
        <v/>
      </c>
      <c r="K398" s="5" t="inlineStr">
        <is>
          <t>PRINTED</t>
        </is>
      </c>
      <c r="L398" s="30" t="inlineStr">
        <is>
          <t>25/03/2026</t>
        </is>
      </c>
      <c r="M398" s="30" t="inlineStr">
        <is>
          <t>MANISH KATARIA, VICE CONSUL</t>
        </is>
      </c>
      <c r="N398" s="30" t="inlineStr">
        <is>
          <t>26/02/2026</t>
        </is>
      </c>
    </row>
    <row r="399">
      <c r="A399" s="4">
        <f>Sheet1!A399 &amp; "/" &amp; "2025"</f>
        <v/>
      </c>
      <c r="B399" s="5">
        <f>Sheet1!E399</f>
        <v/>
      </c>
      <c r="C399" s="6">
        <f>UPPER(Sheet1!B399)</f>
        <v/>
      </c>
      <c r="D399" s="7">
        <f>IF(Sheet1!F399="F","FEMALE","MALE")</f>
        <v/>
      </c>
      <c r="E399" s="6">
        <f>UPPER(Sheet1!G399)</f>
        <v/>
      </c>
      <c r="F399" s="6">
        <f>UPPER(Sheet1!H399)</f>
        <v/>
      </c>
      <c r="G399" s="5">
        <f>TEXT(Sheet1!C399,"dd/mm/yyyy") &amp; "," &amp; Sheet1!D399</f>
        <v/>
      </c>
      <c r="H399" s="38">
        <f>UPPER(Sheet1!J399 &amp; "," &amp; Sheet1!K399 &amp; "," &amp; Sheet1!L399)</f>
        <v/>
      </c>
      <c r="I399" s="45">
        <f>Sheet1!I399</f>
        <v/>
      </c>
      <c r="J399" s="5">
        <f>Sheet1!M399 &amp; "," &amp; TEXT(Sheet1!N399,"dd/mm/yy")</f>
        <v/>
      </c>
      <c r="K399" s="5" t="inlineStr">
        <is>
          <t>PRINTED</t>
        </is>
      </c>
      <c r="L399" s="30" t="inlineStr">
        <is>
          <t>25/03/2026</t>
        </is>
      </c>
      <c r="M399" s="30" t="inlineStr">
        <is>
          <t>MANISH KATARIA, VICE CONSUL</t>
        </is>
      </c>
      <c r="N399" s="30" t="inlineStr">
        <is>
          <t>26/02/2026</t>
        </is>
      </c>
    </row>
    <row r="400">
      <c r="A400" s="4">
        <f>Sheet1!A400 &amp; "/" &amp; "2025"</f>
        <v/>
      </c>
      <c r="B400" s="5">
        <f>Sheet1!E400</f>
        <v/>
      </c>
      <c r="C400" s="6">
        <f>UPPER(Sheet1!B400)</f>
        <v/>
      </c>
      <c r="D400" s="7">
        <f>IF(Sheet1!F400="F","FEMALE","MALE")</f>
        <v/>
      </c>
      <c r="E400" s="6">
        <f>UPPER(Sheet1!G400)</f>
        <v/>
      </c>
      <c r="F400" s="6">
        <f>UPPER(Sheet1!H400)</f>
        <v/>
      </c>
      <c r="G400" s="5">
        <f>TEXT(Sheet1!C400,"dd/mm/yyyy") &amp; "," &amp; Sheet1!D400</f>
        <v/>
      </c>
      <c r="H400" s="38">
        <f>UPPER(Sheet1!J400 &amp; "," &amp; Sheet1!K400 &amp; "," &amp; Sheet1!L400)</f>
        <v/>
      </c>
      <c r="I400" s="45">
        <f>Sheet1!I400</f>
        <v/>
      </c>
      <c r="J400" s="5">
        <f>Sheet1!M400 &amp; "," &amp; TEXT(Sheet1!N400,"dd/mm/yy")</f>
        <v/>
      </c>
      <c r="K400" s="5" t="inlineStr">
        <is>
          <t>PRINTED</t>
        </is>
      </c>
      <c r="L400" s="30" t="inlineStr">
        <is>
          <t>25/03/2026</t>
        </is>
      </c>
      <c r="M400" s="30" t="inlineStr">
        <is>
          <t>MANISH KATARIA, VICE CONSUL</t>
        </is>
      </c>
      <c r="N400" s="30" t="inlineStr">
        <is>
          <t>26/02/2026</t>
        </is>
      </c>
    </row>
    <row r="401">
      <c r="A401" s="4">
        <f>Sheet1!A401 &amp; "/" &amp; "2025"</f>
        <v/>
      </c>
      <c r="B401" s="5">
        <f>Sheet1!E401</f>
        <v/>
      </c>
      <c r="C401" s="6">
        <f>UPPER(Sheet1!B401)</f>
        <v/>
      </c>
      <c r="D401" s="7">
        <f>IF(Sheet1!F401="F","FEMALE","MALE")</f>
        <v/>
      </c>
      <c r="E401" s="6">
        <f>UPPER(Sheet1!G401)</f>
        <v/>
      </c>
      <c r="F401" s="6">
        <f>UPPER(Sheet1!H401)</f>
        <v/>
      </c>
      <c r="G401" s="5">
        <f>TEXT(Sheet1!C401,"dd/mm/yyyy") &amp; "," &amp; Sheet1!D401</f>
        <v/>
      </c>
      <c r="H401" s="38">
        <f>UPPER(Sheet1!J401 &amp; "," &amp; Sheet1!K401 &amp; "," &amp; Sheet1!L401)</f>
        <v/>
      </c>
      <c r="I401" s="45">
        <f>Sheet1!I401</f>
        <v/>
      </c>
      <c r="J401" s="5">
        <f>Sheet1!M401 &amp; "," &amp; TEXT(Sheet1!N401,"dd/mm/yy")</f>
        <v/>
      </c>
      <c r="K401" s="5" t="inlineStr">
        <is>
          <t>PRINTED</t>
        </is>
      </c>
      <c r="L401" s="30" t="inlineStr">
        <is>
          <t>25/03/2026</t>
        </is>
      </c>
      <c r="M401" s="30" t="inlineStr">
        <is>
          <t>MANISH KATARIA, VICE CONSUL</t>
        </is>
      </c>
      <c r="N401" s="30" t="inlineStr">
        <is>
          <t>26/02/2026</t>
        </is>
      </c>
    </row>
    <row r="402">
      <c r="A402" s="4">
        <f>Sheet1!A402 &amp; "/" &amp; "2025"</f>
        <v/>
      </c>
      <c r="B402" s="5">
        <f>Sheet1!E402</f>
        <v/>
      </c>
      <c r="C402" s="6">
        <f>UPPER(Sheet1!B402)</f>
        <v/>
      </c>
      <c r="D402" s="7">
        <f>IF(Sheet1!F402="F","FEMALE","MALE")</f>
        <v/>
      </c>
      <c r="E402" s="6">
        <f>UPPER(Sheet1!G402)</f>
        <v/>
      </c>
      <c r="F402" s="6">
        <f>UPPER(Sheet1!H402)</f>
        <v/>
      </c>
      <c r="G402" s="5">
        <f>TEXT(Sheet1!C402,"dd/mm/yyyy") &amp; "," &amp; Sheet1!D402</f>
        <v/>
      </c>
      <c r="H402" s="38">
        <f>UPPER(Sheet1!J402 &amp; "," &amp; Sheet1!K402 &amp; "," &amp; Sheet1!L402)</f>
        <v/>
      </c>
      <c r="I402" s="45">
        <f>Sheet1!I402</f>
        <v/>
      </c>
      <c r="J402" s="5">
        <f>Sheet1!M402 &amp; "," &amp; TEXT(Sheet1!N402,"dd/mm/yy")</f>
        <v/>
      </c>
      <c r="K402" s="5" t="inlineStr">
        <is>
          <t>PRINTED</t>
        </is>
      </c>
      <c r="L402" s="30" t="inlineStr">
        <is>
          <t>25/03/2026</t>
        </is>
      </c>
      <c r="M402" s="30" t="inlineStr">
        <is>
          <t>MANISH KATARIA, VICE CONSUL</t>
        </is>
      </c>
      <c r="N402" s="30" t="inlineStr">
        <is>
          <t>26/02/2026</t>
        </is>
      </c>
    </row>
    <row r="403">
      <c r="A403" s="4">
        <f>Sheet1!A403 &amp; "/" &amp; "2025"</f>
        <v/>
      </c>
      <c r="B403" s="5">
        <f>Sheet1!E403</f>
        <v/>
      </c>
      <c r="C403" s="6">
        <f>UPPER(Sheet1!B403)</f>
        <v/>
      </c>
      <c r="D403" s="7">
        <f>IF(Sheet1!F403="F","FEMALE","MALE")</f>
        <v/>
      </c>
      <c r="E403" s="6">
        <f>UPPER(Sheet1!G403)</f>
        <v/>
      </c>
      <c r="F403" s="6">
        <f>UPPER(Sheet1!H403)</f>
        <v/>
      </c>
      <c r="G403" s="5">
        <f>TEXT(Sheet1!C403,"dd/mm/yyyy") &amp; "," &amp; Sheet1!D403</f>
        <v/>
      </c>
      <c r="H403" s="38">
        <f>UPPER(Sheet1!J403 &amp; "," &amp; Sheet1!K403 &amp; "," &amp; Sheet1!L403)</f>
        <v/>
      </c>
      <c r="I403" s="45">
        <f>Sheet1!I403</f>
        <v/>
      </c>
      <c r="J403" s="5">
        <f>Sheet1!M403 &amp; "," &amp; TEXT(Sheet1!N403,"dd/mm/yy")</f>
        <v/>
      </c>
      <c r="K403" s="5" t="inlineStr">
        <is>
          <t>PRINTED</t>
        </is>
      </c>
      <c r="L403" s="30" t="inlineStr">
        <is>
          <t>25/03/2026</t>
        </is>
      </c>
      <c r="M403" s="30" t="inlineStr">
        <is>
          <t>MANISH KATARIA, VICE CONSUL</t>
        </is>
      </c>
      <c r="N403" s="30" t="inlineStr">
        <is>
          <t>26/02/2026</t>
        </is>
      </c>
    </row>
    <row r="404">
      <c r="A404" s="4">
        <f>Sheet1!A404 &amp; "/" &amp; "2025"</f>
        <v/>
      </c>
      <c r="B404" s="5">
        <f>Sheet1!E404</f>
        <v/>
      </c>
      <c r="C404" s="6">
        <f>UPPER(Sheet1!B404)</f>
        <v/>
      </c>
      <c r="D404" s="7">
        <f>IF(Sheet1!F404="F","FEMALE","MALE")</f>
        <v/>
      </c>
      <c r="E404" s="6">
        <f>UPPER(Sheet1!G404)</f>
        <v/>
      </c>
      <c r="F404" s="6">
        <f>UPPER(Sheet1!H404)</f>
        <v/>
      </c>
      <c r="G404" s="5">
        <f>TEXT(Sheet1!C404,"dd/mm/yyyy") &amp; "," &amp; Sheet1!D404</f>
        <v/>
      </c>
      <c r="H404" s="38">
        <f>UPPER(Sheet1!J404 &amp; "," &amp; Sheet1!K404 &amp; "," &amp; Sheet1!L404)</f>
        <v/>
      </c>
      <c r="I404" s="45">
        <f>Sheet1!I404</f>
        <v/>
      </c>
      <c r="J404" s="5">
        <f>Sheet1!M404 &amp; "," &amp; TEXT(Sheet1!N404,"dd/mm/yy")</f>
        <v/>
      </c>
      <c r="K404" s="5" t="inlineStr">
        <is>
          <t>PRINTED</t>
        </is>
      </c>
      <c r="L404" s="30" t="inlineStr">
        <is>
          <t>25/03/2026</t>
        </is>
      </c>
      <c r="M404" s="30" t="inlineStr">
        <is>
          <t>MANISH KATARIA, VICE CONSUL</t>
        </is>
      </c>
      <c r="N404" s="30" t="inlineStr">
        <is>
          <t>26/02/2026</t>
        </is>
      </c>
    </row>
    <row r="405">
      <c r="A405" s="4">
        <f>Sheet1!A405 &amp; "/" &amp; "2025"</f>
        <v/>
      </c>
      <c r="B405" s="5">
        <f>Sheet1!E405</f>
        <v/>
      </c>
      <c r="C405" s="6">
        <f>UPPER(Sheet1!B405)</f>
        <v/>
      </c>
      <c r="D405" s="7">
        <f>IF(Sheet1!F405="F","FEMALE","MALE")</f>
        <v/>
      </c>
      <c r="E405" s="6">
        <f>UPPER(Sheet1!G405)</f>
        <v/>
      </c>
      <c r="F405" s="6">
        <f>UPPER(Sheet1!H405)</f>
        <v/>
      </c>
      <c r="G405" s="5">
        <f>TEXT(Sheet1!C405,"dd/mm/yyyy") &amp; "," &amp; Sheet1!D405</f>
        <v/>
      </c>
      <c r="H405" s="38">
        <f>UPPER(Sheet1!J405 &amp; "," &amp; Sheet1!K405 &amp; "," &amp; Sheet1!L405)</f>
        <v/>
      </c>
      <c r="I405" s="45">
        <f>Sheet1!I405</f>
        <v/>
      </c>
      <c r="J405" s="5">
        <f>Sheet1!M405 &amp; "," &amp; TEXT(Sheet1!N405,"dd/mm/yy")</f>
        <v/>
      </c>
      <c r="K405" s="5" t="inlineStr">
        <is>
          <t>PRINTED</t>
        </is>
      </c>
      <c r="L405" s="30" t="inlineStr">
        <is>
          <t>25/03/2026</t>
        </is>
      </c>
      <c r="M405" s="30" t="inlineStr">
        <is>
          <t>MANISH KATARIA, VICE CONSUL</t>
        </is>
      </c>
      <c r="N405" s="30" t="inlineStr">
        <is>
          <t>26/02/2026</t>
        </is>
      </c>
    </row>
    <row r="406">
      <c r="A406" s="4">
        <f>Sheet1!A406 &amp; "/" &amp; "2025"</f>
        <v/>
      </c>
      <c r="B406" s="5">
        <f>Sheet1!E406</f>
        <v/>
      </c>
      <c r="C406" s="6">
        <f>UPPER(Sheet1!B406)</f>
        <v/>
      </c>
      <c r="D406" s="7">
        <f>IF(Sheet1!F406="F","FEMALE","MALE")</f>
        <v/>
      </c>
      <c r="E406" s="6">
        <f>UPPER(Sheet1!G406)</f>
        <v/>
      </c>
      <c r="F406" s="6">
        <f>UPPER(Sheet1!H406)</f>
        <v/>
      </c>
      <c r="G406" s="5">
        <f>TEXT(Sheet1!C406,"dd/mm/yyyy") &amp; "," &amp; Sheet1!D406</f>
        <v/>
      </c>
      <c r="H406" s="38">
        <f>UPPER(Sheet1!J406 &amp; "," &amp; Sheet1!K406 &amp; "," &amp; Sheet1!L406)</f>
        <v/>
      </c>
      <c r="I406" s="45">
        <f>Sheet1!I406</f>
        <v/>
      </c>
      <c r="J406" s="5">
        <f>Sheet1!M406 &amp; "," &amp; TEXT(Sheet1!N406,"dd/mm/yy")</f>
        <v/>
      </c>
      <c r="K406" s="5" t="inlineStr">
        <is>
          <t>PRINTED</t>
        </is>
      </c>
      <c r="L406" s="30" t="inlineStr">
        <is>
          <t>25/03/2026</t>
        </is>
      </c>
      <c r="M406" s="30" t="inlineStr">
        <is>
          <t>MANISH KATARIA, VICE CONSUL</t>
        </is>
      </c>
      <c r="N406" s="30" t="inlineStr">
        <is>
          <t>26/02/2026</t>
        </is>
      </c>
    </row>
    <row r="407">
      <c r="A407" s="4">
        <f>Sheet1!A407 &amp; "/" &amp; "2025"</f>
        <v/>
      </c>
      <c r="B407" s="5">
        <f>Sheet1!E407</f>
        <v/>
      </c>
      <c r="C407" s="6">
        <f>UPPER(Sheet1!B407)</f>
        <v/>
      </c>
      <c r="D407" s="7">
        <f>IF(Sheet1!F407="F","FEMALE","MALE")</f>
        <v/>
      </c>
      <c r="E407" s="6">
        <f>UPPER(Sheet1!G407)</f>
        <v/>
      </c>
      <c r="F407" s="6">
        <f>UPPER(Sheet1!H407)</f>
        <v/>
      </c>
      <c r="G407" s="5">
        <f>TEXT(Sheet1!C407,"dd/mm/yyyy") &amp; "," &amp; Sheet1!D407</f>
        <v/>
      </c>
      <c r="H407" s="38">
        <f>UPPER(Sheet1!J407 &amp; "," &amp; Sheet1!K407 &amp; "," &amp; Sheet1!L407)</f>
        <v/>
      </c>
      <c r="I407" s="45">
        <f>Sheet1!I407</f>
        <v/>
      </c>
      <c r="J407" s="5">
        <f>Sheet1!M407 &amp; "," &amp; TEXT(Sheet1!N407,"dd/mm/yy")</f>
        <v/>
      </c>
      <c r="K407" s="5" t="inlineStr">
        <is>
          <t>PRINTED</t>
        </is>
      </c>
      <c r="L407" s="30" t="inlineStr">
        <is>
          <t>25/03/2026</t>
        </is>
      </c>
      <c r="M407" s="30" t="inlineStr">
        <is>
          <t>MANISH KATARIA, VICE CONSUL</t>
        </is>
      </c>
      <c r="N407" s="30" t="inlineStr">
        <is>
          <t>26/02/2026</t>
        </is>
      </c>
    </row>
    <row r="408">
      <c r="A408" s="4">
        <f>Sheet1!A408 &amp; "/" &amp; "2025"</f>
        <v/>
      </c>
      <c r="B408" s="5">
        <f>Sheet1!E408</f>
        <v/>
      </c>
      <c r="C408" s="6">
        <f>UPPER(Sheet1!B408)</f>
        <v/>
      </c>
      <c r="D408" s="7">
        <f>IF(Sheet1!F408="F","FEMALE","MALE")</f>
        <v/>
      </c>
      <c r="E408" s="6">
        <f>UPPER(Sheet1!G408)</f>
        <v/>
      </c>
      <c r="F408" s="6">
        <f>UPPER(Sheet1!H408)</f>
        <v/>
      </c>
      <c r="G408" s="5">
        <f>TEXT(Sheet1!C408,"dd/mm/yyyy") &amp; "," &amp; Sheet1!D408</f>
        <v/>
      </c>
      <c r="H408" s="38">
        <f>UPPER(Sheet1!J408 &amp; "," &amp; Sheet1!K408 &amp; "," &amp; Sheet1!L408)</f>
        <v/>
      </c>
      <c r="I408" s="45">
        <f>Sheet1!I408</f>
        <v/>
      </c>
      <c r="J408" s="5">
        <f>Sheet1!M408 &amp; "," &amp; TEXT(Sheet1!N408,"dd/mm/yy")</f>
        <v/>
      </c>
      <c r="K408" s="5" t="inlineStr">
        <is>
          <t>PRINTED</t>
        </is>
      </c>
      <c r="L408" s="30" t="inlineStr">
        <is>
          <t>25/03/2026</t>
        </is>
      </c>
      <c r="M408" s="30" t="inlineStr">
        <is>
          <t>MANISH KATARIA, VICE CONSUL</t>
        </is>
      </c>
      <c r="N408" s="30" t="inlineStr">
        <is>
          <t>26/02/2026</t>
        </is>
      </c>
    </row>
    <row r="409">
      <c r="A409" s="4">
        <f>Sheet1!A409 &amp; "/" &amp; "2025"</f>
        <v/>
      </c>
      <c r="B409" s="5">
        <f>Sheet1!E409</f>
        <v/>
      </c>
      <c r="C409" s="6">
        <f>UPPER(Sheet1!B409)</f>
        <v/>
      </c>
      <c r="D409" s="7">
        <f>IF(Sheet1!F409="F","FEMALE","MALE")</f>
        <v/>
      </c>
      <c r="E409" s="6">
        <f>UPPER(Sheet1!G409)</f>
        <v/>
      </c>
      <c r="F409" s="6">
        <f>UPPER(Sheet1!H409)</f>
        <v/>
      </c>
      <c r="G409" s="5">
        <f>TEXT(Sheet1!C409,"dd/mm/yyyy") &amp; "," &amp; Sheet1!D409</f>
        <v/>
      </c>
      <c r="H409" s="38">
        <f>UPPER(Sheet1!J409 &amp; "," &amp; Sheet1!K409 &amp; "," &amp; Sheet1!L409)</f>
        <v/>
      </c>
      <c r="I409" s="45">
        <f>Sheet1!I409</f>
        <v/>
      </c>
      <c r="J409" s="5">
        <f>Sheet1!M409 &amp; "," &amp; TEXT(Sheet1!N409,"dd/mm/yy")</f>
        <v/>
      </c>
      <c r="K409" s="5" t="inlineStr">
        <is>
          <t>PRINTED</t>
        </is>
      </c>
      <c r="L409" s="30" t="inlineStr">
        <is>
          <t>25/03/2026</t>
        </is>
      </c>
      <c r="M409" s="30" t="inlineStr">
        <is>
          <t>MANISH KATARIA, VICE CONSUL</t>
        </is>
      </c>
      <c r="N409" s="30" t="inlineStr">
        <is>
          <t>26/02/2026</t>
        </is>
      </c>
    </row>
    <row r="410">
      <c r="A410" s="4">
        <f>Sheet1!A410 &amp; "/" &amp; "2025"</f>
        <v/>
      </c>
      <c r="B410" s="5">
        <f>Sheet1!E410</f>
        <v/>
      </c>
      <c r="C410" s="6">
        <f>UPPER(Sheet1!B410)</f>
        <v/>
      </c>
      <c r="D410" s="7">
        <f>IF(Sheet1!F410="F","FEMALE","MALE")</f>
        <v/>
      </c>
      <c r="E410" s="6">
        <f>UPPER(Sheet1!G410)</f>
        <v/>
      </c>
      <c r="F410" s="6">
        <f>UPPER(Sheet1!H410)</f>
        <v/>
      </c>
      <c r="G410" s="5">
        <f>TEXT(Sheet1!C410,"dd/mm/yyyy") &amp; "," &amp; Sheet1!D410</f>
        <v/>
      </c>
      <c r="H410" s="38">
        <f>UPPER(Sheet1!J410 &amp; "," &amp; Sheet1!K410 &amp; "," &amp; Sheet1!L410)</f>
        <v/>
      </c>
      <c r="I410" s="45">
        <f>Sheet1!I410</f>
        <v/>
      </c>
      <c r="J410" s="5">
        <f>Sheet1!M410 &amp; "," &amp; TEXT(Sheet1!N410,"dd/mm/yy")</f>
        <v/>
      </c>
      <c r="K410" s="5" t="inlineStr">
        <is>
          <t>PRINTED</t>
        </is>
      </c>
      <c r="L410" s="30" t="inlineStr">
        <is>
          <t>25/03/2026</t>
        </is>
      </c>
      <c r="M410" s="30" t="inlineStr">
        <is>
          <t>MANISH KATARIA, VICE CONSUL</t>
        </is>
      </c>
      <c r="N410" s="30" t="inlineStr">
        <is>
          <t>26/02/2026</t>
        </is>
      </c>
    </row>
    <row r="411">
      <c r="A411" s="4">
        <f>Sheet1!A411 &amp; "/" &amp; "2025"</f>
        <v/>
      </c>
      <c r="B411" s="5">
        <f>Sheet1!E411</f>
        <v/>
      </c>
      <c r="C411" s="6">
        <f>UPPER(Sheet1!B411)</f>
        <v/>
      </c>
      <c r="D411" s="7">
        <f>IF(Sheet1!F411="F","FEMALE","MALE")</f>
        <v/>
      </c>
      <c r="E411" s="6">
        <f>UPPER(Sheet1!G411)</f>
        <v/>
      </c>
      <c r="F411" s="6">
        <f>UPPER(Sheet1!H411)</f>
        <v/>
      </c>
      <c r="G411" s="5">
        <f>TEXT(Sheet1!C411,"dd/mm/yyyy") &amp; "," &amp; Sheet1!D411</f>
        <v/>
      </c>
      <c r="H411" s="38">
        <f>UPPER(Sheet1!J411 &amp; "," &amp; Sheet1!K411 &amp; "," &amp; Sheet1!L411)</f>
        <v/>
      </c>
      <c r="I411" s="45">
        <f>Sheet1!I411</f>
        <v/>
      </c>
      <c r="J411" s="5">
        <f>Sheet1!M411 &amp; "," &amp; TEXT(Sheet1!N411,"dd/mm/yy")</f>
        <v/>
      </c>
      <c r="K411" s="5" t="inlineStr">
        <is>
          <t>PRINTED</t>
        </is>
      </c>
      <c r="L411" s="30" t="inlineStr">
        <is>
          <t>25/03/2026</t>
        </is>
      </c>
      <c r="M411" s="30" t="inlineStr">
        <is>
          <t>MANISH KATARIA, VICE CONSUL</t>
        </is>
      </c>
      <c r="N411" s="30" t="inlineStr">
        <is>
          <t>26/02/2026</t>
        </is>
      </c>
    </row>
    <row r="412">
      <c r="A412" s="4">
        <f>Sheet1!A412 &amp; "/" &amp; "2025"</f>
        <v/>
      </c>
      <c r="B412" s="5">
        <f>Sheet1!E412</f>
        <v/>
      </c>
      <c r="C412" s="6">
        <f>UPPER(Sheet1!B412)</f>
        <v/>
      </c>
      <c r="D412" s="7">
        <f>IF(Sheet1!F412="F","FEMALE","MALE")</f>
        <v/>
      </c>
      <c r="E412" s="6">
        <f>UPPER(Sheet1!G412)</f>
        <v/>
      </c>
      <c r="F412" s="6">
        <f>UPPER(Sheet1!H412)</f>
        <v/>
      </c>
      <c r="G412" s="5">
        <f>TEXT(Sheet1!C412,"dd/mm/yyyy") &amp; "," &amp; Sheet1!D412</f>
        <v/>
      </c>
      <c r="H412" s="38">
        <f>UPPER(Sheet1!J412 &amp; "," &amp; Sheet1!K412 &amp; "," &amp; Sheet1!L412)</f>
        <v/>
      </c>
      <c r="I412" s="45">
        <f>Sheet1!I412</f>
        <v/>
      </c>
      <c r="J412" s="5">
        <f>Sheet1!M412 &amp; "," &amp; TEXT(Sheet1!N412,"dd/mm/yy")</f>
        <v/>
      </c>
      <c r="K412" s="5" t="inlineStr">
        <is>
          <t>PRINTED</t>
        </is>
      </c>
      <c r="L412" s="30" t="inlineStr">
        <is>
          <t>25/03/2026</t>
        </is>
      </c>
      <c r="M412" s="30" t="inlineStr">
        <is>
          <t>MANISH KATARIA, VICE CONSUL</t>
        </is>
      </c>
      <c r="N412" s="30" t="inlineStr">
        <is>
          <t>26/02/2026</t>
        </is>
      </c>
    </row>
    <row r="413">
      <c r="A413" s="4">
        <f>Sheet1!A413 &amp; "/" &amp; "2025"</f>
        <v/>
      </c>
      <c r="B413" s="5">
        <f>Sheet1!E413</f>
        <v/>
      </c>
      <c r="C413" s="6">
        <f>UPPER(Sheet1!B413)</f>
        <v/>
      </c>
      <c r="D413" s="7">
        <f>IF(Sheet1!F413="F","FEMALE","MALE")</f>
        <v/>
      </c>
      <c r="E413" s="6">
        <f>UPPER(Sheet1!G413)</f>
        <v/>
      </c>
      <c r="F413" s="6">
        <f>UPPER(Sheet1!H413)</f>
        <v/>
      </c>
      <c r="G413" s="5">
        <f>TEXT(Sheet1!C413,"dd/mm/yyyy") &amp; "," &amp; Sheet1!D413</f>
        <v/>
      </c>
      <c r="H413" s="38">
        <f>UPPER(Sheet1!J413 &amp; "," &amp; Sheet1!K413 &amp; "," &amp; Sheet1!L413)</f>
        <v/>
      </c>
      <c r="I413" s="45">
        <f>Sheet1!I413</f>
        <v/>
      </c>
      <c r="J413" s="5">
        <f>Sheet1!M413 &amp; "," &amp; TEXT(Sheet1!N413,"dd/mm/yy")</f>
        <v/>
      </c>
      <c r="K413" s="5" t="inlineStr">
        <is>
          <t>PRINTED</t>
        </is>
      </c>
      <c r="L413" s="30" t="inlineStr">
        <is>
          <t>25/03/2026</t>
        </is>
      </c>
      <c r="M413" s="30" t="inlineStr">
        <is>
          <t>MANISH KATARIA, VICE CONSUL</t>
        </is>
      </c>
      <c r="N413" s="30" t="inlineStr">
        <is>
          <t>26/02/2026</t>
        </is>
      </c>
    </row>
    <row r="414">
      <c r="A414" s="4">
        <f>Sheet1!A414 &amp; "/" &amp; "2025"</f>
        <v/>
      </c>
      <c r="B414" s="5">
        <f>Sheet1!E414</f>
        <v/>
      </c>
      <c r="C414" s="6">
        <f>UPPER(Sheet1!B414)</f>
        <v/>
      </c>
      <c r="D414" s="7">
        <f>IF(Sheet1!F414="F","FEMALE","MALE")</f>
        <v/>
      </c>
      <c r="E414" s="6">
        <f>UPPER(Sheet1!G414)</f>
        <v/>
      </c>
      <c r="F414" s="6">
        <f>UPPER(Sheet1!H414)</f>
        <v/>
      </c>
      <c r="G414" s="5">
        <f>TEXT(Sheet1!C414,"dd/mm/yyyy") &amp; "," &amp; Sheet1!D414</f>
        <v/>
      </c>
      <c r="H414" s="38">
        <f>UPPER(Sheet1!J414 &amp; "," &amp; Sheet1!K414 &amp; "," &amp; Sheet1!L414)</f>
        <v/>
      </c>
      <c r="I414" s="45">
        <f>Sheet1!I414</f>
        <v/>
      </c>
      <c r="J414" s="5">
        <f>Sheet1!M414 &amp; "," &amp; TEXT(Sheet1!N414,"dd/mm/yy")</f>
        <v/>
      </c>
      <c r="K414" s="5" t="inlineStr">
        <is>
          <t>PRINTED</t>
        </is>
      </c>
      <c r="L414" s="30" t="inlineStr">
        <is>
          <t>25/03/2026</t>
        </is>
      </c>
      <c r="M414" s="30" t="inlineStr">
        <is>
          <t>MANISH KATARIA, VICE CONSUL</t>
        </is>
      </c>
      <c r="N414" s="30" t="inlineStr">
        <is>
          <t>26/02/2026</t>
        </is>
      </c>
    </row>
    <row r="415">
      <c r="A415" s="4">
        <f>Sheet1!A415 &amp; "/" &amp; "2025"</f>
        <v/>
      </c>
      <c r="B415" s="5">
        <f>Sheet1!E415</f>
        <v/>
      </c>
      <c r="C415" s="6">
        <f>UPPER(Sheet1!B415)</f>
        <v/>
      </c>
      <c r="D415" s="7">
        <f>IF(Sheet1!F415="F","FEMALE","MALE")</f>
        <v/>
      </c>
      <c r="E415" s="6">
        <f>UPPER(Sheet1!G415)</f>
        <v/>
      </c>
      <c r="F415" s="6">
        <f>UPPER(Sheet1!H415)</f>
        <v/>
      </c>
      <c r="G415" s="5">
        <f>TEXT(Sheet1!C415,"dd/mm/yyyy") &amp; "," &amp; Sheet1!D415</f>
        <v/>
      </c>
      <c r="H415" s="38">
        <f>UPPER(Sheet1!J415 &amp; "," &amp; Sheet1!K415 &amp; "," &amp; Sheet1!L415)</f>
        <v/>
      </c>
      <c r="I415" s="45">
        <f>Sheet1!I415</f>
        <v/>
      </c>
      <c r="J415" s="5">
        <f>Sheet1!M415 &amp; "," &amp; TEXT(Sheet1!N415,"dd/mm/yy")</f>
        <v/>
      </c>
      <c r="K415" s="5" t="inlineStr">
        <is>
          <t>PRINTED</t>
        </is>
      </c>
      <c r="L415" s="30" t="inlineStr">
        <is>
          <t>25/03/2026</t>
        </is>
      </c>
      <c r="M415" s="30" t="inlineStr">
        <is>
          <t>MANISH KATARIA, VICE CONSUL</t>
        </is>
      </c>
      <c r="N415" s="30" t="inlineStr">
        <is>
          <t>26/02/2026</t>
        </is>
      </c>
    </row>
    <row r="416">
      <c r="A416" s="4">
        <f>Sheet1!A416 &amp; "/" &amp; "2025"</f>
        <v/>
      </c>
      <c r="B416" s="5">
        <f>Sheet1!E416</f>
        <v/>
      </c>
      <c r="C416" s="6">
        <f>UPPER(Sheet1!B416)</f>
        <v/>
      </c>
      <c r="D416" s="7">
        <f>IF(Sheet1!F416="F","FEMALE","MALE")</f>
        <v/>
      </c>
      <c r="E416" s="6">
        <f>UPPER(Sheet1!G416)</f>
        <v/>
      </c>
      <c r="F416" s="6">
        <f>UPPER(Sheet1!H416)</f>
        <v/>
      </c>
      <c r="G416" s="5">
        <f>TEXT(Sheet1!C416,"dd/mm/yyyy") &amp; "," &amp; Sheet1!D416</f>
        <v/>
      </c>
      <c r="H416" s="38">
        <f>UPPER(Sheet1!J416 &amp; "," &amp; Sheet1!K416 &amp; "," &amp; Sheet1!L416)</f>
        <v/>
      </c>
      <c r="I416" s="45">
        <f>Sheet1!I416</f>
        <v/>
      </c>
      <c r="J416" s="5">
        <f>Sheet1!M416 &amp; "," &amp; TEXT(Sheet1!N416,"dd/mm/yy")</f>
        <v/>
      </c>
      <c r="K416" s="5" t="inlineStr">
        <is>
          <t>PRINTED</t>
        </is>
      </c>
      <c r="L416" s="30" t="inlineStr">
        <is>
          <t>25/03/2026</t>
        </is>
      </c>
      <c r="M416" s="30" t="inlineStr">
        <is>
          <t>MANISH KATARIA, VICE CONSUL</t>
        </is>
      </c>
      <c r="N416" s="30" t="inlineStr">
        <is>
          <t>26/02/2026</t>
        </is>
      </c>
    </row>
    <row r="417">
      <c r="A417" s="4">
        <f>Sheet1!A417 &amp; "/" &amp; "2025"</f>
        <v/>
      </c>
      <c r="B417" s="5">
        <f>Sheet1!E417</f>
        <v/>
      </c>
      <c r="C417" s="6">
        <f>UPPER(Sheet1!B417)</f>
        <v/>
      </c>
      <c r="D417" s="7">
        <f>IF(Sheet1!F417="F","FEMALE","MALE")</f>
        <v/>
      </c>
      <c r="E417" s="6">
        <f>UPPER(Sheet1!G417)</f>
        <v/>
      </c>
      <c r="F417" s="6">
        <f>UPPER(Sheet1!H417)</f>
        <v/>
      </c>
      <c r="G417" s="5">
        <f>TEXT(Sheet1!C417,"dd/mm/yyyy") &amp; "," &amp; Sheet1!D417</f>
        <v/>
      </c>
      <c r="H417" s="38">
        <f>UPPER(Sheet1!J417 &amp; "," &amp; Sheet1!K417 &amp; "," &amp; Sheet1!L417)</f>
        <v/>
      </c>
      <c r="I417" s="45">
        <f>Sheet1!I417</f>
        <v/>
      </c>
      <c r="J417" s="5">
        <f>Sheet1!M417 &amp; "," &amp; TEXT(Sheet1!N417,"dd/mm/yy")</f>
        <v/>
      </c>
      <c r="K417" s="5" t="inlineStr">
        <is>
          <t>PRINTED</t>
        </is>
      </c>
      <c r="L417" s="30" t="inlineStr">
        <is>
          <t>25/03/2026</t>
        </is>
      </c>
      <c r="M417" s="30" t="inlineStr">
        <is>
          <t>MANISH KATARIA, VICE CONSUL</t>
        </is>
      </c>
      <c r="N417" s="30" t="inlineStr">
        <is>
          <t>26/02/2026</t>
        </is>
      </c>
    </row>
    <row r="418">
      <c r="A418" s="4">
        <f>Sheet1!A418 &amp; "/" &amp; "2025"</f>
        <v/>
      </c>
      <c r="B418" s="5">
        <f>Sheet1!E418</f>
        <v/>
      </c>
      <c r="C418" s="6">
        <f>UPPER(Sheet1!B418)</f>
        <v/>
      </c>
      <c r="D418" s="7">
        <f>IF(Sheet1!F418="F","FEMALE","MALE")</f>
        <v/>
      </c>
      <c r="E418" s="6">
        <f>UPPER(Sheet1!G418)</f>
        <v/>
      </c>
      <c r="F418" s="6">
        <f>UPPER(Sheet1!H418)</f>
        <v/>
      </c>
      <c r="G418" s="5">
        <f>TEXT(Sheet1!C418,"dd/mm/yyyy") &amp; "," &amp; Sheet1!D418</f>
        <v/>
      </c>
      <c r="H418" s="38">
        <f>UPPER(Sheet1!J418 &amp; "," &amp; Sheet1!K418 &amp; "," &amp; Sheet1!L418)</f>
        <v/>
      </c>
      <c r="I418" s="45">
        <f>Sheet1!I418</f>
        <v/>
      </c>
      <c r="J418" s="5">
        <f>Sheet1!M418 &amp; "," &amp; TEXT(Sheet1!N418,"dd/mm/yy")</f>
        <v/>
      </c>
      <c r="K418" s="5" t="inlineStr">
        <is>
          <t>PRINTED</t>
        </is>
      </c>
      <c r="L418" s="30" t="inlineStr">
        <is>
          <t>25/03/2026</t>
        </is>
      </c>
      <c r="M418" s="30" t="inlineStr">
        <is>
          <t>MANISH KATARIA, VICE CONSUL</t>
        </is>
      </c>
      <c r="N418" s="30" t="inlineStr">
        <is>
          <t>26/02/2026</t>
        </is>
      </c>
    </row>
    <row r="419">
      <c r="A419" s="4">
        <f>Sheet1!A419 &amp; "/" &amp; "2025"</f>
        <v/>
      </c>
      <c r="B419" s="5">
        <f>Sheet1!E419</f>
        <v/>
      </c>
      <c r="C419" s="6">
        <f>UPPER(Sheet1!B419)</f>
        <v/>
      </c>
      <c r="D419" s="7">
        <f>IF(Sheet1!F419="F","FEMALE","MALE")</f>
        <v/>
      </c>
      <c r="E419" s="6">
        <f>UPPER(Sheet1!G419)</f>
        <v/>
      </c>
      <c r="F419" s="6">
        <f>UPPER(Sheet1!H419)</f>
        <v/>
      </c>
      <c r="G419" s="5">
        <f>TEXT(Sheet1!C419,"dd/mm/yyyy") &amp; "," &amp; Sheet1!D419</f>
        <v/>
      </c>
      <c r="H419" s="38">
        <f>UPPER(Sheet1!J419 &amp; "," &amp; Sheet1!K419 &amp; "," &amp; Sheet1!L419)</f>
        <v/>
      </c>
      <c r="I419" s="45">
        <f>Sheet1!I419</f>
        <v/>
      </c>
      <c r="J419" s="5">
        <f>Sheet1!M419 &amp; "," &amp; TEXT(Sheet1!N419,"dd/mm/yy")</f>
        <v/>
      </c>
      <c r="K419" s="5" t="inlineStr">
        <is>
          <t>PRINTED</t>
        </is>
      </c>
      <c r="L419" s="30" t="inlineStr">
        <is>
          <t>25/03/2026</t>
        </is>
      </c>
      <c r="M419" s="30" t="inlineStr">
        <is>
          <t>MANISH KATARIA, VICE CONSUL</t>
        </is>
      </c>
      <c r="N419" s="30" t="inlineStr">
        <is>
          <t>26/02/2026</t>
        </is>
      </c>
    </row>
    <row r="420">
      <c r="A420" s="4">
        <f>Sheet1!A420 &amp; "/" &amp; "2025"</f>
        <v/>
      </c>
      <c r="B420" s="5">
        <f>Sheet1!E420</f>
        <v/>
      </c>
      <c r="C420" s="6">
        <f>UPPER(Sheet1!B420)</f>
        <v/>
      </c>
      <c r="D420" s="7">
        <f>IF(Sheet1!F420="F","FEMALE","MALE")</f>
        <v/>
      </c>
      <c r="E420" s="6">
        <f>UPPER(Sheet1!G420)</f>
        <v/>
      </c>
      <c r="F420" s="6">
        <f>UPPER(Sheet1!H420)</f>
        <v/>
      </c>
      <c r="G420" s="5">
        <f>TEXT(Sheet1!C420,"dd/mm/yyyy") &amp; "," &amp; Sheet1!D420</f>
        <v/>
      </c>
      <c r="H420" s="38">
        <f>UPPER(Sheet1!J420 &amp; "," &amp; Sheet1!K420 &amp; "," &amp; Sheet1!L420)</f>
        <v/>
      </c>
      <c r="I420" s="45">
        <f>Sheet1!I420</f>
        <v/>
      </c>
      <c r="J420" s="5">
        <f>Sheet1!M420 &amp; "," &amp; TEXT(Sheet1!N420,"dd/mm/yy")</f>
        <v/>
      </c>
      <c r="K420" s="5" t="inlineStr">
        <is>
          <t>PRINTED</t>
        </is>
      </c>
      <c r="L420" s="30" t="inlineStr">
        <is>
          <t>25/03/2026</t>
        </is>
      </c>
      <c r="M420" s="30" t="inlineStr">
        <is>
          <t>MANISH KATARIA, VICE CONSUL</t>
        </is>
      </c>
      <c r="N420" s="30" t="inlineStr">
        <is>
          <t>26/02/2026</t>
        </is>
      </c>
    </row>
    <row r="421">
      <c r="A421" s="4">
        <f>Sheet1!A421 &amp; "/" &amp; "2025"</f>
        <v/>
      </c>
      <c r="B421" s="5">
        <f>Sheet1!E421</f>
        <v/>
      </c>
      <c r="C421" s="6">
        <f>UPPER(Sheet1!B421)</f>
        <v/>
      </c>
      <c r="D421" s="7">
        <f>IF(Sheet1!F421="F","FEMALE","MALE")</f>
        <v/>
      </c>
      <c r="E421" s="6">
        <f>UPPER(Sheet1!G421)</f>
        <v/>
      </c>
      <c r="F421" s="6">
        <f>UPPER(Sheet1!H421)</f>
        <v/>
      </c>
      <c r="G421" s="5">
        <f>TEXT(Sheet1!C421,"dd/mm/yyyy") &amp; "," &amp; Sheet1!D421</f>
        <v/>
      </c>
      <c r="H421" s="38">
        <f>UPPER(Sheet1!J421 &amp; "," &amp; Sheet1!K421 &amp; "," &amp; Sheet1!L421)</f>
        <v/>
      </c>
      <c r="I421" s="45">
        <f>Sheet1!I421</f>
        <v/>
      </c>
      <c r="J421" s="5">
        <f>Sheet1!M421 &amp; "," &amp; TEXT(Sheet1!N421,"dd/mm/yy")</f>
        <v/>
      </c>
      <c r="K421" s="5" t="inlineStr">
        <is>
          <t>PRINTED</t>
        </is>
      </c>
      <c r="L421" s="30" t="inlineStr">
        <is>
          <t>25/03/2026</t>
        </is>
      </c>
      <c r="M421" s="30" t="inlineStr">
        <is>
          <t>MANISH KATARIA, VICE CONSUL</t>
        </is>
      </c>
      <c r="N421" s="30" t="inlineStr">
        <is>
          <t>26/02/2026</t>
        </is>
      </c>
    </row>
    <row r="422">
      <c r="A422" s="4">
        <f>Sheet1!A422 &amp; "/" &amp; "2025"</f>
        <v/>
      </c>
      <c r="B422" s="5">
        <f>Sheet1!E422</f>
        <v/>
      </c>
      <c r="C422" s="6">
        <f>UPPER(Sheet1!B422)</f>
        <v/>
      </c>
      <c r="D422" s="7">
        <f>IF(Sheet1!F422="F","FEMALE","MALE")</f>
        <v/>
      </c>
      <c r="E422" s="6">
        <f>UPPER(Sheet1!G422)</f>
        <v/>
      </c>
      <c r="F422" s="6">
        <f>UPPER(Sheet1!H422)</f>
        <v/>
      </c>
      <c r="G422" s="5">
        <f>TEXT(Sheet1!C422,"dd/mm/yyyy") &amp; "," &amp; Sheet1!D422</f>
        <v/>
      </c>
      <c r="H422" s="38">
        <f>UPPER(Sheet1!J422 &amp; "," &amp; Sheet1!K422 &amp; "," &amp; Sheet1!L422)</f>
        <v/>
      </c>
      <c r="I422" s="45">
        <f>Sheet1!I422</f>
        <v/>
      </c>
      <c r="J422" s="5">
        <f>Sheet1!M422 &amp; "," &amp; TEXT(Sheet1!N422,"dd/mm/yy")</f>
        <v/>
      </c>
      <c r="K422" s="5" t="inlineStr">
        <is>
          <t>PRINTED</t>
        </is>
      </c>
      <c r="L422" s="30" t="inlineStr">
        <is>
          <t>25/03/2026</t>
        </is>
      </c>
      <c r="M422" s="30" t="inlineStr">
        <is>
          <t>MANISH KATARIA, VICE CONSUL</t>
        </is>
      </c>
      <c r="N422" s="30" t="inlineStr">
        <is>
          <t>26/02/2026</t>
        </is>
      </c>
    </row>
    <row r="423">
      <c r="A423" s="4">
        <f>Sheet1!A423 &amp; "/" &amp; "2025"</f>
        <v/>
      </c>
      <c r="B423" s="5">
        <f>Sheet1!E423</f>
        <v/>
      </c>
      <c r="C423" s="6">
        <f>UPPER(Sheet1!B423)</f>
        <v/>
      </c>
      <c r="D423" s="7">
        <f>IF(Sheet1!F423="F","FEMALE","MALE")</f>
        <v/>
      </c>
      <c r="E423" s="6">
        <f>UPPER(Sheet1!G423)</f>
        <v/>
      </c>
      <c r="F423" s="6">
        <f>UPPER(Sheet1!H423)</f>
        <v/>
      </c>
      <c r="G423" s="5">
        <f>TEXT(Sheet1!C423,"dd/mm/yyyy") &amp; "," &amp; Sheet1!D423</f>
        <v/>
      </c>
      <c r="H423" s="38">
        <f>UPPER(Sheet1!J423 &amp; "," &amp; Sheet1!K423 &amp; "," &amp; Sheet1!L423)</f>
        <v/>
      </c>
      <c r="I423" s="45">
        <f>Sheet1!I423</f>
        <v/>
      </c>
      <c r="J423" s="5">
        <f>Sheet1!M423 &amp; "," &amp; TEXT(Sheet1!N423,"dd/mm/yy")</f>
        <v/>
      </c>
      <c r="K423" s="5" t="inlineStr">
        <is>
          <t>PRINTED</t>
        </is>
      </c>
      <c r="L423" s="30" t="inlineStr">
        <is>
          <t>25/03/2026</t>
        </is>
      </c>
      <c r="M423" s="30" t="inlineStr">
        <is>
          <t>MANISH KATARIA, VICE CONSUL</t>
        </is>
      </c>
      <c r="N423" s="30" t="inlineStr">
        <is>
          <t>26/02/2026</t>
        </is>
      </c>
    </row>
    <row r="424">
      <c r="A424" s="4">
        <f>Sheet1!A424 &amp; "/" &amp; "2025"</f>
        <v/>
      </c>
      <c r="B424" s="5">
        <f>Sheet1!E424</f>
        <v/>
      </c>
      <c r="C424" s="6">
        <f>UPPER(Sheet1!B424)</f>
        <v/>
      </c>
      <c r="D424" s="7">
        <f>IF(Sheet1!F424="F","FEMALE","MALE")</f>
        <v/>
      </c>
      <c r="E424" s="6">
        <f>UPPER(Sheet1!G424)</f>
        <v/>
      </c>
      <c r="F424" s="6">
        <f>UPPER(Sheet1!H424)</f>
        <v/>
      </c>
      <c r="G424" s="5">
        <f>TEXT(Sheet1!C424,"dd/mm/yyyy") &amp; "," &amp; Sheet1!D424</f>
        <v/>
      </c>
      <c r="H424" s="38">
        <f>UPPER(Sheet1!J424 &amp; "," &amp; Sheet1!K424 &amp; "," &amp; Sheet1!L424)</f>
        <v/>
      </c>
      <c r="I424" s="45">
        <f>Sheet1!I424</f>
        <v/>
      </c>
      <c r="J424" s="5">
        <f>Sheet1!M424 &amp; "," &amp; TEXT(Sheet1!N424,"dd/mm/yy")</f>
        <v/>
      </c>
      <c r="K424" s="5" t="inlineStr">
        <is>
          <t>PRINTED</t>
        </is>
      </c>
      <c r="L424" s="30" t="inlineStr">
        <is>
          <t>25/03/2026</t>
        </is>
      </c>
      <c r="M424" s="30" t="inlineStr">
        <is>
          <t>MANISH KATARIA, VICE CONSUL</t>
        </is>
      </c>
      <c r="N424" s="30" t="inlineStr">
        <is>
          <t>26/02/2026</t>
        </is>
      </c>
    </row>
    <row r="425">
      <c r="A425" s="4">
        <f>Sheet1!A425 &amp; "/" &amp; "2025"</f>
        <v/>
      </c>
      <c r="B425" s="5">
        <f>Sheet1!E425</f>
        <v/>
      </c>
      <c r="C425" s="6">
        <f>UPPER(Sheet1!B425)</f>
        <v/>
      </c>
      <c r="D425" s="7">
        <f>IF(Sheet1!F425="F","FEMALE","MALE")</f>
        <v/>
      </c>
      <c r="E425" s="6">
        <f>UPPER(Sheet1!G425)</f>
        <v/>
      </c>
      <c r="F425" s="6">
        <f>UPPER(Sheet1!H425)</f>
        <v/>
      </c>
      <c r="G425" s="5">
        <f>TEXT(Sheet1!C425,"dd/mm/yyyy") &amp; "," &amp; Sheet1!D425</f>
        <v/>
      </c>
      <c r="H425" s="38">
        <f>UPPER(Sheet1!J425 &amp; "," &amp; Sheet1!K425 &amp; "," &amp; Sheet1!L425)</f>
        <v/>
      </c>
      <c r="I425" s="45">
        <f>Sheet1!I425</f>
        <v/>
      </c>
      <c r="J425" s="5">
        <f>Sheet1!M425 &amp; "," &amp; TEXT(Sheet1!N425,"dd/mm/yy")</f>
        <v/>
      </c>
      <c r="K425" s="5" t="inlineStr">
        <is>
          <t>PRINTED</t>
        </is>
      </c>
      <c r="L425" s="30" t="inlineStr">
        <is>
          <t>25/03/2026</t>
        </is>
      </c>
      <c r="M425" s="30" t="inlineStr">
        <is>
          <t>MANISH KATARIA, VICE CONSUL</t>
        </is>
      </c>
      <c r="N425" s="30" t="inlineStr">
        <is>
          <t>26/02/2026</t>
        </is>
      </c>
    </row>
    <row r="426">
      <c r="A426" s="4">
        <f>Sheet1!A426 &amp; "/" &amp; "2025"</f>
        <v/>
      </c>
      <c r="B426" s="5">
        <f>Sheet1!E426</f>
        <v/>
      </c>
      <c r="C426" s="6">
        <f>UPPER(Sheet1!B426)</f>
        <v/>
      </c>
      <c r="D426" s="7">
        <f>IF(Sheet1!F426="F","FEMALE","MALE")</f>
        <v/>
      </c>
      <c r="E426" s="6">
        <f>UPPER(Sheet1!G426)</f>
        <v/>
      </c>
      <c r="F426" s="6">
        <f>UPPER(Sheet1!H426)</f>
        <v/>
      </c>
      <c r="G426" s="5">
        <f>TEXT(Sheet1!C426,"dd/mm/yyyy") &amp; "," &amp; Sheet1!D426</f>
        <v/>
      </c>
      <c r="H426" s="38">
        <f>UPPER(Sheet1!J426 &amp; "," &amp; Sheet1!K426 &amp; "," &amp; Sheet1!L426)</f>
        <v/>
      </c>
      <c r="I426" s="45">
        <f>Sheet1!I426</f>
        <v/>
      </c>
      <c r="J426" s="5">
        <f>Sheet1!M426 &amp; "," &amp; TEXT(Sheet1!N426,"dd/mm/yy")</f>
        <v/>
      </c>
      <c r="K426" s="5" t="inlineStr">
        <is>
          <t>PRINTED</t>
        </is>
      </c>
      <c r="L426" s="30" t="inlineStr">
        <is>
          <t>25/03/2026</t>
        </is>
      </c>
      <c r="M426" s="30" t="inlineStr">
        <is>
          <t>MANISH KATARIA, VICE CONSUL</t>
        </is>
      </c>
      <c r="N426" s="30" t="inlineStr">
        <is>
          <t>26/02/2026</t>
        </is>
      </c>
    </row>
    <row r="427">
      <c r="A427" s="4">
        <f>Sheet1!A427 &amp; "/" &amp; "2025"</f>
        <v/>
      </c>
      <c r="B427" s="5">
        <f>Sheet1!E427</f>
        <v/>
      </c>
      <c r="C427" s="6">
        <f>UPPER(Sheet1!B427)</f>
        <v/>
      </c>
      <c r="D427" s="7">
        <f>IF(Sheet1!F427="F","FEMALE","MALE")</f>
        <v/>
      </c>
      <c r="E427" s="6">
        <f>UPPER(Sheet1!G427)</f>
        <v/>
      </c>
      <c r="F427" s="6">
        <f>UPPER(Sheet1!H427)</f>
        <v/>
      </c>
      <c r="G427" s="5">
        <f>TEXT(Sheet1!C427,"dd/mm/yyyy") &amp; "," &amp; Sheet1!D427</f>
        <v/>
      </c>
      <c r="H427" s="38">
        <f>UPPER(Sheet1!J427 &amp; "," &amp; Sheet1!K427 &amp; "," &amp; Sheet1!L427)</f>
        <v/>
      </c>
      <c r="I427" s="45">
        <f>Sheet1!I427</f>
        <v/>
      </c>
      <c r="J427" s="5">
        <f>Sheet1!M427 &amp; "," &amp; TEXT(Sheet1!N427,"dd/mm/yy")</f>
        <v/>
      </c>
      <c r="K427" s="5" t="inlineStr">
        <is>
          <t>PRINTED</t>
        </is>
      </c>
      <c r="L427" s="30" t="inlineStr">
        <is>
          <t>25/03/2026</t>
        </is>
      </c>
      <c r="M427" s="30" t="inlineStr">
        <is>
          <t>MANISH KATARIA, VICE CONSUL</t>
        </is>
      </c>
      <c r="N427" s="30" t="inlineStr">
        <is>
          <t>26/02/2026</t>
        </is>
      </c>
    </row>
    <row r="428">
      <c r="A428" s="4">
        <f>Sheet1!A428 &amp; "/" &amp; "2025"</f>
        <v/>
      </c>
      <c r="B428" s="5">
        <f>Sheet1!E428</f>
        <v/>
      </c>
      <c r="C428" s="6">
        <f>UPPER(Sheet1!B428)</f>
        <v/>
      </c>
      <c r="D428" s="7">
        <f>IF(Sheet1!F428="F","FEMALE","MALE")</f>
        <v/>
      </c>
      <c r="E428" s="6">
        <f>UPPER(Sheet1!G428)</f>
        <v/>
      </c>
      <c r="F428" s="6">
        <f>UPPER(Sheet1!H428)</f>
        <v/>
      </c>
      <c r="G428" s="5">
        <f>TEXT(Sheet1!C428,"dd/mm/yyyy") &amp; "," &amp; Sheet1!D428</f>
        <v/>
      </c>
      <c r="H428" s="38">
        <f>UPPER(Sheet1!J428 &amp; "," &amp; Sheet1!K428 &amp; "," &amp; Sheet1!L428)</f>
        <v/>
      </c>
      <c r="I428" s="45">
        <f>Sheet1!I428</f>
        <v/>
      </c>
      <c r="J428" s="5">
        <f>Sheet1!M428 &amp; "," &amp; TEXT(Sheet1!N428,"dd/mm/yy")</f>
        <v/>
      </c>
      <c r="K428" s="5" t="inlineStr">
        <is>
          <t>PRINTED</t>
        </is>
      </c>
      <c r="L428" s="30" t="inlineStr">
        <is>
          <t>25/03/2026</t>
        </is>
      </c>
      <c r="M428" s="30" t="inlineStr">
        <is>
          <t>MANISH KATARIA, VICE CONSUL</t>
        </is>
      </c>
      <c r="N428" s="30" t="inlineStr">
        <is>
          <t>26/02/2026</t>
        </is>
      </c>
    </row>
    <row r="429">
      <c r="A429" s="4">
        <f>Sheet1!A429 &amp; "/" &amp; "2025"</f>
        <v/>
      </c>
      <c r="B429" s="5">
        <f>Sheet1!E429</f>
        <v/>
      </c>
      <c r="C429" s="6">
        <f>UPPER(Sheet1!B429)</f>
        <v/>
      </c>
      <c r="D429" s="7">
        <f>IF(Sheet1!F429="F","FEMALE","MALE")</f>
        <v/>
      </c>
      <c r="E429" s="6">
        <f>UPPER(Sheet1!G429)</f>
        <v/>
      </c>
      <c r="F429" s="6">
        <f>UPPER(Sheet1!H429)</f>
        <v/>
      </c>
      <c r="G429" s="5">
        <f>TEXT(Sheet1!C429,"dd/mm/yyyy") &amp; "," &amp; Sheet1!D429</f>
        <v/>
      </c>
      <c r="H429" s="38">
        <f>UPPER(Sheet1!J429 &amp; "," &amp; Sheet1!K429 &amp; "," &amp; Sheet1!L429)</f>
        <v/>
      </c>
      <c r="I429" s="45">
        <f>Sheet1!I429</f>
        <v/>
      </c>
      <c r="J429" s="5">
        <f>Sheet1!M429 &amp; "," &amp; TEXT(Sheet1!N429,"dd/mm/yy")</f>
        <v/>
      </c>
      <c r="K429" s="5" t="inlineStr">
        <is>
          <t>PRINTED</t>
        </is>
      </c>
      <c r="L429" s="30" t="inlineStr">
        <is>
          <t>25/03/2026</t>
        </is>
      </c>
      <c r="M429" s="30" t="inlineStr">
        <is>
          <t>MANISH KATARIA, VICE CONSUL</t>
        </is>
      </c>
      <c r="N429" s="30" t="inlineStr">
        <is>
          <t>26/02/2026</t>
        </is>
      </c>
    </row>
    <row r="430">
      <c r="A430" s="4">
        <f>Sheet1!A430 &amp; "/" &amp; "2025"</f>
        <v/>
      </c>
      <c r="B430" s="5">
        <f>Sheet1!E430</f>
        <v/>
      </c>
      <c r="C430" s="6">
        <f>UPPER(Sheet1!B430)</f>
        <v/>
      </c>
      <c r="D430" s="7">
        <f>IF(Sheet1!F430="F","FEMALE","MALE")</f>
        <v/>
      </c>
      <c r="E430" s="6">
        <f>UPPER(Sheet1!G430)</f>
        <v/>
      </c>
      <c r="F430" s="6">
        <f>UPPER(Sheet1!H430)</f>
        <v/>
      </c>
      <c r="G430" s="5">
        <f>TEXT(Sheet1!C430,"dd/mm/yyyy") &amp; "," &amp; Sheet1!D430</f>
        <v/>
      </c>
      <c r="H430" s="38">
        <f>UPPER(Sheet1!J430 &amp; "," &amp; Sheet1!K430 &amp; "," &amp; Sheet1!L430)</f>
        <v/>
      </c>
      <c r="I430" s="45">
        <f>Sheet1!I430</f>
        <v/>
      </c>
      <c r="J430" s="5">
        <f>Sheet1!M430 &amp; "," &amp; TEXT(Sheet1!N430,"dd/mm/yy")</f>
        <v/>
      </c>
      <c r="K430" s="5" t="inlineStr">
        <is>
          <t>PRINTED</t>
        </is>
      </c>
      <c r="L430" s="30" t="inlineStr">
        <is>
          <t>25/03/2026</t>
        </is>
      </c>
      <c r="M430" s="30" t="inlineStr">
        <is>
          <t>MANISH KATARIA, VICE CONSUL</t>
        </is>
      </c>
      <c r="N430" s="30" t="inlineStr">
        <is>
          <t>26/02/2026</t>
        </is>
      </c>
    </row>
    <row r="431">
      <c r="A431" s="4">
        <f>Sheet1!A431 &amp; "/" &amp; "2025"</f>
        <v/>
      </c>
      <c r="B431" s="5">
        <f>Sheet1!E431</f>
        <v/>
      </c>
      <c r="C431" s="6">
        <f>UPPER(Sheet1!B431)</f>
        <v/>
      </c>
      <c r="D431" s="7">
        <f>IF(Sheet1!F431="F","FEMALE","MALE")</f>
        <v/>
      </c>
      <c r="E431" s="6">
        <f>UPPER(Sheet1!G431)</f>
        <v/>
      </c>
      <c r="F431" s="6">
        <f>UPPER(Sheet1!H431)</f>
        <v/>
      </c>
      <c r="G431" s="5">
        <f>TEXT(Sheet1!C431,"dd/mm/yyyy") &amp; "," &amp; Sheet1!D431</f>
        <v/>
      </c>
      <c r="H431" s="38">
        <f>UPPER(Sheet1!J431 &amp; "," &amp; Sheet1!K431 &amp; "," &amp; Sheet1!L431)</f>
        <v/>
      </c>
      <c r="I431" s="45">
        <f>Sheet1!I431</f>
        <v/>
      </c>
      <c r="J431" s="5">
        <f>Sheet1!M431 &amp; "," &amp; TEXT(Sheet1!N431,"dd/mm/yy")</f>
        <v/>
      </c>
      <c r="K431" s="5" t="inlineStr">
        <is>
          <t>PRINTED</t>
        </is>
      </c>
      <c r="L431" s="30" t="inlineStr">
        <is>
          <t>25/03/2026</t>
        </is>
      </c>
      <c r="M431" s="30" t="inlineStr">
        <is>
          <t>MANISH KATARIA, VICE CONSUL</t>
        </is>
      </c>
      <c r="N431" s="30" t="inlineStr">
        <is>
          <t>26/02/2026</t>
        </is>
      </c>
    </row>
    <row r="432">
      <c r="A432" s="4">
        <f>Sheet1!A432 &amp; "/" &amp; "2025"</f>
        <v/>
      </c>
      <c r="B432" s="5">
        <f>Sheet1!E432</f>
        <v/>
      </c>
      <c r="C432" s="6">
        <f>UPPER(Sheet1!B432)</f>
        <v/>
      </c>
      <c r="D432" s="7">
        <f>IF(Sheet1!F432="F","FEMALE","MALE")</f>
        <v/>
      </c>
      <c r="E432" s="6">
        <f>UPPER(Sheet1!G432)</f>
        <v/>
      </c>
      <c r="F432" s="6">
        <f>UPPER(Sheet1!H432)</f>
        <v/>
      </c>
      <c r="G432" s="5">
        <f>TEXT(Sheet1!C432,"dd/mm/yyyy") &amp; "," &amp; Sheet1!D432</f>
        <v/>
      </c>
      <c r="H432" s="38">
        <f>UPPER(Sheet1!J432 &amp; "," &amp; Sheet1!K432 &amp; "," &amp; Sheet1!L432)</f>
        <v/>
      </c>
      <c r="I432" s="45">
        <f>Sheet1!I432</f>
        <v/>
      </c>
      <c r="J432" s="5">
        <f>Sheet1!M432 &amp; "," &amp; TEXT(Sheet1!N432,"dd/mm/yy")</f>
        <v/>
      </c>
      <c r="K432" s="5" t="inlineStr">
        <is>
          <t>PRINTED</t>
        </is>
      </c>
      <c r="L432" s="30" t="inlineStr">
        <is>
          <t>25/03/2026</t>
        </is>
      </c>
      <c r="M432" s="30" t="inlineStr">
        <is>
          <t>MANISH KATARIA, VICE CONSUL</t>
        </is>
      </c>
      <c r="N432" s="30" t="inlineStr">
        <is>
          <t>26/02/2026</t>
        </is>
      </c>
    </row>
    <row r="433">
      <c r="A433" s="4">
        <f>Sheet1!A433 &amp; "/" &amp; "2025"</f>
        <v/>
      </c>
      <c r="B433" s="5">
        <f>Sheet1!E433</f>
        <v/>
      </c>
      <c r="C433" s="6">
        <f>UPPER(Sheet1!B433)</f>
        <v/>
      </c>
      <c r="D433" s="7">
        <f>IF(Sheet1!F433="F","FEMALE","MALE")</f>
        <v/>
      </c>
      <c r="E433" s="6">
        <f>UPPER(Sheet1!G433)</f>
        <v/>
      </c>
      <c r="F433" s="6">
        <f>UPPER(Sheet1!H433)</f>
        <v/>
      </c>
      <c r="G433" s="5">
        <f>TEXT(Sheet1!C433,"dd/mm/yyyy") &amp; "," &amp; Sheet1!D433</f>
        <v/>
      </c>
      <c r="H433" s="38">
        <f>UPPER(Sheet1!J433 &amp; "," &amp; Sheet1!K433 &amp; "," &amp; Sheet1!L433)</f>
        <v/>
      </c>
      <c r="I433" s="45">
        <f>Sheet1!I433</f>
        <v/>
      </c>
      <c r="J433" s="5">
        <f>Sheet1!M433 &amp; "," &amp; TEXT(Sheet1!N433,"dd/mm/yy")</f>
        <v/>
      </c>
      <c r="K433" s="5" t="inlineStr">
        <is>
          <t>PRINTED</t>
        </is>
      </c>
      <c r="L433" s="30" t="inlineStr">
        <is>
          <t>25/03/2026</t>
        </is>
      </c>
      <c r="M433" s="30" t="inlineStr">
        <is>
          <t>MANISH KATARIA, VICE CONSUL</t>
        </is>
      </c>
      <c r="N433" s="30" t="inlineStr">
        <is>
          <t>26/02/2026</t>
        </is>
      </c>
    </row>
    <row r="434">
      <c r="A434" s="4">
        <f>Sheet1!A434 &amp; "/" &amp; "2025"</f>
        <v/>
      </c>
      <c r="B434" s="5">
        <f>Sheet1!E434</f>
        <v/>
      </c>
      <c r="C434" s="6">
        <f>UPPER(Sheet1!B434)</f>
        <v/>
      </c>
      <c r="D434" s="7">
        <f>IF(Sheet1!F434="F","FEMALE","MALE")</f>
        <v/>
      </c>
      <c r="E434" s="6">
        <f>UPPER(Sheet1!G434)</f>
        <v/>
      </c>
      <c r="F434" s="6">
        <f>UPPER(Sheet1!H434)</f>
        <v/>
      </c>
      <c r="G434" s="5">
        <f>TEXT(Sheet1!C434,"dd/mm/yyyy") &amp; "," &amp; Sheet1!D434</f>
        <v/>
      </c>
      <c r="H434" s="38">
        <f>UPPER(Sheet1!J434 &amp; "," &amp; Sheet1!K434 &amp; "," &amp; Sheet1!L434)</f>
        <v/>
      </c>
      <c r="I434" s="45">
        <f>Sheet1!I434</f>
        <v/>
      </c>
      <c r="J434" s="5">
        <f>Sheet1!M434 &amp; "," &amp; TEXT(Sheet1!N434,"dd/mm/yy")</f>
        <v/>
      </c>
      <c r="K434" s="5" t="inlineStr">
        <is>
          <t>PRINTED</t>
        </is>
      </c>
      <c r="L434" s="30" t="inlineStr">
        <is>
          <t>25/03/2026</t>
        </is>
      </c>
      <c r="M434" s="30" t="inlineStr">
        <is>
          <t>MANISH KATARIA, VICE CONSUL</t>
        </is>
      </c>
      <c r="N434" s="30" t="inlineStr">
        <is>
          <t>26/02/2026</t>
        </is>
      </c>
    </row>
    <row r="435">
      <c r="A435" s="4">
        <f>Sheet1!A435 &amp; "/" &amp; "2025"</f>
        <v/>
      </c>
      <c r="B435" s="5">
        <f>Sheet1!E435</f>
        <v/>
      </c>
      <c r="C435" s="6">
        <f>UPPER(Sheet1!B435)</f>
        <v/>
      </c>
      <c r="D435" s="7">
        <f>IF(Sheet1!F435="F","FEMALE","MALE")</f>
        <v/>
      </c>
      <c r="E435" s="6">
        <f>UPPER(Sheet1!G435)</f>
        <v/>
      </c>
      <c r="F435" s="6">
        <f>UPPER(Sheet1!H435)</f>
        <v/>
      </c>
      <c r="G435" s="5">
        <f>TEXT(Sheet1!C435,"dd/mm/yyyy") &amp; "," &amp; Sheet1!D435</f>
        <v/>
      </c>
      <c r="H435" s="38">
        <f>UPPER(Sheet1!J435 &amp; "," &amp; Sheet1!K435 &amp; "," &amp; Sheet1!L435)</f>
        <v/>
      </c>
      <c r="I435" s="45">
        <f>Sheet1!I435</f>
        <v/>
      </c>
      <c r="J435" s="5">
        <f>Sheet1!M435 &amp; "," &amp; TEXT(Sheet1!N435,"dd/mm/yy")</f>
        <v/>
      </c>
      <c r="K435" s="5" t="inlineStr">
        <is>
          <t>PRINTED</t>
        </is>
      </c>
      <c r="L435" s="30" t="inlineStr">
        <is>
          <t>25/03/2026</t>
        </is>
      </c>
      <c r="M435" s="30" t="inlineStr">
        <is>
          <t>MANISH KATARIA, VICE CONSUL</t>
        </is>
      </c>
      <c r="N435" s="30" t="inlineStr">
        <is>
          <t>26/02/2026</t>
        </is>
      </c>
    </row>
    <row r="436">
      <c r="A436" s="4">
        <f>Sheet1!A436 &amp; "/" &amp; "2025"</f>
        <v/>
      </c>
      <c r="B436" s="5">
        <f>Sheet1!E436</f>
        <v/>
      </c>
      <c r="C436" s="6">
        <f>UPPER(Sheet1!B436)</f>
        <v/>
      </c>
      <c r="D436" s="7">
        <f>IF(Sheet1!F436="F","FEMALE","MALE")</f>
        <v/>
      </c>
      <c r="E436" s="6">
        <f>UPPER(Sheet1!G436)</f>
        <v/>
      </c>
      <c r="F436" s="6">
        <f>UPPER(Sheet1!H436)</f>
        <v/>
      </c>
      <c r="G436" s="5">
        <f>TEXT(Sheet1!C436,"dd/mm/yyyy") &amp; "," &amp; Sheet1!D436</f>
        <v/>
      </c>
      <c r="H436" s="38">
        <f>UPPER(Sheet1!J436 &amp; "," &amp; Sheet1!K436 &amp; "," &amp; Sheet1!L436)</f>
        <v/>
      </c>
      <c r="I436" s="45">
        <f>Sheet1!I436</f>
        <v/>
      </c>
      <c r="J436" s="5">
        <f>Sheet1!M436 &amp; "," &amp; TEXT(Sheet1!N436,"dd/mm/yy")</f>
        <v/>
      </c>
      <c r="K436" s="5" t="inlineStr">
        <is>
          <t>PRINTED</t>
        </is>
      </c>
      <c r="L436" s="30" t="inlineStr">
        <is>
          <t>25/03/2026</t>
        </is>
      </c>
      <c r="M436" s="30" t="inlineStr">
        <is>
          <t>MANISH KATARIA, VICE CONSUL</t>
        </is>
      </c>
      <c r="N436" s="30" t="inlineStr">
        <is>
          <t>26/02/2026</t>
        </is>
      </c>
    </row>
    <row r="437">
      <c r="A437" s="4">
        <f>Sheet1!A437 &amp; "/" &amp; "2025"</f>
        <v/>
      </c>
      <c r="B437" s="5">
        <f>Sheet1!E437</f>
        <v/>
      </c>
      <c r="C437" s="6">
        <f>UPPER(Sheet1!B437)</f>
        <v/>
      </c>
      <c r="D437" s="7">
        <f>IF(Sheet1!F437="F","FEMALE","MALE")</f>
        <v/>
      </c>
      <c r="E437" s="6">
        <f>UPPER(Sheet1!G437)</f>
        <v/>
      </c>
      <c r="F437" s="6">
        <f>UPPER(Sheet1!H437)</f>
        <v/>
      </c>
      <c r="G437" s="5">
        <f>TEXT(Sheet1!C437,"dd/mm/yyyy") &amp; "," &amp; Sheet1!D437</f>
        <v/>
      </c>
      <c r="H437" s="38">
        <f>UPPER(Sheet1!J437 &amp; "," &amp; Sheet1!K437 &amp; "," &amp; Sheet1!L437)</f>
        <v/>
      </c>
      <c r="I437" s="45">
        <f>Sheet1!I437</f>
        <v/>
      </c>
      <c r="J437" s="5">
        <f>Sheet1!M437 &amp; "," &amp; TEXT(Sheet1!N437,"dd/mm/yy")</f>
        <v/>
      </c>
      <c r="K437" s="5" t="inlineStr">
        <is>
          <t>PRINTED</t>
        </is>
      </c>
      <c r="L437" s="30" t="inlineStr">
        <is>
          <t>25/03/2026</t>
        </is>
      </c>
      <c r="M437" s="30" t="inlineStr">
        <is>
          <t>MANISH KATARIA, VICE CONSUL</t>
        </is>
      </c>
      <c r="N437" s="30" t="inlineStr">
        <is>
          <t>26/02/2026</t>
        </is>
      </c>
    </row>
    <row r="438">
      <c r="A438" s="4">
        <f>Sheet1!A438 &amp; "/" &amp; "2025"</f>
        <v/>
      </c>
      <c r="B438" s="5">
        <f>Sheet1!E438</f>
        <v/>
      </c>
      <c r="C438" s="6">
        <f>UPPER(Sheet1!B438)</f>
        <v/>
      </c>
      <c r="D438" s="7">
        <f>IF(Sheet1!F438="F","FEMALE","MALE")</f>
        <v/>
      </c>
      <c r="E438" s="6">
        <f>UPPER(Sheet1!G438)</f>
        <v/>
      </c>
      <c r="F438" s="6">
        <f>UPPER(Sheet1!H438)</f>
        <v/>
      </c>
      <c r="G438" s="5">
        <f>TEXT(Sheet1!C438,"dd/mm/yyyy") &amp; "," &amp; Sheet1!D438</f>
        <v/>
      </c>
      <c r="H438" s="38">
        <f>UPPER(Sheet1!J438 &amp; "," &amp; Sheet1!K438 &amp; "," &amp; Sheet1!L438)</f>
        <v/>
      </c>
      <c r="I438" s="45">
        <f>Sheet1!I438</f>
        <v/>
      </c>
      <c r="J438" s="5">
        <f>Sheet1!M438 &amp; "," &amp; TEXT(Sheet1!N438,"dd/mm/yy")</f>
        <v/>
      </c>
      <c r="K438" s="5" t="inlineStr">
        <is>
          <t>PRINTED</t>
        </is>
      </c>
      <c r="L438" s="30" t="inlineStr">
        <is>
          <t>25/03/2026</t>
        </is>
      </c>
      <c r="M438" s="30" t="inlineStr">
        <is>
          <t>MANISH KATARIA, VICE CONSUL</t>
        </is>
      </c>
      <c r="N438" s="30" t="inlineStr">
        <is>
          <t>26/02/2026</t>
        </is>
      </c>
    </row>
    <row r="439">
      <c r="A439" s="4">
        <f>Sheet1!A439 &amp; "/" &amp; "2025"</f>
        <v/>
      </c>
      <c r="B439" s="5">
        <f>Sheet1!E439</f>
        <v/>
      </c>
      <c r="C439" s="6">
        <f>UPPER(Sheet1!B439)</f>
        <v/>
      </c>
      <c r="D439" s="7">
        <f>IF(Sheet1!F439="F","FEMALE","MALE")</f>
        <v/>
      </c>
      <c r="E439" s="6">
        <f>UPPER(Sheet1!G439)</f>
        <v/>
      </c>
      <c r="F439" s="6">
        <f>UPPER(Sheet1!H439)</f>
        <v/>
      </c>
      <c r="G439" s="5">
        <f>TEXT(Sheet1!C439,"dd/mm/yyyy") &amp; "," &amp; Sheet1!D439</f>
        <v/>
      </c>
      <c r="H439" s="38">
        <f>UPPER(Sheet1!J439 &amp; "," &amp; Sheet1!K439 &amp; "," &amp; Sheet1!L439)</f>
        <v/>
      </c>
      <c r="I439" s="45">
        <f>Sheet1!I439</f>
        <v/>
      </c>
      <c r="J439" s="5">
        <f>Sheet1!M439 &amp; "," &amp; TEXT(Sheet1!N439,"dd/mm/yy")</f>
        <v/>
      </c>
      <c r="K439" s="5" t="inlineStr">
        <is>
          <t>PRINTED</t>
        </is>
      </c>
      <c r="L439" s="30" t="inlineStr">
        <is>
          <t>25/03/2026</t>
        </is>
      </c>
      <c r="M439" s="30" t="inlineStr">
        <is>
          <t>MANISH KATARIA, VICE CONSUL</t>
        </is>
      </c>
      <c r="N439" s="30" t="inlineStr">
        <is>
          <t>26/02/2026</t>
        </is>
      </c>
    </row>
    <row r="440">
      <c r="A440" s="4">
        <f>Sheet1!A440 &amp; "/" &amp; "2025"</f>
        <v/>
      </c>
      <c r="B440" s="5">
        <f>Sheet1!E440</f>
        <v/>
      </c>
      <c r="C440" s="6">
        <f>UPPER(Sheet1!B440)</f>
        <v/>
      </c>
      <c r="D440" s="7">
        <f>IF(Sheet1!F440="F","FEMALE","MALE")</f>
        <v/>
      </c>
      <c r="E440" s="6">
        <f>UPPER(Sheet1!G440)</f>
        <v/>
      </c>
      <c r="F440" s="6">
        <f>UPPER(Sheet1!H440)</f>
        <v/>
      </c>
      <c r="G440" s="5">
        <f>TEXT(Sheet1!C440,"dd/mm/yyyy") &amp; "," &amp; Sheet1!D440</f>
        <v/>
      </c>
      <c r="H440" s="38">
        <f>UPPER(Sheet1!J440 &amp; "," &amp; Sheet1!K440 &amp; "," &amp; Sheet1!L440)</f>
        <v/>
      </c>
      <c r="I440" s="45">
        <f>Sheet1!I440</f>
        <v/>
      </c>
      <c r="J440" s="5">
        <f>Sheet1!M440 &amp; "," &amp; TEXT(Sheet1!N440,"dd/mm/yy")</f>
        <v/>
      </c>
      <c r="K440" s="5" t="inlineStr">
        <is>
          <t>PRINTED</t>
        </is>
      </c>
      <c r="L440" s="30" t="inlineStr">
        <is>
          <t>25/03/2026</t>
        </is>
      </c>
      <c r="M440" s="30" t="inlineStr">
        <is>
          <t>MANISH KATARIA, VICE CONSUL</t>
        </is>
      </c>
      <c r="N440" s="30" t="inlineStr">
        <is>
          <t>26/02/2026</t>
        </is>
      </c>
    </row>
    <row r="441">
      <c r="A441" s="4">
        <f>Sheet1!A441 &amp; "/" &amp; "2025"</f>
        <v/>
      </c>
      <c r="B441" s="5">
        <f>Sheet1!E441</f>
        <v/>
      </c>
      <c r="C441" s="6">
        <f>UPPER(Sheet1!B441)</f>
        <v/>
      </c>
      <c r="D441" s="7">
        <f>IF(Sheet1!F441="F","FEMALE","MALE")</f>
        <v/>
      </c>
      <c r="E441" s="6">
        <f>UPPER(Sheet1!G441)</f>
        <v/>
      </c>
      <c r="F441" s="6">
        <f>UPPER(Sheet1!H441)</f>
        <v/>
      </c>
      <c r="G441" s="5">
        <f>TEXT(Sheet1!C441,"dd/mm/yyyy") &amp; "," &amp; Sheet1!D441</f>
        <v/>
      </c>
      <c r="H441" s="38">
        <f>UPPER(Sheet1!J441 &amp; "," &amp; Sheet1!K441 &amp; "," &amp; Sheet1!L441)</f>
        <v/>
      </c>
      <c r="I441" s="45">
        <f>Sheet1!I441</f>
        <v/>
      </c>
      <c r="J441" s="5">
        <f>Sheet1!M441 &amp; "," &amp; TEXT(Sheet1!N441,"dd/mm/yy")</f>
        <v/>
      </c>
      <c r="K441" s="5" t="inlineStr">
        <is>
          <t>PRINTED</t>
        </is>
      </c>
      <c r="L441" s="30" t="inlineStr">
        <is>
          <t>25/03/2026</t>
        </is>
      </c>
      <c r="M441" s="30" t="inlineStr">
        <is>
          <t>MANISH KATARIA, VICE CONSUL</t>
        </is>
      </c>
      <c r="N441" s="30" t="inlineStr">
        <is>
          <t>26/02/2026</t>
        </is>
      </c>
    </row>
    <row r="442">
      <c r="A442" s="4">
        <f>Sheet1!A442 &amp; "/" &amp; "2025"</f>
        <v/>
      </c>
      <c r="B442" s="5">
        <f>Sheet1!E442</f>
        <v/>
      </c>
      <c r="C442" s="6">
        <f>UPPER(Sheet1!B442)</f>
        <v/>
      </c>
      <c r="D442" s="7">
        <f>IF(Sheet1!F442="F","FEMALE","MALE")</f>
        <v/>
      </c>
      <c r="E442" s="6">
        <f>UPPER(Sheet1!G442)</f>
        <v/>
      </c>
      <c r="F442" s="6">
        <f>UPPER(Sheet1!H442)</f>
        <v/>
      </c>
      <c r="G442" s="5">
        <f>TEXT(Sheet1!C442,"dd/mm/yyyy") &amp; "," &amp; Sheet1!D442</f>
        <v/>
      </c>
      <c r="H442" s="38">
        <f>UPPER(Sheet1!J442 &amp; "," &amp; Sheet1!K442 &amp; "," &amp; Sheet1!L442)</f>
        <v/>
      </c>
      <c r="I442" s="45">
        <f>Sheet1!I442</f>
        <v/>
      </c>
      <c r="J442" s="5">
        <f>Sheet1!M442 &amp; "," &amp; TEXT(Sheet1!N442,"dd/mm/yy")</f>
        <v/>
      </c>
      <c r="K442" s="5" t="inlineStr">
        <is>
          <t>PRINTED</t>
        </is>
      </c>
      <c r="L442" s="30" t="inlineStr">
        <is>
          <t>25/03/2026</t>
        </is>
      </c>
      <c r="M442" s="30" t="inlineStr">
        <is>
          <t>MANISH KATARIA, VICE CONSUL</t>
        </is>
      </c>
      <c r="N442" s="30" t="inlineStr">
        <is>
          <t>26/02/2026</t>
        </is>
      </c>
    </row>
    <row r="443">
      <c r="A443" s="4">
        <f>Sheet1!A443 &amp; "/" &amp; "2025"</f>
        <v/>
      </c>
      <c r="B443" s="5">
        <f>Sheet1!E443</f>
        <v/>
      </c>
      <c r="C443" s="6">
        <f>UPPER(Sheet1!B443)</f>
        <v/>
      </c>
      <c r="D443" s="7">
        <f>IF(Sheet1!F443="F","FEMALE","MALE")</f>
        <v/>
      </c>
      <c r="E443" s="6">
        <f>UPPER(Sheet1!G443)</f>
        <v/>
      </c>
      <c r="F443" s="6">
        <f>UPPER(Sheet1!H443)</f>
        <v/>
      </c>
      <c r="G443" s="5">
        <f>TEXT(Sheet1!C443,"dd/mm/yyyy") &amp; "," &amp; Sheet1!D443</f>
        <v/>
      </c>
      <c r="H443" s="38">
        <f>UPPER(Sheet1!J443 &amp; "," &amp; Sheet1!K443 &amp; "," &amp; Sheet1!L443)</f>
        <v/>
      </c>
      <c r="I443" s="45">
        <f>Sheet1!I443</f>
        <v/>
      </c>
      <c r="J443" s="5">
        <f>Sheet1!M443 &amp; "," &amp; TEXT(Sheet1!N443,"dd/mm/yy")</f>
        <v/>
      </c>
      <c r="K443" s="5" t="inlineStr">
        <is>
          <t>PRINTED</t>
        </is>
      </c>
      <c r="L443" s="30" t="inlineStr">
        <is>
          <t>25/03/2026</t>
        </is>
      </c>
      <c r="M443" s="30" t="inlineStr">
        <is>
          <t>MANISH KATARIA, VICE CONSUL</t>
        </is>
      </c>
      <c r="N443" s="30" t="inlineStr">
        <is>
          <t>26/02/2026</t>
        </is>
      </c>
    </row>
    <row r="444">
      <c r="A444" s="4">
        <f>Sheet1!A444 &amp; "/" &amp; "2025"</f>
        <v/>
      </c>
      <c r="B444" s="5">
        <f>Sheet1!E444</f>
        <v/>
      </c>
      <c r="C444" s="6">
        <f>UPPER(Sheet1!B444)</f>
        <v/>
      </c>
      <c r="D444" s="7">
        <f>IF(Sheet1!F444="F","FEMALE","MALE")</f>
        <v/>
      </c>
      <c r="E444" s="6">
        <f>UPPER(Sheet1!G444)</f>
        <v/>
      </c>
      <c r="F444" s="6">
        <f>UPPER(Sheet1!H444)</f>
        <v/>
      </c>
      <c r="G444" s="5">
        <f>TEXT(Sheet1!C444,"dd/mm/yyyy") &amp; "," &amp; Sheet1!D444</f>
        <v/>
      </c>
      <c r="H444" s="38">
        <f>UPPER(Sheet1!J444 &amp; "," &amp; Sheet1!K444 &amp; "," &amp; Sheet1!L444)</f>
        <v/>
      </c>
      <c r="I444" s="45">
        <f>Sheet1!I444</f>
        <v/>
      </c>
      <c r="J444" s="5">
        <f>Sheet1!M444 &amp; "," &amp; TEXT(Sheet1!N444,"dd/mm/yy")</f>
        <v/>
      </c>
      <c r="K444" s="5" t="inlineStr">
        <is>
          <t>PRINTED</t>
        </is>
      </c>
      <c r="L444" s="30" t="inlineStr">
        <is>
          <t>25/03/2026</t>
        </is>
      </c>
      <c r="M444" s="30" t="inlineStr">
        <is>
          <t>MANISH KATARIA, VICE CONSUL</t>
        </is>
      </c>
      <c r="N444" s="30" t="inlineStr">
        <is>
          <t>26/02/2026</t>
        </is>
      </c>
    </row>
    <row r="445">
      <c r="A445" s="4">
        <f>Sheet1!A445 &amp; "/" &amp; "2025"</f>
        <v/>
      </c>
      <c r="B445" s="5">
        <f>Sheet1!E445</f>
        <v/>
      </c>
      <c r="C445" s="6">
        <f>UPPER(Sheet1!B445)</f>
        <v/>
      </c>
      <c r="D445" s="7">
        <f>IF(Sheet1!F445="F","FEMALE","MALE")</f>
        <v/>
      </c>
      <c r="E445" s="6">
        <f>UPPER(Sheet1!G445)</f>
        <v/>
      </c>
      <c r="F445" s="6">
        <f>UPPER(Sheet1!H445)</f>
        <v/>
      </c>
      <c r="G445" s="5">
        <f>TEXT(Sheet1!C445,"dd/mm/yyyy") &amp; "," &amp; Sheet1!D445</f>
        <v/>
      </c>
      <c r="H445" s="38">
        <f>UPPER(Sheet1!J445 &amp; "," &amp; Sheet1!K445 &amp; "," &amp; Sheet1!L445)</f>
        <v/>
      </c>
      <c r="I445" s="45">
        <f>Sheet1!I445</f>
        <v/>
      </c>
      <c r="J445" s="5">
        <f>Sheet1!M445 &amp; "," &amp; TEXT(Sheet1!N445,"dd/mm/yy")</f>
        <v/>
      </c>
      <c r="K445" s="5" t="inlineStr">
        <is>
          <t>PRINTED</t>
        </is>
      </c>
      <c r="L445" s="30" t="inlineStr">
        <is>
          <t>25/03/2026</t>
        </is>
      </c>
      <c r="M445" s="30" t="inlineStr">
        <is>
          <t>MANISH KATARIA, VICE CONSUL</t>
        </is>
      </c>
      <c r="N445" s="30" t="inlineStr">
        <is>
          <t>26/02/2026</t>
        </is>
      </c>
    </row>
    <row r="446">
      <c r="A446" s="4">
        <f>Sheet1!A446 &amp; "/" &amp; "2025"</f>
        <v/>
      </c>
      <c r="B446" s="5">
        <f>Sheet1!E446</f>
        <v/>
      </c>
      <c r="C446" s="6">
        <f>UPPER(Sheet1!B446)</f>
        <v/>
      </c>
      <c r="D446" s="7">
        <f>IF(Sheet1!F446="F","FEMALE","MALE")</f>
        <v/>
      </c>
      <c r="E446" s="6">
        <f>UPPER(Sheet1!G446)</f>
        <v/>
      </c>
      <c r="F446" s="6">
        <f>UPPER(Sheet1!H446)</f>
        <v/>
      </c>
      <c r="G446" s="5">
        <f>TEXT(Sheet1!C446,"dd/mm/yyyy") &amp; "," &amp; Sheet1!D446</f>
        <v/>
      </c>
      <c r="H446" s="38">
        <f>UPPER(Sheet1!J446 &amp; "," &amp; Sheet1!K446 &amp; "," &amp; Sheet1!L446)</f>
        <v/>
      </c>
      <c r="I446" s="45">
        <f>Sheet1!I446</f>
        <v/>
      </c>
      <c r="J446" s="5">
        <f>Sheet1!M446 &amp; "," &amp; TEXT(Sheet1!N446,"dd/mm/yy")</f>
        <v/>
      </c>
      <c r="K446" s="5" t="inlineStr">
        <is>
          <t>PRINTED</t>
        </is>
      </c>
      <c r="L446" s="30" t="inlineStr">
        <is>
          <t>25/03/2026</t>
        </is>
      </c>
      <c r="M446" s="30" t="inlineStr">
        <is>
          <t>MANISH KATARIA, VICE CONSUL</t>
        </is>
      </c>
      <c r="N446" s="30" t="inlineStr">
        <is>
          <t>26/02/2026</t>
        </is>
      </c>
    </row>
    <row r="447">
      <c r="A447" s="4">
        <f>Sheet1!A447 &amp; "/" &amp; "2025"</f>
        <v/>
      </c>
      <c r="B447" s="5">
        <f>Sheet1!E447</f>
        <v/>
      </c>
      <c r="C447" s="6">
        <f>UPPER(Sheet1!B447)</f>
        <v/>
      </c>
      <c r="D447" s="7">
        <f>IF(Sheet1!F447="F","FEMALE","MALE")</f>
        <v/>
      </c>
      <c r="E447" s="6">
        <f>UPPER(Sheet1!G447)</f>
        <v/>
      </c>
      <c r="F447" s="6">
        <f>UPPER(Sheet1!H447)</f>
        <v/>
      </c>
      <c r="G447" s="5">
        <f>TEXT(Sheet1!C447,"dd/mm/yyyy") &amp; "," &amp; Sheet1!D447</f>
        <v/>
      </c>
      <c r="H447" s="38">
        <f>UPPER(Sheet1!J447 &amp; "," &amp; Sheet1!K447 &amp; "," &amp; Sheet1!L447)</f>
        <v/>
      </c>
      <c r="I447" s="45">
        <f>Sheet1!I447</f>
        <v/>
      </c>
      <c r="J447" s="5">
        <f>Sheet1!M447 &amp; "," &amp; TEXT(Sheet1!N447,"dd/mm/yy")</f>
        <v/>
      </c>
      <c r="K447" s="5" t="inlineStr">
        <is>
          <t>PRINTED</t>
        </is>
      </c>
      <c r="L447" s="30" t="inlineStr">
        <is>
          <t>25/03/2026</t>
        </is>
      </c>
      <c r="M447" s="30" t="inlineStr">
        <is>
          <t>MANISH KATARIA, VICE CONSUL</t>
        </is>
      </c>
      <c r="N447" s="30" t="inlineStr">
        <is>
          <t>26/02/2026</t>
        </is>
      </c>
    </row>
    <row r="448">
      <c r="A448" s="4">
        <f>Sheet1!A448 &amp; "/" &amp; "2025"</f>
        <v/>
      </c>
      <c r="B448" s="5">
        <f>Sheet1!E448</f>
        <v/>
      </c>
      <c r="C448" s="6">
        <f>UPPER(Sheet1!B448)</f>
        <v/>
      </c>
      <c r="D448" s="7">
        <f>IF(Sheet1!F448="F","FEMALE","MALE")</f>
        <v/>
      </c>
      <c r="E448" s="6">
        <f>UPPER(Sheet1!G448)</f>
        <v/>
      </c>
      <c r="F448" s="6">
        <f>UPPER(Sheet1!H448)</f>
        <v/>
      </c>
      <c r="G448" s="5">
        <f>TEXT(Sheet1!C448,"dd/mm/yyyy") &amp; "," &amp; Sheet1!D448</f>
        <v/>
      </c>
      <c r="H448" s="38">
        <f>UPPER(Sheet1!J448 &amp; "," &amp; Sheet1!K448 &amp; "," &amp; Sheet1!L448)</f>
        <v/>
      </c>
      <c r="I448" s="45">
        <f>Sheet1!I448</f>
        <v/>
      </c>
      <c r="J448" s="5">
        <f>Sheet1!M448 &amp; "," &amp; TEXT(Sheet1!N448,"dd/mm/yy")</f>
        <v/>
      </c>
      <c r="K448" s="5" t="inlineStr">
        <is>
          <t>PRINTED</t>
        </is>
      </c>
      <c r="L448" s="30" t="inlineStr">
        <is>
          <t>25/03/2026</t>
        </is>
      </c>
      <c r="M448" s="30" t="inlineStr">
        <is>
          <t>MANISH KATARIA, VICE CONSUL</t>
        </is>
      </c>
      <c r="N448" s="30" t="inlineStr">
        <is>
          <t>26/02/2026</t>
        </is>
      </c>
    </row>
    <row r="449">
      <c r="A449" s="4">
        <f>Sheet1!A449 &amp; "/" &amp; "2025"</f>
        <v/>
      </c>
      <c r="B449" s="5">
        <f>Sheet1!E449</f>
        <v/>
      </c>
      <c r="C449" s="6">
        <f>UPPER(Sheet1!B449)</f>
        <v/>
      </c>
      <c r="D449" s="7">
        <f>IF(Sheet1!F449="F","FEMALE","MALE")</f>
        <v/>
      </c>
      <c r="E449" s="6">
        <f>UPPER(Sheet1!G449)</f>
        <v/>
      </c>
      <c r="F449" s="6">
        <f>UPPER(Sheet1!H449)</f>
        <v/>
      </c>
      <c r="G449" s="5">
        <f>TEXT(Sheet1!C449,"dd/mm/yyyy") &amp; "," &amp; Sheet1!D449</f>
        <v/>
      </c>
      <c r="H449" s="38">
        <f>UPPER(Sheet1!J449 &amp; "," &amp; Sheet1!K449 &amp; "," &amp; Sheet1!L449)</f>
        <v/>
      </c>
      <c r="I449" s="45">
        <f>Sheet1!I449</f>
        <v/>
      </c>
      <c r="J449" s="5">
        <f>Sheet1!M449 &amp; "," &amp; TEXT(Sheet1!N449,"dd/mm/yy")</f>
        <v/>
      </c>
      <c r="K449" s="5" t="inlineStr">
        <is>
          <t>PRINTED</t>
        </is>
      </c>
      <c r="L449" s="30" t="inlineStr">
        <is>
          <t>25/03/2026</t>
        </is>
      </c>
      <c r="M449" s="30" t="inlineStr">
        <is>
          <t>MANISH KATARIA, VICE CONSUL</t>
        </is>
      </c>
      <c r="N449" s="30" t="inlineStr">
        <is>
          <t>26/02/2026</t>
        </is>
      </c>
    </row>
    <row r="450">
      <c r="A450" s="4">
        <f>Sheet1!A450 &amp; "/" &amp; "2025"</f>
        <v/>
      </c>
      <c r="B450" s="5">
        <f>Sheet1!E450</f>
        <v/>
      </c>
      <c r="C450" s="6">
        <f>UPPER(Sheet1!B450)</f>
        <v/>
      </c>
      <c r="D450" s="7">
        <f>IF(Sheet1!F450="F","FEMALE","MALE")</f>
        <v/>
      </c>
      <c r="E450" s="6">
        <f>UPPER(Sheet1!G450)</f>
        <v/>
      </c>
      <c r="F450" s="6">
        <f>UPPER(Sheet1!H450)</f>
        <v/>
      </c>
      <c r="G450" s="5">
        <f>TEXT(Sheet1!C450,"dd/mm/yyyy") &amp; "," &amp; Sheet1!D450</f>
        <v/>
      </c>
      <c r="H450" s="38">
        <f>UPPER(Sheet1!J450 &amp; "," &amp; Sheet1!K450 &amp; "," &amp; Sheet1!L450)</f>
        <v/>
      </c>
      <c r="I450" s="45">
        <f>Sheet1!I450</f>
        <v/>
      </c>
      <c r="J450" s="5">
        <f>Sheet1!M450 &amp; "," &amp; TEXT(Sheet1!N450,"dd/mm/yy")</f>
        <v/>
      </c>
      <c r="K450" s="5" t="inlineStr">
        <is>
          <t>PRINTED</t>
        </is>
      </c>
      <c r="L450" s="30" t="inlineStr">
        <is>
          <t>25/03/2026</t>
        </is>
      </c>
      <c r="M450" s="30" t="inlineStr">
        <is>
          <t>MANISH KATARIA, VICE CONSUL</t>
        </is>
      </c>
      <c r="N450" s="30" t="inlineStr">
        <is>
          <t>26/02/2026</t>
        </is>
      </c>
    </row>
    <row r="451">
      <c r="A451" s="4">
        <f>Sheet1!A451 &amp; "/" &amp; "2025"</f>
        <v/>
      </c>
      <c r="B451" s="5">
        <f>Sheet1!E451</f>
        <v/>
      </c>
      <c r="C451" s="6">
        <f>UPPER(Sheet1!B451)</f>
        <v/>
      </c>
      <c r="D451" s="7">
        <f>IF(Sheet1!F451="F","FEMALE","MALE")</f>
        <v/>
      </c>
      <c r="E451" s="6">
        <f>UPPER(Sheet1!G451)</f>
        <v/>
      </c>
      <c r="F451" s="6">
        <f>UPPER(Sheet1!H451)</f>
        <v/>
      </c>
      <c r="G451" s="5">
        <f>TEXT(Sheet1!C451,"dd/mm/yyyy") &amp; "," &amp; Sheet1!D451</f>
        <v/>
      </c>
      <c r="H451" s="38">
        <f>UPPER(Sheet1!J451 &amp; "," &amp; Sheet1!K451 &amp; "," &amp; Sheet1!L451)</f>
        <v/>
      </c>
      <c r="I451" s="45">
        <f>Sheet1!I451</f>
        <v/>
      </c>
      <c r="J451" s="5">
        <f>Sheet1!M451 &amp; "," &amp; TEXT(Sheet1!N451,"dd/mm/yy")</f>
        <v/>
      </c>
      <c r="K451" s="5" t="inlineStr">
        <is>
          <t>PRINTED</t>
        </is>
      </c>
      <c r="L451" s="30" t="inlineStr">
        <is>
          <t>25/03/2026</t>
        </is>
      </c>
      <c r="M451" s="30" t="inlineStr">
        <is>
          <t>MANISH KATARIA, VICE CONSUL</t>
        </is>
      </c>
      <c r="N451" s="30" t="inlineStr">
        <is>
          <t>26/02/2026</t>
        </is>
      </c>
    </row>
    <row r="452">
      <c r="A452" s="4">
        <f>Sheet1!A452 &amp; "/" &amp; "2025"</f>
        <v/>
      </c>
      <c r="B452" s="5">
        <f>Sheet1!E452</f>
        <v/>
      </c>
      <c r="C452" s="6">
        <f>UPPER(Sheet1!B452)</f>
        <v/>
      </c>
      <c r="D452" s="7">
        <f>IF(Sheet1!F452="F","FEMALE","MALE")</f>
        <v/>
      </c>
      <c r="E452" s="6">
        <f>UPPER(Sheet1!G452)</f>
        <v/>
      </c>
      <c r="F452" s="6">
        <f>UPPER(Sheet1!H452)</f>
        <v/>
      </c>
      <c r="G452" s="5">
        <f>TEXT(Sheet1!C452,"dd/mm/yyyy") &amp; "," &amp; Sheet1!D452</f>
        <v/>
      </c>
      <c r="H452" s="38">
        <f>UPPER(Sheet1!J452 &amp; "," &amp; Sheet1!K452 &amp; "," &amp; Sheet1!L452)</f>
        <v/>
      </c>
      <c r="I452" s="45">
        <f>Sheet1!I452</f>
        <v/>
      </c>
      <c r="J452" s="5">
        <f>Sheet1!M452 &amp; "," &amp; TEXT(Sheet1!N452,"dd/mm/yy")</f>
        <v/>
      </c>
      <c r="K452" s="5" t="inlineStr">
        <is>
          <t>PRINTED</t>
        </is>
      </c>
      <c r="L452" s="30" t="inlineStr">
        <is>
          <t>25/03/2026</t>
        </is>
      </c>
      <c r="M452" s="30" t="inlineStr">
        <is>
          <t>MANISH KATARIA, VICE CONSUL</t>
        </is>
      </c>
      <c r="N452" s="30" t="inlineStr">
        <is>
          <t>26/02/2026</t>
        </is>
      </c>
    </row>
    <row r="453">
      <c r="A453" s="4">
        <f>Sheet1!A453 &amp; "/" &amp; "2025"</f>
        <v/>
      </c>
      <c r="B453" s="5">
        <f>Sheet1!E453</f>
        <v/>
      </c>
      <c r="C453" s="6">
        <f>UPPER(Sheet1!B453)</f>
        <v/>
      </c>
      <c r="D453" s="7">
        <f>IF(Sheet1!F453="F","FEMALE","MALE")</f>
        <v/>
      </c>
      <c r="E453" s="6">
        <f>UPPER(Sheet1!G453)</f>
        <v/>
      </c>
      <c r="F453" s="6">
        <f>UPPER(Sheet1!H453)</f>
        <v/>
      </c>
      <c r="G453" s="5">
        <f>TEXT(Sheet1!C453,"dd/mm/yyyy") &amp; "," &amp; Sheet1!D453</f>
        <v/>
      </c>
      <c r="H453" s="38">
        <f>UPPER(Sheet1!J453 &amp; "," &amp; Sheet1!K453 &amp; "," &amp; Sheet1!L453)</f>
        <v/>
      </c>
      <c r="I453" s="45">
        <f>Sheet1!I453</f>
        <v/>
      </c>
      <c r="J453" s="5">
        <f>Sheet1!M453 &amp; "," &amp; TEXT(Sheet1!N453,"dd/mm/yy")</f>
        <v/>
      </c>
      <c r="K453" s="5" t="inlineStr">
        <is>
          <t>PRINTED</t>
        </is>
      </c>
      <c r="L453" s="30" t="inlineStr">
        <is>
          <t>25/03/2026</t>
        </is>
      </c>
      <c r="M453" s="30" t="inlineStr">
        <is>
          <t>MANISH KATARIA, VICE CONSUL</t>
        </is>
      </c>
      <c r="N453" s="30" t="inlineStr">
        <is>
          <t>26/02/2026</t>
        </is>
      </c>
    </row>
    <row r="454">
      <c r="A454" s="4">
        <f>Sheet1!A454 &amp; "/" &amp; "2025"</f>
        <v/>
      </c>
      <c r="B454" s="5">
        <f>Sheet1!E454</f>
        <v/>
      </c>
      <c r="C454" s="6">
        <f>UPPER(Sheet1!B454)</f>
        <v/>
      </c>
      <c r="D454" s="7">
        <f>IF(Sheet1!F454="F","FEMALE","MALE")</f>
        <v/>
      </c>
      <c r="E454" s="6">
        <f>UPPER(Sheet1!G454)</f>
        <v/>
      </c>
      <c r="F454" s="6">
        <f>UPPER(Sheet1!H454)</f>
        <v/>
      </c>
      <c r="G454" s="5">
        <f>TEXT(Sheet1!C454,"dd/mm/yyyy") &amp; "," &amp; Sheet1!D454</f>
        <v/>
      </c>
      <c r="H454" s="38">
        <f>UPPER(Sheet1!J454 &amp; "," &amp; Sheet1!K454 &amp; "," &amp; Sheet1!L454)</f>
        <v/>
      </c>
      <c r="I454" s="45">
        <f>Sheet1!I454</f>
        <v/>
      </c>
      <c r="J454" s="5">
        <f>Sheet1!M454 &amp; "," &amp; TEXT(Sheet1!N454,"dd/mm/yy")</f>
        <v/>
      </c>
      <c r="K454" s="5" t="inlineStr">
        <is>
          <t>PRINTED</t>
        </is>
      </c>
      <c r="L454" s="30" t="inlineStr">
        <is>
          <t>25/03/2026</t>
        </is>
      </c>
      <c r="M454" s="30" t="inlineStr">
        <is>
          <t>TEJ KRISHAN, HOC AND CONSUL</t>
        </is>
      </c>
      <c r="N454" s="30" t="inlineStr">
        <is>
          <t>26/02/2026</t>
        </is>
      </c>
    </row>
    <row r="455">
      <c r="A455" s="4">
        <f>Sheet1!A455 &amp; "/" &amp; "2025"</f>
        <v/>
      </c>
      <c r="B455" s="5">
        <f>Sheet1!E455</f>
        <v/>
      </c>
      <c r="C455" s="6">
        <f>UPPER(Sheet1!B455)</f>
        <v/>
      </c>
      <c r="D455" s="7">
        <f>IF(Sheet1!F455="F","FEMALE","MALE")</f>
        <v/>
      </c>
      <c r="E455" s="6">
        <f>UPPER(Sheet1!G455)</f>
        <v/>
      </c>
      <c r="F455" s="6">
        <f>UPPER(Sheet1!H455)</f>
        <v/>
      </c>
      <c r="G455" s="5">
        <f>TEXT(Sheet1!C455,"dd/mm/yyyy") &amp; "," &amp; Sheet1!D455</f>
        <v/>
      </c>
      <c r="H455" s="38">
        <f>UPPER(Sheet1!J455 &amp; "," &amp; Sheet1!K455 &amp; "," &amp; Sheet1!L455)</f>
        <v/>
      </c>
      <c r="I455" s="45">
        <f>Sheet1!I455</f>
        <v/>
      </c>
      <c r="J455" s="5">
        <f>Sheet1!M455 &amp; "," &amp; TEXT(Sheet1!N455,"dd/mm/yy")</f>
        <v/>
      </c>
      <c r="K455" s="5" t="inlineStr">
        <is>
          <t>PRINTED</t>
        </is>
      </c>
      <c r="L455" s="30" t="inlineStr">
        <is>
          <t>25/03/2026</t>
        </is>
      </c>
      <c r="M455" s="30" t="inlineStr">
        <is>
          <t>MANISH KATARIA, VICE CONSUL</t>
        </is>
      </c>
      <c r="N455" s="30" t="inlineStr">
        <is>
          <t>26/02/2026</t>
        </is>
      </c>
    </row>
    <row r="456">
      <c r="A456" s="4">
        <f>Sheet1!A456 &amp; "/" &amp; "2025"</f>
        <v/>
      </c>
      <c r="B456" s="5">
        <f>Sheet1!E456</f>
        <v/>
      </c>
      <c r="C456" s="6">
        <f>UPPER(Sheet1!B456)</f>
        <v/>
      </c>
      <c r="D456" s="7">
        <f>IF(Sheet1!F456="F","FEMALE","MALE")</f>
        <v/>
      </c>
      <c r="E456" s="6">
        <f>UPPER(Sheet1!G456)</f>
        <v/>
      </c>
      <c r="F456" s="6">
        <f>UPPER(Sheet1!H456)</f>
        <v/>
      </c>
      <c r="G456" s="5">
        <f>TEXT(Sheet1!C456,"dd/mm/yyyy") &amp; "," &amp; Sheet1!D456</f>
        <v/>
      </c>
      <c r="H456" s="38">
        <f>UPPER(Sheet1!J456 &amp; "," &amp; Sheet1!K456 &amp; "," &amp; Sheet1!L456)</f>
        <v/>
      </c>
      <c r="I456" s="45">
        <f>Sheet1!I456</f>
        <v/>
      </c>
      <c r="J456" s="5">
        <f>Sheet1!M456 &amp; "," &amp; TEXT(Sheet1!N456,"dd/mm/yy")</f>
        <v/>
      </c>
      <c r="K456" s="5" t="inlineStr">
        <is>
          <t>PRINTED</t>
        </is>
      </c>
      <c r="L456" s="30" t="inlineStr">
        <is>
          <t>25/03/2026</t>
        </is>
      </c>
      <c r="M456" s="30" t="inlineStr">
        <is>
          <t>MANISH KATARIA, VICE CONSUL</t>
        </is>
      </c>
      <c r="N456" s="30" t="inlineStr">
        <is>
          <t>26/02/2026</t>
        </is>
      </c>
    </row>
    <row r="457">
      <c r="A457" s="4">
        <f>Sheet1!A457 &amp; "/" &amp; "2025"</f>
        <v/>
      </c>
      <c r="B457" s="5">
        <f>Sheet1!E457</f>
        <v/>
      </c>
      <c r="C457" s="6">
        <f>UPPER(Sheet1!B457)</f>
        <v/>
      </c>
      <c r="D457" s="7">
        <f>IF(Sheet1!F457="F","FEMALE","MALE")</f>
        <v/>
      </c>
      <c r="E457" s="6">
        <f>UPPER(Sheet1!G457)</f>
        <v/>
      </c>
      <c r="F457" s="6">
        <f>UPPER(Sheet1!H457)</f>
        <v/>
      </c>
      <c r="G457" s="5">
        <f>TEXT(Sheet1!C457,"dd/mm/yyyy") &amp; "," &amp; Sheet1!D457</f>
        <v/>
      </c>
      <c r="H457" s="38">
        <f>UPPER(Sheet1!J457 &amp; "," &amp; Sheet1!K457 &amp; "," &amp; Sheet1!L457)</f>
        <v/>
      </c>
      <c r="I457" s="45">
        <f>Sheet1!I457</f>
        <v/>
      </c>
      <c r="J457" s="5">
        <f>Sheet1!M457 &amp; "," &amp; TEXT(Sheet1!N457,"dd/mm/yy")</f>
        <v/>
      </c>
      <c r="K457" s="5" t="inlineStr">
        <is>
          <t>PRINTED</t>
        </is>
      </c>
      <c r="L457" s="30" t="inlineStr">
        <is>
          <t>25/03/2026</t>
        </is>
      </c>
      <c r="M457" s="30" t="inlineStr">
        <is>
          <t>MANISH KATARIA, VICE CONSUL</t>
        </is>
      </c>
      <c r="N457" s="30" t="inlineStr">
        <is>
          <t>26/02/2026</t>
        </is>
      </c>
    </row>
    <row r="458">
      <c r="A458" s="4">
        <f>Sheet1!A458 &amp; "/" &amp; "2025"</f>
        <v/>
      </c>
      <c r="B458" s="5">
        <f>Sheet1!E458</f>
        <v/>
      </c>
      <c r="C458" s="6">
        <f>UPPER(Sheet1!B458)</f>
        <v/>
      </c>
      <c r="D458" s="7">
        <f>IF(Sheet1!F458="F","FEMALE","MALE")</f>
        <v/>
      </c>
      <c r="E458" s="6">
        <f>UPPER(Sheet1!G458)</f>
        <v/>
      </c>
      <c r="F458" s="6">
        <f>UPPER(Sheet1!H458)</f>
        <v/>
      </c>
      <c r="G458" s="5">
        <f>TEXT(Sheet1!C458,"dd/mm/yyyy") &amp; "," &amp; Sheet1!D458</f>
        <v/>
      </c>
      <c r="H458" s="38">
        <f>UPPER(Sheet1!J458 &amp; "," &amp; Sheet1!K458 &amp; "," &amp; Sheet1!L458)</f>
        <v/>
      </c>
      <c r="I458" s="45">
        <f>Sheet1!I458</f>
        <v/>
      </c>
      <c r="J458" s="5">
        <f>Sheet1!M458 &amp; "," &amp; TEXT(Sheet1!N458,"dd/mm/yy")</f>
        <v/>
      </c>
      <c r="K458" s="5" t="inlineStr">
        <is>
          <t>PRINTED</t>
        </is>
      </c>
      <c r="L458" s="30" t="inlineStr">
        <is>
          <t>25/03/2026</t>
        </is>
      </c>
      <c r="M458" s="30" t="inlineStr">
        <is>
          <t>MANISH KATARIA, VICE CONSUL</t>
        </is>
      </c>
      <c r="N458" s="30" t="inlineStr">
        <is>
          <t>26/02/2026</t>
        </is>
      </c>
    </row>
    <row r="459">
      <c r="A459" s="4">
        <f>Sheet1!A459 &amp; "/" &amp; "2025"</f>
        <v/>
      </c>
      <c r="B459" s="5">
        <f>Sheet1!E459</f>
        <v/>
      </c>
      <c r="C459" s="6">
        <f>UPPER(Sheet1!B459)</f>
        <v/>
      </c>
      <c r="D459" s="7">
        <f>IF(Sheet1!F459="F","FEMALE","MALE")</f>
        <v/>
      </c>
      <c r="E459" s="6">
        <f>UPPER(Sheet1!G459)</f>
        <v/>
      </c>
      <c r="F459" s="6">
        <f>UPPER(Sheet1!H459)</f>
        <v/>
      </c>
      <c r="G459" s="5">
        <f>TEXT(Sheet1!C459,"dd/mm/yyyy") &amp; "," &amp; Sheet1!D459</f>
        <v/>
      </c>
      <c r="H459" s="38">
        <f>UPPER(Sheet1!J459 &amp; "," &amp; Sheet1!K459 &amp; "," &amp; Sheet1!L459)</f>
        <v/>
      </c>
      <c r="I459" s="45">
        <f>Sheet1!I459</f>
        <v/>
      </c>
      <c r="J459" s="5">
        <f>Sheet1!M459 &amp; "," &amp; TEXT(Sheet1!N459,"dd/mm/yy")</f>
        <v/>
      </c>
      <c r="K459" s="5" t="inlineStr">
        <is>
          <t>PRINTED</t>
        </is>
      </c>
      <c r="L459" s="30" t="inlineStr">
        <is>
          <t>25/03/2026</t>
        </is>
      </c>
      <c r="M459" s="30" t="inlineStr">
        <is>
          <t>MANISH KATARIA, VICE CONSUL</t>
        </is>
      </c>
      <c r="N459" s="30" t="inlineStr">
        <is>
          <t>26/02/2026</t>
        </is>
      </c>
    </row>
    <row r="460">
      <c r="A460" s="4">
        <f>Sheet1!A460 &amp; "/" &amp; "2025"</f>
        <v/>
      </c>
      <c r="B460" s="5">
        <f>Sheet1!E460</f>
        <v/>
      </c>
      <c r="C460" s="6">
        <f>UPPER(Sheet1!B460)</f>
        <v/>
      </c>
      <c r="D460" s="7">
        <f>IF(Sheet1!F460="F","FEMALE","MALE")</f>
        <v/>
      </c>
      <c r="E460" s="6">
        <f>UPPER(Sheet1!G460)</f>
        <v/>
      </c>
      <c r="F460" s="6">
        <f>UPPER(Sheet1!H460)</f>
        <v/>
      </c>
      <c r="G460" s="5">
        <f>TEXT(Sheet1!C460,"dd/mm/yyyy") &amp; "," &amp; Sheet1!D460</f>
        <v/>
      </c>
      <c r="H460" s="38">
        <f>UPPER(Sheet1!J460 &amp; "," &amp; Sheet1!K460 &amp; "," &amp; Sheet1!L460)</f>
        <v/>
      </c>
      <c r="I460" s="45">
        <f>Sheet1!I460</f>
        <v/>
      </c>
      <c r="J460" s="5">
        <f>Sheet1!M460 &amp; "," &amp; TEXT(Sheet1!N460,"dd/mm/yy")</f>
        <v/>
      </c>
      <c r="K460" s="5" t="inlineStr">
        <is>
          <t>PRINTED</t>
        </is>
      </c>
      <c r="L460" s="30" t="inlineStr">
        <is>
          <t>25/03/2026</t>
        </is>
      </c>
      <c r="M460" s="30" t="inlineStr">
        <is>
          <t>MANISH KATARIA, VICE CONSUL</t>
        </is>
      </c>
      <c r="N460" s="30" t="inlineStr">
        <is>
          <t>26/02/2026</t>
        </is>
      </c>
    </row>
    <row r="461" ht="30" customHeight="1">
      <c r="A461" s="4">
        <f>Sheet1!A461 &amp; "/" &amp; "2025"</f>
        <v/>
      </c>
      <c r="B461" s="5">
        <f>Sheet1!E461</f>
        <v/>
      </c>
      <c r="C461" s="6">
        <f>UPPER(Sheet1!B461)</f>
        <v/>
      </c>
      <c r="D461" s="7">
        <f>IF(Sheet1!F461="F","FEMALE","MALE")</f>
        <v/>
      </c>
      <c r="E461" s="6">
        <f>UPPER(Sheet1!G461)</f>
        <v/>
      </c>
      <c r="F461" s="6">
        <f>UPPER(Sheet1!H461)</f>
        <v/>
      </c>
      <c r="G461" s="5">
        <f>TEXT(Sheet1!C461,"dd/mm/yyyy") &amp; "," &amp; Sheet1!D461</f>
        <v/>
      </c>
      <c r="H461" s="38">
        <f>UPPER(Sheet1!J461 &amp; "," &amp; Sheet1!K461 &amp; "," &amp; Sheet1!L461)</f>
        <v/>
      </c>
      <c r="I461" s="45">
        <f>Sheet1!I461</f>
        <v/>
      </c>
      <c r="J461" s="5">
        <f>Sheet1!M461 &amp; "," &amp; TEXT(Sheet1!N461,"dd/mm/yy")</f>
        <v/>
      </c>
      <c r="K461" s="5" t="inlineStr">
        <is>
          <t>PRINTED</t>
        </is>
      </c>
      <c r="L461" s="30" t="inlineStr">
        <is>
          <t>25/03/2026</t>
        </is>
      </c>
      <c r="M461" s="30" t="inlineStr">
        <is>
          <t>MANISH KATARIA, VICE CONSUL</t>
        </is>
      </c>
      <c r="N461" s="30" t="inlineStr">
        <is>
          <t>26/02/2026</t>
        </is>
      </c>
    </row>
    <row r="462">
      <c r="A462" s="4">
        <f>Sheet1!A462 &amp; "/" &amp; "2025"</f>
        <v/>
      </c>
      <c r="B462" s="5">
        <f>Sheet1!E462</f>
        <v/>
      </c>
      <c r="C462" s="6">
        <f>UPPER(Sheet1!B462)</f>
        <v/>
      </c>
      <c r="D462" s="7">
        <f>IF(Sheet1!F462="F","FEMALE","MALE")</f>
        <v/>
      </c>
      <c r="E462" s="6">
        <f>UPPER(Sheet1!G462)</f>
        <v/>
      </c>
      <c r="F462" s="6">
        <f>UPPER(Sheet1!H462)</f>
        <v/>
      </c>
      <c r="G462" s="5">
        <f>TEXT(Sheet1!C462,"dd/mm/yyyy") &amp; "," &amp; Sheet1!D462</f>
        <v/>
      </c>
      <c r="H462" s="38">
        <f>UPPER(Sheet1!J462 &amp; "," &amp; Sheet1!K462 &amp; "," &amp; Sheet1!L462)</f>
        <v/>
      </c>
      <c r="I462" s="45">
        <f>Sheet1!I462</f>
        <v/>
      </c>
      <c r="J462" s="5">
        <f>Sheet1!M462 &amp; "," &amp; TEXT(Sheet1!N462,"dd/mm/yy")</f>
        <v/>
      </c>
      <c r="K462" s="5" t="inlineStr">
        <is>
          <t>PRINTED</t>
        </is>
      </c>
      <c r="L462" s="30" t="inlineStr">
        <is>
          <t>25/03/2026</t>
        </is>
      </c>
      <c r="M462" s="30" t="inlineStr">
        <is>
          <t>MANISH KATARIA, VICE CONSUL</t>
        </is>
      </c>
      <c r="N462" s="30" t="inlineStr">
        <is>
          <t>26/02/2026</t>
        </is>
      </c>
    </row>
    <row r="463">
      <c r="A463" s="4">
        <f>Sheet1!A463 &amp; "/" &amp; "2025"</f>
        <v/>
      </c>
      <c r="B463" s="5">
        <f>Sheet1!E463</f>
        <v/>
      </c>
      <c r="C463" s="6">
        <f>UPPER(Sheet1!B463)</f>
        <v/>
      </c>
      <c r="D463" s="7">
        <f>IF(Sheet1!F463="F","FEMALE","MALE")</f>
        <v/>
      </c>
      <c r="E463" s="6">
        <f>UPPER(Sheet1!G463)</f>
        <v/>
      </c>
      <c r="F463" s="6">
        <f>UPPER(Sheet1!H463)</f>
        <v/>
      </c>
      <c r="G463" s="5">
        <f>TEXT(Sheet1!C463,"dd/mm/yyyy") &amp; "," &amp; Sheet1!D463</f>
        <v/>
      </c>
      <c r="H463" s="38">
        <f>UPPER(Sheet1!J463 &amp; "," &amp; Sheet1!K463 &amp; "," &amp; Sheet1!L463)</f>
        <v/>
      </c>
      <c r="I463" s="45">
        <f>Sheet1!I463</f>
        <v/>
      </c>
      <c r="J463" s="5">
        <f>Sheet1!M463 &amp; "," &amp; TEXT(Sheet1!N463,"dd/mm/yy")</f>
        <v/>
      </c>
      <c r="K463" s="5" t="inlineStr">
        <is>
          <t>PRINTED</t>
        </is>
      </c>
      <c r="L463" s="30" t="inlineStr">
        <is>
          <t>25/03/2026</t>
        </is>
      </c>
      <c r="M463" s="30" t="inlineStr">
        <is>
          <t>MANISH KATARIA, VICE CONSUL</t>
        </is>
      </c>
      <c r="N463" s="30" t="inlineStr">
        <is>
          <t>26/02/2026</t>
        </is>
      </c>
    </row>
    <row r="464">
      <c r="A464" s="4">
        <f>Sheet1!A464 &amp; "/" &amp; "2025"</f>
        <v/>
      </c>
      <c r="B464" s="5">
        <f>Sheet1!E464</f>
        <v/>
      </c>
      <c r="C464" s="6">
        <f>UPPER(Sheet1!B464)</f>
        <v/>
      </c>
      <c r="D464" s="7">
        <f>IF(Sheet1!F464="F","FEMALE","MALE")</f>
        <v/>
      </c>
      <c r="E464" s="6">
        <f>UPPER(Sheet1!G464)</f>
        <v/>
      </c>
      <c r="F464" s="6">
        <f>UPPER(Sheet1!H464)</f>
        <v/>
      </c>
      <c r="G464" s="5">
        <f>TEXT(Sheet1!C464,"dd/mm/yyyy") &amp; "," &amp; Sheet1!D464</f>
        <v/>
      </c>
      <c r="H464" s="38">
        <f>UPPER(Sheet1!J464 &amp; "," &amp; Sheet1!K464 &amp; "," &amp; Sheet1!L464)</f>
        <v/>
      </c>
      <c r="I464" s="45">
        <f>Sheet1!I464</f>
        <v/>
      </c>
      <c r="J464" s="5">
        <f>Sheet1!M464 &amp; "," &amp; TEXT(Sheet1!N464,"dd/mm/yy")</f>
        <v/>
      </c>
      <c r="K464" s="5" t="inlineStr">
        <is>
          <t>PRINTED</t>
        </is>
      </c>
      <c r="L464" s="30" t="inlineStr">
        <is>
          <t>25/03/2026</t>
        </is>
      </c>
      <c r="M464" s="30" t="inlineStr">
        <is>
          <t>MANISH KATARIA, VICE CONSUL</t>
        </is>
      </c>
      <c r="N464" s="30" t="inlineStr">
        <is>
          <t>26/02/2026</t>
        </is>
      </c>
    </row>
    <row r="465">
      <c r="A465" s="4">
        <f>Sheet1!A465 &amp; "/" &amp; "2025"</f>
        <v/>
      </c>
      <c r="B465" s="5">
        <f>Sheet1!E465</f>
        <v/>
      </c>
      <c r="C465" s="6">
        <f>UPPER(Sheet1!B465)</f>
        <v/>
      </c>
      <c r="D465" s="7">
        <f>IF(Sheet1!F465="F","FEMALE","MALE")</f>
        <v/>
      </c>
      <c r="E465" s="6">
        <f>UPPER(Sheet1!G465)</f>
        <v/>
      </c>
      <c r="F465" s="6">
        <f>UPPER(Sheet1!H465)</f>
        <v/>
      </c>
      <c r="G465" s="5">
        <f>TEXT(Sheet1!C465,"dd/mm/yyyy") &amp; "," &amp; Sheet1!D465</f>
        <v/>
      </c>
      <c r="H465" s="38">
        <f>UPPER(Sheet1!J465 &amp; "," &amp; Sheet1!K465 &amp; "," &amp; Sheet1!L465)</f>
        <v/>
      </c>
      <c r="I465" s="45">
        <f>Sheet1!I465</f>
        <v/>
      </c>
      <c r="J465" s="5">
        <f>Sheet1!M465 &amp; "," &amp; TEXT(Sheet1!N465,"dd/mm/yy")</f>
        <v/>
      </c>
      <c r="K465" s="5" t="inlineStr">
        <is>
          <t>PRINTED</t>
        </is>
      </c>
      <c r="L465" s="30" t="inlineStr">
        <is>
          <t>25/03/2026</t>
        </is>
      </c>
      <c r="M465" s="30" t="inlineStr">
        <is>
          <t>MANISH KATARIA, VICE CONSUL</t>
        </is>
      </c>
      <c r="N465" s="30" t="inlineStr">
        <is>
          <t>26/02/2026</t>
        </is>
      </c>
    </row>
    <row r="466">
      <c r="A466" s="4">
        <f>Sheet1!A466 &amp; "/" &amp; "2025"</f>
        <v/>
      </c>
      <c r="B466" s="5">
        <f>Sheet1!E466</f>
        <v/>
      </c>
      <c r="C466" s="6">
        <f>UPPER(Sheet1!B466)</f>
        <v/>
      </c>
      <c r="D466" s="7">
        <f>IF(Sheet1!F466="F","FEMALE","MALE")</f>
        <v/>
      </c>
      <c r="E466" s="6">
        <f>UPPER(Sheet1!G466)</f>
        <v/>
      </c>
      <c r="F466" s="6">
        <f>UPPER(Sheet1!H466)</f>
        <v/>
      </c>
      <c r="G466" s="5">
        <f>TEXT(Sheet1!C466,"dd/mm/yyyy") &amp; "," &amp; Sheet1!D466</f>
        <v/>
      </c>
      <c r="H466" s="38">
        <f>UPPER(Sheet1!J466 &amp; "," &amp; Sheet1!K466 &amp; "," &amp; Sheet1!L466)</f>
        <v/>
      </c>
      <c r="I466" s="45">
        <f>Sheet1!I466</f>
        <v/>
      </c>
      <c r="J466" s="5">
        <f>Sheet1!M466 &amp; "," &amp; TEXT(Sheet1!N466,"dd/mm/yy")</f>
        <v/>
      </c>
      <c r="K466" s="5" t="inlineStr">
        <is>
          <t>PRINTED</t>
        </is>
      </c>
      <c r="L466" s="30" t="inlineStr">
        <is>
          <t>25/03/2026</t>
        </is>
      </c>
      <c r="M466" s="30" t="inlineStr">
        <is>
          <t>MANISH KATARIA, VICE CONSUL</t>
        </is>
      </c>
      <c r="N466" s="30" t="inlineStr">
        <is>
          <t>26/02/2026</t>
        </is>
      </c>
    </row>
    <row r="467">
      <c r="A467" s="4">
        <f>Sheet1!A467 &amp; "/" &amp; "2025"</f>
        <v/>
      </c>
      <c r="B467" s="5">
        <f>Sheet1!E467</f>
        <v/>
      </c>
      <c r="C467" s="6">
        <f>UPPER(Sheet1!B467)</f>
        <v/>
      </c>
      <c r="D467" s="7">
        <f>IF(Sheet1!F467="F","FEMALE","MALE")</f>
        <v/>
      </c>
      <c r="E467" s="6">
        <f>UPPER(Sheet1!G467)</f>
        <v/>
      </c>
      <c r="F467" s="6">
        <f>UPPER(Sheet1!H467)</f>
        <v/>
      </c>
      <c r="G467" s="5">
        <f>TEXT(Sheet1!C467,"dd/mm/yyyy") &amp; "," &amp; Sheet1!D467</f>
        <v/>
      </c>
      <c r="H467" s="38">
        <f>UPPER(Sheet1!J467 &amp; "," &amp; Sheet1!K467 &amp; "," &amp; Sheet1!L467)</f>
        <v/>
      </c>
      <c r="I467" s="45">
        <f>Sheet1!I467</f>
        <v/>
      </c>
      <c r="J467" s="5">
        <f>Sheet1!M467 &amp; "," &amp; TEXT(Sheet1!N467,"dd/mm/yy")</f>
        <v/>
      </c>
      <c r="K467" s="5" t="inlineStr">
        <is>
          <t>PRINTED</t>
        </is>
      </c>
      <c r="L467" s="30" t="inlineStr">
        <is>
          <t>25/03/2026</t>
        </is>
      </c>
      <c r="M467" s="30" t="inlineStr">
        <is>
          <t>MANISH KATARIA, VICE CONSUL</t>
        </is>
      </c>
      <c r="N467" s="30" t="inlineStr">
        <is>
          <t>26/02/2026</t>
        </is>
      </c>
    </row>
    <row r="468">
      <c r="A468" s="4">
        <f>Sheet1!A468 &amp; "/" &amp; "2025"</f>
        <v/>
      </c>
      <c r="B468" s="5">
        <f>Sheet1!E468</f>
        <v/>
      </c>
      <c r="C468" s="6">
        <f>UPPER(Sheet1!B468)</f>
        <v/>
      </c>
      <c r="D468" s="7">
        <f>IF(Sheet1!F468="F","FEMALE","MALE")</f>
        <v/>
      </c>
      <c r="E468" s="6">
        <f>UPPER(Sheet1!G468)</f>
        <v/>
      </c>
      <c r="F468" s="6">
        <f>UPPER(Sheet1!H468)</f>
        <v/>
      </c>
      <c r="G468" s="5">
        <f>TEXT(Sheet1!C468,"dd/mm/yyyy") &amp; "," &amp; Sheet1!D468</f>
        <v/>
      </c>
      <c r="H468" s="38">
        <f>UPPER(Sheet1!J468 &amp; "," &amp; Sheet1!K468 &amp; "," &amp; Sheet1!L468)</f>
        <v/>
      </c>
      <c r="I468" s="45">
        <f>Sheet1!I468</f>
        <v/>
      </c>
      <c r="J468" s="5">
        <f>Sheet1!M468 &amp; "," &amp; TEXT(Sheet1!N468,"dd/mm/yy")</f>
        <v/>
      </c>
      <c r="K468" s="5" t="inlineStr">
        <is>
          <t>PRINTED</t>
        </is>
      </c>
      <c r="L468" s="30" t="inlineStr">
        <is>
          <t>25/03/2026</t>
        </is>
      </c>
      <c r="M468" s="30" t="inlineStr">
        <is>
          <t>MANISH KATARIA, VICE CONSUL</t>
        </is>
      </c>
      <c r="N468" s="30" t="inlineStr">
        <is>
          <t>26/02/2026</t>
        </is>
      </c>
    </row>
    <row r="469">
      <c r="A469" s="4">
        <f>Sheet1!A469 &amp; "/" &amp; "2025"</f>
        <v/>
      </c>
      <c r="B469" s="5">
        <f>Sheet1!E469</f>
        <v/>
      </c>
      <c r="C469" s="6">
        <f>UPPER(Sheet1!B469)</f>
        <v/>
      </c>
      <c r="D469" s="7">
        <f>IF(Sheet1!F469="F","FEMALE","MALE")</f>
        <v/>
      </c>
      <c r="E469" s="6">
        <f>UPPER(Sheet1!G469)</f>
        <v/>
      </c>
      <c r="F469" s="6">
        <f>UPPER(Sheet1!H469)</f>
        <v/>
      </c>
      <c r="G469" s="5">
        <f>TEXT(Sheet1!C469,"dd/mm/yyyy") &amp; "," &amp; Sheet1!D469</f>
        <v/>
      </c>
      <c r="H469" s="38">
        <f>UPPER(Sheet1!J469 &amp; "," &amp; Sheet1!K469 &amp; "," &amp; Sheet1!L469)</f>
        <v/>
      </c>
      <c r="I469" s="45">
        <f>Sheet1!I469</f>
        <v/>
      </c>
      <c r="J469" s="5">
        <f>Sheet1!M469 &amp; "," &amp; TEXT(Sheet1!N469,"dd/mm/yy")</f>
        <v/>
      </c>
      <c r="K469" s="5" t="inlineStr">
        <is>
          <t>PRINTED</t>
        </is>
      </c>
      <c r="L469" s="30" t="inlineStr">
        <is>
          <t>25/03/2026</t>
        </is>
      </c>
      <c r="M469" s="30" t="inlineStr">
        <is>
          <t>MANISH KATARIA, VICE CONSUL</t>
        </is>
      </c>
      <c r="N469" s="30" t="inlineStr">
        <is>
          <t>26/02/2026</t>
        </is>
      </c>
    </row>
    <row r="470">
      <c r="A470" s="4">
        <f>Sheet1!A470 &amp; "/" &amp; "2025"</f>
        <v/>
      </c>
      <c r="B470" s="5">
        <f>Sheet1!E470</f>
        <v/>
      </c>
      <c r="C470" s="6">
        <f>UPPER(Sheet1!B470)</f>
        <v/>
      </c>
      <c r="D470" s="7">
        <f>IF(Sheet1!F470="F","FEMALE","MALE")</f>
        <v/>
      </c>
      <c r="E470" s="6">
        <f>UPPER(Sheet1!G470)</f>
        <v/>
      </c>
      <c r="F470" s="6">
        <f>UPPER(Sheet1!H470)</f>
        <v/>
      </c>
      <c r="G470" s="5">
        <f>TEXT(Sheet1!C470,"dd/mm/yyyy") &amp; "," &amp; Sheet1!D470</f>
        <v/>
      </c>
      <c r="H470" s="38">
        <f>UPPER(Sheet1!J470 &amp; "," &amp; Sheet1!K470 &amp; "," &amp; Sheet1!L470)</f>
        <v/>
      </c>
      <c r="I470" s="45">
        <f>Sheet1!I470</f>
        <v/>
      </c>
      <c r="J470" s="5">
        <f>Sheet1!M470 &amp; "," &amp; TEXT(Sheet1!N470,"dd/mm/yy")</f>
        <v/>
      </c>
      <c r="K470" s="5" t="inlineStr">
        <is>
          <t>PRINTED</t>
        </is>
      </c>
      <c r="L470" s="30" t="inlineStr">
        <is>
          <t>25/03/2026</t>
        </is>
      </c>
      <c r="M470" s="30" t="inlineStr">
        <is>
          <t>MANISH KATARIA, VICE CONSUL</t>
        </is>
      </c>
      <c r="N470" s="30" t="inlineStr">
        <is>
          <t>26/02/2026</t>
        </is>
      </c>
    </row>
    <row r="471">
      <c r="A471" s="4">
        <f>Sheet1!A471 &amp; "/" &amp; "2025"</f>
        <v/>
      </c>
      <c r="B471" s="5">
        <f>Sheet1!E471</f>
        <v/>
      </c>
      <c r="C471" s="6">
        <f>UPPER(Sheet1!B471)</f>
        <v/>
      </c>
      <c r="D471" s="7">
        <f>IF(Sheet1!F471="F","FEMALE","MALE")</f>
        <v/>
      </c>
      <c r="E471" s="6">
        <f>UPPER(Sheet1!G471)</f>
        <v/>
      </c>
      <c r="F471" s="6">
        <f>UPPER(Sheet1!H471)</f>
        <v/>
      </c>
      <c r="G471" s="5">
        <f>TEXT(Sheet1!C471,"dd/mm/yyyy") &amp; "," &amp; Sheet1!D471</f>
        <v/>
      </c>
      <c r="H471" s="38">
        <f>UPPER(Sheet1!J471 &amp; "," &amp; Sheet1!K471 &amp; "," &amp; Sheet1!L471)</f>
        <v/>
      </c>
      <c r="I471" s="45">
        <f>Sheet1!I471</f>
        <v/>
      </c>
      <c r="J471" s="5">
        <f>Sheet1!M471 &amp; "," &amp; TEXT(Sheet1!N471,"dd/mm/yy")</f>
        <v/>
      </c>
      <c r="K471" s="5" t="inlineStr">
        <is>
          <t>PRINTED</t>
        </is>
      </c>
      <c r="L471" s="30" t="inlineStr">
        <is>
          <t>25/03/2026</t>
        </is>
      </c>
      <c r="M471" s="30" t="inlineStr">
        <is>
          <t>MANISH KATARIA, VICE CONSUL</t>
        </is>
      </c>
      <c r="N471" s="30" t="inlineStr">
        <is>
          <t>26/02/2026</t>
        </is>
      </c>
    </row>
    <row r="472">
      <c r="A472" s="4">
        <f>Sheet1!A472 &amp; "/" &amp; "2025"</f>
        <v/>
      </c>
      <c r="B472" s="5">
        <f>Sheet1!E472</f>
        <v/>
      </c>
      <c r="C472" s="6">
        <f>UPPER(Sheet1!B472)</f>
        <v/>
      </c>
      <c r="D472" s="7">
        <f>IF(Sheet1!F472="F","FEMALE","MALE")</f>
        <v/>
      </c>
      <c r="E472" s="6">
        <f>UPPER(Sheet1!G472)</f>
        <v/>
      </c>
      <c r="F472" s="6">
        <f>UPPER(Sheet1!H472)</f>
        <v/>
      </c>
      <c r="G472" s="5">
        <f>TEXT(Sheet1!C472,"dd/mm/yyyy") &amp; "," &amp; Sheet1!D472</f>
        <v/>
      </c>
      <c r="H472" s="38">
        <f>UPPER(Sheet1!J472 &amp; "," &amp; Sheet1!K472 &amp; "," &amp; Sheet1!L472)</f>
        <v/>
      </c>
      <c r="I472" s="45">
        <f>Sheet1!I472</f>
        <v/>
      </c>
      <c r="J472" s="5">
        <f>Sheet1!M472 &amp; "," &amp; TEXT(Sheet1!N472,"dd/mm/yy")</f>
        <v/>
      </c>
      <c r="K472" s="5" t="inlineStr">
        <is>
          <t>PRINTED</t>
        </is>
      </c>
      <c r="L472" s="30" t="inlineStr">
        <is>
          <t>25/03/2026</t>
        </is>
      </c>
      <c r="M472" s="30" t="inlineStr">
        <is>
          <t>MANISH KATARIA, VICE CONSUL</t>
        </is>
      </c>
      <c r="N472" s="30" t="inlineStr">
        <is>
          <t>26/02/2026</t>
        </is>
      </c>
    </row>
    <row r="473">
      <c r="A473" s="4">
        <f>Sheet1!A473 &amp; "/" &amp; "2025"</f>
        <v/>
      </c>
      <c r="B473" s="5">
        <f>Sheet1!E473</f>
        <v/>
      </c>
      <c r="C473" s="6">
        <f>UPPER(Sheet1!B473)</f>
        <v/>
      </c>
      <c r="D473" s="7">
        <f>IF(Sheet1!F473="F","FEMALE","MALE")</f>
        <v/>
      </c>
      <c r="E473" s="6">
        <f>UPPER(Sheet1!G473)</f>
        <v/>
      </c>
      <c r="F473" s="6">
        <f>UPPER(Sheet1!H473)</f>
        <v/>
      </c>
      <c r="G473" s="5">
        <f>TEXT(Sheet1!C473,"dd/mm/yyyy") &amp; "," &amp; Sheet1!D473</f>
        <v/>
      </c>
      <c r="H473" s="38">
        <f>UPPER(Sheet1!J473 &amp; "," &amp; Sheet1!K473 &amp; "," &amp; Sheet1!L473)</f>
        <v/>
      </c>
      <c r="I473" s="45">
        <f>Sheet1!I473</f>
        <v/>
      </c>
      <c r="J473" s="5">
        <f>Sheet1!M473 &amp; "," &amp; TEXT(Sheet1!N473,"dd/mm/yy")</f>
        <v/>
      </c>
      <c r="K473" s="5" t="inlineStr">
        <is>
          <t>PRINTED</t>
        </is>
      </c>
      <c r="L473" s="30" t="inlineStr">
        <is>
          <t>25/03/2026</t>
        </is>
      </c>
      <c r="M473" s="30" t="inlineStr">
        <is>
          <t>MANISH KATARIA, VICE CONSUL</t>
        </is>
      </c>
      <c r="N473" s="30" t="inlineStr">
        <is>
          <t>26/02/2026</t>
        </is>
      </c>
    </row>
    <row r="474">
      <c r="A474" s="4">
        <f>Sheet1!A474 &amp; "/" &amp; "2025"</f>
        <v/>
      </c>
      <c r="B474" s="5">
        <f>Sheet1!E474</f>
        <v/>
      </c>
      <c r="C474" s="6">
        <f>UPPER(Sheet1!B474)</f>
        <v/>
      </c>
      <c r="D474" s="7">
        <f>IF(Sheet1!F474="F","FEMALE","MALE")</f>
        <v/>
      </c>
      <c r="E474" s="6">
        <f>UPPER(Sheet1!G474)</f>
        <v/>
      </c>
      <c r="F474" s="6">
        <f>UPPER(Sheet1!H474)</f>
        <v/>
      </c>
      <c r="G474" s="5">
        <f>TEXT(Sheet1!C474,"dd/mm/yyyy") &amp; "," &amp; Sheet1!D474</f>
        <v/>
      </c>
      <c r="H474" s="38">
        <f>UPPER(Sheet1!J474 &amp; "," &amp; Sheet1!K474 &amp; "," &amp; Sheet1!L474)</f>
        <v/>
      </c>
      <c r="I474" s="45">
        <f>Sheet1!I474</f>
        <v/>
      </c>
      <c r="J474" s="5">
        <f>Sheet1!M474 &amp; "," &amp; TEXT(Sheet1!N474,"dd/mm/yy")</f>
        <v/>
      </c>
      <c r="K474" s="5" t="inlineStr">
        <is>
          <t>PRINTED</t>
        </is>
      </c>
      <c r="L474" s="30" t="inlineStr">
        <is>
          <t>25/03/2026</t>
        </is>
      </c>
      <c r="M474" s="30" t="inlineStr">
        <is>
          <t>MANISH KATARIA, VICE CONSUL</t>
        </is>
      </c>
      <c r="N474" s="30" t="inlineStr">
        <is>
          <t>26/02/2026</t>
        </is>
      </c>
    </row>
    <row r="475">
      <c r="A475" s="4">
        <f>Sheet1!A475 &amp; "/" &amp; "2025"</f>
        <v/>
      </c>
      <c r="B475" s="5">
        <f>Sheet1!E475</f>
        <v/>
      </c>
      <c r="C475" s="6">
        <f>UPPER(Sheet1!B475)</f>
        <v/>
      </c>
      <c r="D475" s="7">
        <f>IF(Sheet1!F475="F","FEMALE","MALE")</f>
        <v/>
      </c>
      <c r="E475" s="6">
        <f>UPPER(Sheet1!G475)</f>
        <v/>
      </c>
      <c r="F475" s="6">
        <f>UPPER(Sheet1!H475)</f>
        <v/>
      </c>
      <c r="G475" s="5">
        <f>TEXT(Sheet1!C475,"dd/mm/yyyy") &amp; "," &amp; Sheet1!D475</f>
        <v/>
      </c>
      <c r="H475" s="38">
        <f>UPPER(Sheet1!J475 &amp; "," &amp; Sheet1!K475 &amp; "," &amp; Sheet1!L475)</f>
        <v/>
      </c>
      <c r="I475" s="45">
        <f>Sheet1!I475</f>
        <v/>
      </c>
      <c r="J475" s="5">
        <f>Sheet1!M475 &amp; "," &amp; TEXT(Sheet1!N475,"dd/mm/yy")</f>
        <v/>
      </c>
      <c r="K475" s="5" t="inlineStr">
        <is>
          <t>PRINTED</t>
        </is>
      </c>
      <c r="L475" s="30" t="inlineStr">
        <is>
          <t>25/03/2026</t>
        </is>
      </c>
      <c r="M475" s="30" t="inlineStr">
        <is>
          <t>MANISH KATARIA, VICE CONSUL</t>
        </is>
      </c>
      <c r="N475" s="30" t="inlineStr">
        <is>
          <t>26/02/2026</t>
        </is>
      </c>
    </row>
    <row r="476">
      <c r="A476" s="4">
        <f>Sheet1!A476 &amp; "/" &amp; "2025"</f>
        <v/>
      </c>
      <c r="B476" s="5">
        <f>Sheet1!E476</f>
        <v/>
      </c>
      <c r="C476" s="6">
        <f>UPPER(Sheet1!B476)</f>
        <v/>
      </c>
      <c r="D476" s="7">
        <f>IF(Sheet1!F476="F","FEMALE","MALE")</f>
        <v/>
      </c>
      <c r="E476" s="6">
        <f>UPPER(Sheet1!G476)</f>
        <v/>
      </c>
      <c r="F476" s="6">
        <f>UPPER(Sheet1!H476)</f>
        <v/>
      </c>
      <c r="G476" s="5">
        <f>TEXT(Sheet1!C476,"dd/mm/yyyy") &amp; "," &amp; Sheet1!D476</f>
        <v/>
      </c>
      <c r="H476" s="38">
        <f>UPPER(Sheet1!J476 &amp; "," &amp; Sheet1!K476 &amp; "," &amp; Sheet1!L476)</f>
        <v/>
      </c>
      <c r="I476" s="45">
        <f>Sheet1!I476</f>
        <v/>
      </c>
      <c r="J476" s="5">
        <f>Sheet1!M476 &amp; "," &amp; TEXT(Sheet1!N476,"dd/mm/yy")</f>
        <v/>
      </c>
      <c r="K476" s="5" t="inlineStr">
        <is>
          <t>PRINTED</t>
        </is>
      </c>
      <c r="L476" s="30" t="inlineStr">
        <is>
          <t>25/03/2026</t>
        </is>
      </c>
      <c r="M476" s="30" t="inlineStr">
        <is>
          <t>MANISH KATARIA, VICE CONSUL</t>
        </is>
      </c>
      <c r="N476" s="30" t="inlineStr">
        <is>
          <t>26/02/2026</t>
        </is>
      </c>
    </row>
    <row r="477">
      <c r="A477" s="4">
        <f>Sheet1!A477 &amp; "/" &amp; "2025"</f>
        <v/>
      </c>
      <c r="B477" s="5">
        <f>Sheet1!E477</f>
        <v/>
      </c>
      <c r="C477" s="6">
        <f>UPPER(Sheet1!B477)</f>
        <v/>
      </c>
      <c r="D477" s="7">
        <f>IF(Sheet1!F477="F","FEMALE","MALE")</f>
        <v/>
      </c>
      <c r="E477" s="6">
        <f>UPPER(Sheet1!G477)</f>
        <v/>
      </c>
      <c r="F477" s="6">
        <f>UPPER(Sheet1!H477)</f>
        <v/>
      </c>
      <c r="G477" s="5">
        <f>TEXT(Sheet1!C477,"dd/mm/yyyy") &amp; "," &amp; Sheet1!D477</f>
        <v/>
      </c>
      <c r="H477" s="38">
        <f>UPPER(Sheet1!J477 &amp; "," &amp; Sheet1!K477 &amp; "," &amp; Sheet1!L477)</f>
        <v/>
      </c>
      <c r="I477" s="45">
        <f>Sheet1!I477</f>
        <v/>
      </c>
      <c r="J477" s="5">
        <f>Sheet1!M477 &amp; "," &amp; TEXT(Sheet1!N477,"dd/mm/yy")</f>
        <v/>
      </c>
      <c r="K477" s="5" t="inlineStr">
        <is>
          <t>PRINTED</t>
        </is>
      </c>
      <c r="L477" s="30" t="inlineStr">
        <is>
          <t>25/03/2026</t>
        </is>
      </c>
      <c r="M477" s="30" t="inlineStr">
        <is>
          <t>MANISH KATARIA, VICE CONSUL</t>
        </is>
      </c>
      <c r="N477" s="30" t="inlineStr">
        <is>
          <t>26/02/2026</t>
        </is>
      </c>
    </row>
    <row r="478">
      <c r="A478" s="4">
        <f>Sheet1!A478 &amp; "/" &amp; "2025"</f>
        <v/>
      </c>
      <c r="B478" s="5">
        <f>Sheet1!E478</f>
        <v/>
      </c>
      <c r="C478" s="6">
        <f>UPPER(Sheet1!B478)</f>
        <v/>
      </c>
      <c r="D478" s="7">
        <f>IF(Sheet1!F478="F","FEMALE","MALE")</f>
        <v/>
      </c>
      <c r="E478" s="6">
        <f>UPPER(Sheet1!G478)</f>
        <v/>
      </c>
      <c r="F478" s="6">
        <f>UPPER(Sheet1!H478)</f>
        <v/>
      </c>
      <c r="G478" s="5">
        <f>TEXT(Sheet1!C478,"dd/mm/yyyy") &amp; "," &amp; Sheet1!D478</f>
        <v/>
      </c>
      <c r="H478" s="38">
        <f>UPPER(Sheet1!J478 &amp; "," &amp; Sheet1!K478 &amp; "," &amp; Sheet1!L478)</f>
        <v/>
      </c>
      <c r="I478" s="45">
        <f>Sheet1!I478</f>
        <v/>
      </c>
      <c r="J478" s="5">
        <f>Sheet1!M478 &amp; "," &amp; TEXT(Sheet1!N478,"dd/mm/yy")</f>
        <v/>
      </c>
      <c r="K478" s="5" t="inlineStr">
        <is>
          <t>PRINTED</t>
        </is>
      </c>
      <c r="L478" s="30" t="inlineStr">
        <is>
          <t>25/03/2026</t>
        </is>
      </c>
      <c r="M478" s="30" t="inlineStr">
        <is>
          <t>MANISH KATARIA, VICE CONSUL</t>
        </is>
      </c>
      <c r="N478" s="30" t="inlineStr">
        <is>
          <t>26/02/2026</t>
        </is>
      </c>
    </row>
    <row r="479">
      <c r="A479" s="4">
        <f>Sheet1!A479 &amp; "/" &amp; "2025"</f>
        <v/>
      </c>
      <c r="B479" s="5">
        <f>Sheet1!E479</f>
        <v/>
      </c>
      <c r="C479" s="6">
        <f>UPPER(Sheet1!B479)</f>
        <v/>
      </c>
      <c r="D479" s="7">
        <f>IF(Sheet1!F479="F","FEMALE","MALE")</f>
        <v/>
      </c>
      <c r="E479" s="6">
        <f>UPPER(Sheet1!G479)</f>
        <v/>
      </c>
      <c r="F479" s="6">
        <f>UPPER(Sheet1!H479)</f>
        <v/>
      </c>
      <c r="G479" s="5">
        <f>TEXT(Sheet1!C479,"dd/mm/yyyy") &amp; "," &amp; Sheet1!D479</f>
        <v/>
      </c>
      <c r="H479" s="38">
        <f>UPPER(Sheet1!J479 &amp; "," &amp; Sheet1!K479 &amp; "," &amp; Sheet1!L479)</f>
        <v/>
      </c>
      <c r="I479" s="45">
        <f>Sheet1!I479</f>
        <v/>
      </c>
      <c r="J479" s="5">
        <f>Sheet1!M479 &amp; "," &amp; TEXT(Sheet1!N479,"dd/mm/yy")</f>
        <v/>
      </c>
      <c r="K479" s="5" t="inlineStr">
        <is>
          <t>PRINTED</t>
        </is>
      </c>
      <c r="L479" s="30" t="inlineStr">
        <is>
          <t>25/03/2026</t>
        </is>
      </c>
      <c r="M479" s="30" t="inlineStr">
        <is>
          <t>MANISH KATARIA, VICE CONSUL</t>
        </is>
      </c>
      <c r="N479" s="30" t="inlineStr">
        <is>
          <t>26/02/2026</t>
        </is>
      </c>
    </row>
    <row r="480">
      <c r="A480" s="4">
        <f>Sheet1!A480 &amp; "/" &amp; "2025"</f>
        <v/>
      </c>
      <c r="B480" s="5">
        <f>Sheet1!E480</f>
        <v/>
      </c>
      <c r="C480" s="6">
        <f>UPPER(Sheet1!B480)</f>
        <v/>
      </c>
      <c r="D480" s="7">
        <f>IF(Sheet1!F480="F","FEMALE","MALE")</f>
        <v/>
      </c>
      <c r="E480" s="6">
        <f>UPPER(Sheet1!G480)</f>
        <v/>
      </c>
      <c r="F480" s="6">
        <f>UPPER(Sheet1!H480)</f>
        <v/>
      </c>
      <c r="G480" s="5">
        <f>TEXT(Sheet1!C480,"dd/mm/yyyy") &amp; "," &amp; Sheet1!D480</f>
        <v/>
      </c>
      <c r="H480" s="38">
        <f>UPPER(Sheet1!J480 &amp; "," &amp; Sheet1!K480 &amp; "," &amp; Sheet1!L480)</f>
        <v/>
      </c>
      <c r="I480" s="45">
        <f>Sheet1!I480</f>
        <v/>
      </c>
      <c r="J480" s="5">
        <f>Sheet1!M480 &amp; "," &amp; TEXT(Sheet1!N480,"dd/mm/yy")</f>
        <v/>
      </c>
      <c r="K480" s="5" t="inlineStr">
        <is>
          <t>PRINTED</t>
        </is>
      </c>
      <c r="L480" s="30" t="inlineStr">
        <is>
          <t>25/03/2026</t>
        </is>
      </c>
      <c r="M480" s="30" t="inlineStr">
        <is>
          <t>MANISH KATARIA, VICE CONSUL</t>
        </is>
      </c>
      <c r="N480" s="30" t="inlineStr">
        <is>
          <t>26/02/2026</t>
        </is>
      </c>
    </row>
    <row r="481">
      <c r="A481" s="4">
        <f>Sheet1!A481 &amp; "/" &amp; "2025"</f>
        <v/>
      </c>
      <c r="B481" s="5">
        <f>Sheet1!E481</f>
        <v/>
      </c>
      <c r="C481" s="6">
        <f>UPPER(Sheet1!B481)</f>
        <v/>
      </c>
      <c r="D481" s="7">
        <f>IF(Sheet1!F481="F","FEMALE","MALE")</f>
        <v/>
      </c>
      <c r="E481" s="6">
        <f>UPPER(Sheet1!G481)</f>
        <v/>
      </c>
      <c r="F481" s="6">
        <f>UPPER(Sheet1!H481)</f>
        <v/>
      </c>
      <c r="G481" s="5">
        <f>TEXT(Sheet1!C481,"dd/mm/yyyy") &amp; "," &amp; Sheet1!D481</f>
        <v/>
      </c>
      <c r="H481" s="38">
        <f>UPPER(Sheet1!J481 &amp; "," &amp; Sheet1!K481 &amp; "," &amp; Sheet1!L481)</f>
        <v/>
      </c>
      <c r="I481" s="45">
        <f>Sheet1!I481</f>
        <v/>
      </c>
      <c r="J481" s="5">
        <f>Sheet1!M481 &amp; "," &amp; TEXT(Sheet1!N481,"dd/mm/yy")</f>
        <v/>
      </c>
      <c r="K481" s="5" t="inlineStr">
        <is>
          <t>PRINTED</t>
        </is>
      </c>
      <c r="L481" s="30" t="inlineStr">
        <is>
          <t>25/03/2026</t>
        </is>
      </c>
      <c r="M481" s="30" t="inlineStr">
        <is>
          <t>MANISH KATARIA, VICE CONSUL</t>
        </is>
      </c>
      <c r="N481" s="30" t="inlineStr">
        <is>
          <t>26/02/2026</t>
        </is>
      </c>
    </row>
    <row r="482">
      <c r="A482" s="4">
        <f>Sheet1!A482 &amp; "/" &amp; "2025"</f>
        <v/>
      </c>
      <c r="B482" s="5">
        <f>Sheet1!E482</f>
        <v/>
      </c>
      <c r="C482" s="6">
        <f>UPPER(Sheet1!B482)</f>
        <v/>
      </c>
      <c r="D482" s="7">
        <f>IF(Sheet1!F482="F","FEMALE","MALE")</f>
        <v/>
      </c>
      <c r="E482" s="6">
        <f>UPPER(Sheet1!G482)</f>
        <v/>
      </c>
      <c r="F482" s="6">
        <f>UPPER(Sheet1!H482)</f>
        <v/>
      </c>
      <c r="G482" s="5">
        <f>TEXT(Sheet1!C482,"dd/mm/yyyy") &amp; "," &amp; Sheet1!D482</f>
        <v/>
      </c>
      <c r="H482" s="38">
        <f>UPPER(Sheet1!J482 &amp; "," &amp; Sheet1!K482 &amp; "," &amp; Sheet1!L482)</f>
        <v/>
      </c>
      <c r="I482" s="45">
        <f>Sheet1!I482</f>
        <v/>
      </c>
      <c r="J482" s="5">
        <f>Sheet1!M482 &amp; "," &amp; TEXT(Sheet1!N482,"dd/mm/yy")</f>
        <v/>
      </c>
      <c r="K482" s="5" t="inlineStr">
        <is>
          <t>PRINTED</t>
        </is>
      </c>
      <c r="L482" s="30" t="inlineStr">
        <is>
          <t>25/03/2026</t>
        </is>
      </c>
      <c r="M482" s="30" t="inlineStr">
        <is>
          <t>MANISH KATARIA, VICE CONSUL</t>
        </is>
      </c>
      <c r="N482" s="30" t="inlineStr">
        <is>
          <t>26/02/2026</t>
        </is>
      </c>
    </row>
    <row r="483" ht="30" customHeight="1">
      <c r="A483" s="4">
        <f>Sheet1!A483 &amp; "/" &amp; "2025"</f>
        <v/>
      </c>
      <c r="B483" s="5">
        <f>Sheet1!E483</f>
        <v/>
      </c>
      <c r="C483" s="6">
        <f>UPPER(Sheet1!B483)</f>
        <v/>
      </c>
      <c r="D483" s="7">
        <f>IF(Sheet1!F483="F","FEMALE","MALE")</f>
        <v/>
      </c>
      <c r="E483" s="6">
        <f>UPPER(Sheet1!G483)</f>
        <v/>
      </c>
      <c r="F483" s="6">
        <f>UPPER(Sheet1!H483)</f>
        <v/>
      </c>
      <c r="G483" s="5">
        <f>TEXT(Sheet1!C483,"dd/mm/yyyy") &amp; "," &amp; Sheet1!D483</f>
        <v/>
      </c>
      <c r="H483" s="38">
        <f>UPPER(Sheet1!J483 &amp; "," &amp; Sheet1!K483 &amp; "," &amp; Sheet1!L483)</f>
        <v/>
      </c>
      <c r="I483" s="45">
        <f>Sheet1!I483</f>
        <v/>
      </c>
      <c r="J483" s="5">
        <f>Sheet1!M483 &amp; "," &amp; TEXT(Sheet1!N483,"dd/mm/yy")</f>
        <v/>
      </c>
      <c r="K483" s="5" t="inlineStr">
        <is>
          <t>PRINTED</t>
        </is>
      </c>
      <c r="L483" s="30" t="inlineStr">
        <is>
          <t>25/03/2026</t>
        </is>
      </c>
      <c r="M483" s="30" t="inlineStr">
        <is>
          <t>MANISH KATARIA, VICE CONSUL</t>
        </is>
      </c>
      <c r="N483" s="30" t="inlineStr">
        <is>
          <t>26/02/2026</t>
        </is>
      </c>
    </row>
    <row r="484">
      <c r="A484" s="4">
        <f>Sheet1!A484 &amp; "/" &amp; "2025"</f>
        <v/>
      </c>
      <c r="B484" s="5">
        <f>Sheet1!E484</f>
        <v/>
      </c>
      <c r="C484" s="6">
        <f>UPPER(Sheet1!B484)</f>
        <v/>
      </c>
      <c r="D484" s="7">
        <f>IF(Sheet1!F484="F","FEMALE","MALE")</f>
        <v/>
      </c>
      <c r="E484" s="6">
        <f>UPPER(Sheet1!G484)</f>
        <v/>
      </c>
      <c r="F484" s="6">
        <f>UPPER(Sheet1!H484)</f>
        <v/>
      </c>
      <c r="G484" s="5">
        <f>TEXT(Sheet1!C484,"dd/mm/yyyy") &amp; "," &amp; Sheet1!D484</f>
        <v/>
      </c>
      <c r="H484" s="38">
        <f>UPPER(Sheet1!J484 &amp; "," &amp; Sheet1!K484 &amp; "," &amp; Sheet1!L484)</f>
        <v/>
      </c>
      <c r="I484" s="45">
        <f>Sheet1!I484</f>
        <v/>
      </c>
      <c r="J484" s="5">
        <f>Sheet1!M484 &amp; "," &amp; TEXT(Sheet1!N484,"dd/mm/yy")</f>
        <v/>
      </c>
      <c r="K484" s="5" t="inlineStr">
        <is>
          <t>PRINTED</t>
        </is>
      </c>
      <c r="L484" s="30" t="inlineStr">
        <is>
          <t>25/03/2026</t>
        </is>
      </c>
      <c r="M484" s="30" t="inlineStr">
        <is>
          <t>MANISH KATARIA, VICE CONSUL</t>
        </is>
      </c>
      <c r="N484" s="30" t="inlineStr">
        <is>
          <t>26/02/2026</t>
        </is>
      </c>
    </row>
    <row r="485">
      <c r="A485" s="4">
        <f>Sheet1!A485 &amp; "/" &amp; "2025"</f>
        <v/>
      </c>
      <c r="B485" s="5">
        <f>Sheet1!E485</f>
        <v/>
      </c>
      <c r="C485" s="6">
        <f>UPPER(Sheet1!B485)</f>
        <v/>
      </c>
      <c r="D485" s="7">
        <f>IF(Sheet1!F485="F","FEMALE","MALE")</f>
        <v/>
      </c>
      <c r="E485" s="6">
        <f>UPPER(Sheet1!G485)</f>
        <v/>
      </c>
      <c r="F485" s="6">
        <f>UPPER(Sheet1!H485)</f>
        <v/>
      </c>
      <c r="G485" s="5">
        <f>TEXT(Sheet1!C485,"dd/mm/yyyy") &amp; "," &amp; Sheet1!D485</f>
        <v/>
      </c>
      <c r="H485" s="38">
        <f>UPPER(Sheet1!J485 &amp; "," &amp; Sheet1!K485 &amp; "," &amp; Sheet1!L485)</f>
        <v/>
      </c>
      <c r="I485" s="45">
        <f>Sheet1!I485</f>
        <v/>
      </c>
      <c r="J485" s="5">
        <f>Sheet1!M485 &amp; "," &amp; TEXT(Sheet1!N485,"dd/mm/yy")</f>
        <v/>
      </c>
      <c r="K485" s="5" t="inlineStr">
        <is>
          <t>PRINTED</t>
        </is>
      </c>
      <c r="L485" s="30" t="inlineStr">
        <is>
          <t>25/03/2026</t>
        </is>
      </c>
      <c r="M485" s="30" t="inlineStr">
        <is>
          <t>MANISH KATARIA, VICE CONSUL</t>
        </is>
      </c>
      <c r="N485" s="30" t="inlineStr">
        <is>
          <t>26/02/2026</t>
        </is>
      </c>
    </row>
    <row r="486">
      <c r="A486" s="4">
        <f>Sheet1!A486 &amp; "/" &amp; "2025"</f>
        <v/>
      </c>
      <c r="B486" s="5">
        <f>Sheet1!E486</f>
        <v/>
      </c>
      <c r="C486" s="6">
        <f>UPPER(Sheet1!B486)</f>
        <v/>
      </c>
      <c r="D486" s="7">
        <f>IF(Sheet1!F486="F","FEMALE","MALE")</f>
        <v/>
      </c>
      <c r="E486" s="6">
        <f>UPPER(Sheet1!G486)</f>
        <v/>
      </c>
      <c r="F486" s="6">
        <f>UPPER(Sheet1!H486)</f>
        <v/>
      </c>
      <c r="G486" s="5">
        <f>TEXT(Sheet1!C486,"dd/mm/yyyy") &amp; "," &amp; Sheet1!D486</f>
        <v/>
      </c>
      <c r="H486" s="38">
        <f>UPPER(Sheet1!J486 &amp; "," &amp; Sheet1!K486 &amp; "," &amp; Sheet1!L486)</f>
        <v/>
      </c>
      <c r="I486" s="45">
        <f>Sheet1!I486</f>
        <v/>
      </c>
      <c r="J486" s="5">
        <f>Sheet1!M486 &amp; "," &amp; TEXT(Sheet1!N486,"dd/mm/yy")</f>
        <v/>
      </c>
      <c r="K486" s="5" t="inlineStr">
        <is>
          <t>PRINTED</t>
        </is>
      </c>
      <c r="L486" s="30" t="inlineStr">
        <is>
          <t>25/03/2026</t>
        </is>
      </c>
      <c r="M486" s="30" t="inlineStr">
        <is>
          <t>MANISH KATARIA, VICE CONSUL</t>
        </is>
      </c>
      <c r="N486" s="30" t="inlineStr">
        <is>
          <t>26/02/2026</t>
        </is>
      </c>
    </row>
    <row r="487">
      <c r="A487" s="4">
        <f>Sheet1!A487 &amp; "/" &amp; "2025"</f>
        <v/>
      </c>
      <c r="B487" s="5">
        <f>Sheet1!E487</f>
        <v/>
      </c>
      <c r="C487" s="6">
        <f>UPPER(Sheet1!B487)</f>
        <v/>
      </c>
      <c r="D487" s="7">
        <f>IF(Sheet1!F487="F","FEMALE","MALE")</f>
        <v/>
      </c>
      <c r="E487" s="6">
        <f>UPPER(Sheet1!G487)</f>
        <v/>
      </c>
      <c r="F487" s="6">
        <f>UPPER(Sheet1!H487)</f>
        <v/>
      </c>
      <c r="G487" s="5">
        <f>TEXT(Sheet1!C487,"dd/mm/yyyy") &amp; "," &amp; Sheet1!D487</f>
        <v/>
      </c>
      <c r="H487" s="38">
        <f>UPPER(Sheet1!J487 &amp; "," &amp; Sheet1!K487 &amp; "," &amp; Sheet1!L487)</f>
        <v/>
      </c>
      <c r="I487" s="45">
        <f>Sheet1!I487</f>
        <v/>
      </c>
      <c r="J487" s="5">
        <f>Sheet1!M487 &amp; "," &amp; TEXT(Sheet1!N487,"dd/mm/yy")</f>
        <v/>
      </c>
      <c r="K487" s="5" t="inlineStr">
        <is>
          <t>PRINTED</t>
        </is>
      </c>
      <c r="L487" s="30" t="inlineStr">
        <is>
          <t>25/03/2026</t>
        </is>
      </c>
      <c r="M487" s="30" t="inlineStr">
        <is>
          <t>MANISH KATARIA, VICE CONSUL</t>
        </is>
      </c>
      <c r="N487" s="30" t="inlineStr">
        <is>
          <t>26/02/2026</t>
        </is>
      </c>
    </row>
    <row r="488">
      <c r="A488" s="4">
        <f>Sheet1!A488 &amp; "/" &amp; "2025"</f>
        <v/>
      </c>
      <c r="B488" s="5">
        <f>Sheet1!E488</f>
        <v/>
      </c>
      <c r="C488" s="6">
        <f>UPPER(Sheet1!B488)</f>
        <v/>
      </c>
      <c r="D488" s="7">
        <f>IF(Sheet1!F488="F","FEMALE","MALE")</f>
        <v/>
      </c>
      <c r="E488" s="6">
        <f>UPPER(Sheet1!G488)</f>
        <v/>
      </c>
      <c r="F488" s="6">
        <f>UPPER(Sheet1!H488)</f>
        <v/>
      </c>
      <c r="G488" s="5">
        <f>TEXT(Sheet1!C488,"dd/mm/yyyy") &amp; "," &amp; Sheet1!D488</f>
        <v/>
      </c>
      <c r="H488" s="38">
        <f>UPPER(Sheet1!J488 &amp; "," &amp; Sheet1!K488 &amp; "," &amp; Sheet1!L488)</f>
        <v/>
      </c>
      <c r="I488" s="45">
        <f>Sheet1!I488</f>
        <v/>
      </c>
      <c r="J488" s="5">
        <f>Sheet1!M488 &amp; "," &amp; TEXT(Sheet1!N488,"dd/mm/yy")</f>
        <v/>
      </c>
      <c r="K488" s="5" t="inlineStr">
        <is>
          <t>PRINTED</t>
        </is>
      </c>
      <c r="L488" s="30" t="inlineStr">
        <is>
          <t>25/03/2026</t>
        </is>
      </c>
      <c r="M488" s="30" t="inlineStr">
        <is>
          <t>MANISH KATARIA, VICE CONSUL</t>
        </is>
      </c>
      <c r="N488" s="30" t="inlineStr">
        <is>
          <t>26/02/2026</t>
        </is>
      </c>
    </row>
    <row r="489">
      <c r="A489" s="4">
        <f>Sheet1!A489 &amp; "/" &amp; "2025"</f>
        <v/>
      </c>
      <c r="B489" s="5">
        <f>Sheet1!E489</f>
        <v/>
      </c>
      <c r="C489" s="6">
        <f>UPPER(Sheet1!B489)</f>
        <v/>
      </c>
      <c r="D489" s="7">
        <f>IF(Sheet1!F489="F","FEMALE","MALE")</f>
        <v/>
      </c>
      <c r="E489" s="6">
        <f>UPPER(Sheet1!G489)</f>
        <v/>
      </c>
      <c r="F489" s="6">
        <f>UPPER(Sheet1!H489)</f>
        <v/>
      </c>
      <c r="G489" s="5">
        <f>TEXT(Sheet1!C489,"dd/mm/yyyy") &amp; "," &amp; Sheet1!D489</f>
        <v/>
      </c>
      <c r="H489" s="38">
        <f>UPPER(Sheet1!J489 &amp; "," &amp; Sheet1!K489 &amp; "," &amp; Sheet1!L489)</f>
        <v/>
      </c>
      <c r="I489" s="45">
        <f>Sheet1!I489</f>
        <v/>
      </c>
      <c r="J489" s="5">
        <f>Sheet1!M489 &amp; "," &amp; TEXT(Sheet1!N489,"dd/mm/yy")</f>
        <v/>
      </c>
      <c r="K489" s="5" t="inlineStr">
        <is>
          <t>PRINTED</t>
        </is>
      </c>
      <c r="L489" s="30" t="inlineStr">
        <is>
          <t>25/03/2026</t>
        </is>
      </c>
      <c r="M489" s="30" t="inlineStr">
        <is>
          <t>MANISH KATARIA, VICE CONSUL</t>
        </is>
      </c>
      <c r="N489" s="30" t="inlineStr">
        <is>
          <t>26/02/2026</t>
        </is>
      </c>
    </row>
    <row r="490">
      <c r="A490" s="4">
        <f>Sheet1!A490 &amp; "/" &amp; "2025"</f>
        <v/>
      </c>
      <c r="B490" s="5">
        <f>Sheet1!E490</f>
        <v/>
      </c>
      <c r="C490" s="6">
        <f>UPPER(Sheet1!B490)</f>
        <v/>
      </c>
      <c r="D490" s="7">
        <f>IF(Sheet1!F490="F","FEMALE","MALE")</f>
        <v/>
      </c>
      <c r="E490" s="6">
        <f>UPPER(Sheet1!G490)</f>
        <v/>
      </c>
      <c r="F490" s="6">
        <f>UPPER(Sheet1!H490)</f>
        <v/>
      </c>
      <c r="G490" s="5">
        <f>TEXT(Sheet1!C490,"dd/mm/yyyy") &amp; "," &amp; Sheet1!D490</f>
        <v/>
      </c>
      <c r="H490" s="38">
        <f>UPPER(Sheet1!J490 &amp; "," &amp; Sheet1!K490 &amp; "," &amp; Sheet1!L490)</f>
        <v/>
      </c>
      <c r="I490" s="45">
        <f>Sheet1!I490</f>
        <v/>
      </c>
      <c r="J490" s="5">
        <f>Sheet1!M490 &amp; "," &amp; TEXT(Sheet1!N490,"dd/mm/yy")</f>
        <v/>
      </c>
      <c r="K490" s="5" t="inlineStr">
        <is>
          <t>PRINTED</t>
        </is>
      </c>
      <c r="L490" s="30" t="inlineStr">
        <is>
          <t>25/03/2026</t>
        </is>
      </c>
      <c r="M490" s="30" t="inlineStr">
        <is>
          <t>MANISH KATARIA, VICE CONSUL</t>
        </is>
      </c>
      <c r="N490" s="30" t="inlineStr">
        <is>
          <t>26/02/2026</t>
        </is>
      </c>
    </row>
    <row r="491">
      <c r="A491" s="4">
        <f>Sheet1!A491 &amp; "/" &amp; "2025"</f>
        <v/>
      </c>
      <c r="B491" s="5">
        <f>Sheet1!E491</f>
        <v/>
      </c>
      <c r="C491" s="6">
        <f>UPPER(Sheet1!B491)</f>
        <v/>
      </c>
      <c r="D491" s="7">
        <f>IF(Sheet1!F491="F","FEMALE","MALE")</f>
        <v/>
      </c>
      <c r="E491" s="6">
        <f>UPPER(Sheet1!G491)</f>
        <v/>
      </c>
      <c r="F491" s="6">
        <f>UPPER(Sheet1!H491)</f>
        <v/>
      </c>
      <c r="G491" s="5">
        <f>TEXT(Sheet1!C491,"dd/mm/yyyy") &amp; "," &amp; Sheet1!D491</f>
        <v/>
      </c>
      <c r="H491" s="38">
        <f>UPPER(Sheet1!J491 &amp; "," &amp; Sheet1!K491 &amp; "," &amp; Sheet1!L491)</f>
        <v/>
      </c>
      <c r="I491" s="45">
        <f>Sheet1!I491</f>
        <v/>
      </c>
      <c r="J491" s="5">
        <f>Sheet1!M491 &amp; "," &amp; TEXT(Sheet1!N491,"dd/mm/yy")</f>
        <v/>
      </c>
      <c r="K491" s="5" t="inlineStr">
        <is>
          <t>PRINTED</t>
        </is>
      </c>
      <c r="L491" s="30" t="inlineStr">
        <is>
          <t>25/03/2026</t>
        </is>
      </c>
      <c r="M491" s="30" t="inlineStr">
        <is>
          <t>MANISH KATARIA, VICE CONSUL</t>
        </is>
      </c>
      <c r="N491" s="30" t="inlineStr">
        <is>
          <t>26/02/2026</t>
        </is>
      </c>
    </row>
    <row r="492">
      <c r="A492" s="4">
        <f>Sheet1!A492 &amp; "/" &amp; "2025"</f>
        <v/>
      </c>
      <c r="B492" s="5">
        <f>Sheet1!E492</f>
        <v/>
      </c>
      <c r="C492" s="6">
        <f>UPPER(Sheet1!B492)</f>
        <v/>
      </c>
      <c r="D492" s="7">
        <f>IF(Sheet1!F492="F","FEMALE","MALE")</f>
        <v/>
      </c>
      <c r="E492" s="6">
        <f>UPPER(Sheet1!G492)</f>
        <v/>
      </c>
      <c r="F492" s="6">
        <f>UPPER(Sheet1!H492)</f>
        <v/>
      </c>
      <c r="G492" s="5">
        <f>TEXT(Sheet1!C492,"dd/mm/yyyy") &amp; "," &amp; Sheet1!D492</f>
        <v/>
      </c>
      <c r="H492" s="38">
        <f>UPPER(Sheet1!J492 &amp; "," &amp; Sheet1!K492 &amp; "," &amp; Sheet1!L492)</f>
        <v/>
      </c>
      <c r="I492" s="45">
        <f>Sheet1!I492</f>
        <v/>
      </c>
      <c r="J492" s="5">
        <f>Sheet1!M492 &amp; "," &amp; TEXT(Sheet1!N492,"dd/mm/yy")</f>
        <v/>
      </c>
      <c r="K492" s="5" t="inlineStr">
        <is>
          <t>PRINTED</t>
        </is>
      </c>
      <c r="L492" s="30" t="inlineStr">
        <is>
          <t>25/03/2026</t>
        </is>
      </c>
      <c r="M492" s="30" t="inlineStr">
        <is>
          <t>MANISH KATARIA, VICE CONSUL</t>
        </is>
      </c>
      <c r="N492" s="30" t="inlineStr">
        <is>
          <t>26/02/2026</t>
        </is>
      </c>
    </row>
    <row r="493">
      <c r="A493" s="4">
        <f>Sheet1!A493 &amp; "/" &amp; "2025"</f>
        <v/>
      </c>
      <c r="B493" s="5">
        <f>Sheet1!E493</f>
        <v/>
      </c>
      <c r="C493" s="6">
        <f>UPPER(Sheet1!B493)</f>
        <v/>
      </c>
      <c r="D493" s="7">
        <f>IF(Sheet1!F493="F","FEMALE","MALE")</f>
        <v/>
      </c>
      <c r="E493" s="6">
        <f>UPPER(Sheet1!G493)</f>
        <v/>
      </c>
      <c r="F493" s="6">
        <f>UPPER(Sheet1!H493)</f>
        <v/>
      </c>
      <c r="G493" s="5">
        <f>TEXT(Sheet1!C493,"dd/mm/yyyy") &amp; "," &amp; Sheet1!D493</f>
        <v/>
      </c>
      <c r="H493" s="38">
        <f>UPPER(Sheet1!J493 &amp; "," &amp; Sheet1!K493 &amp; "," &amp; Sheet1!L493)</f>
        <v/>
      </c>
      <c r="I493" s="45">
        <f>Sheet1!I493</f>
        <v/>
      </c>
      <c r="J493" s="5">
        <f>Sheet1!M493 &amp; "," &amp; TEXT(Sheet1!N493,"dd/mm/yy")</f>
        <v/>
      </c>
      <c r="K493" s="5" t="inlineStr">
        <is>
          <t>PRINTED</t>
        </is>
      </c>
      <c r="L493" s="30" t="inlineStr">
        <is>
          <t>25/03/2026</t>
        </is>
      </c>
      <c r="M493" s="30" t="inlineStr">
        <is>
          <t>MANISH KATARIA, VICE CONSUL</t>
        </is>
      </c>
      <c r="N493" s="30" t="inlineStr">
        <is>
          <t>26/02/2026</t>
        </is>
      </c>
    </row>
    <row r="494">
      <c r="A494" s="4">
        <f>Sheet1!A494 &amp; "/" &amp; "2025"</f>
        <v/>
      </c>
      <c r="B494" s="5">
        <f>Sheet1!E494</f>
        <v/>
      </c>
      <c r="C494" s="6">
        <f>UPPER(Sheet1!B494)</f>
        <v/>
      </c>
      <c r="D494" s="7">
        <f>IF(Sheet1!F494="F","FEMALE","MALE")</f>
        <v/>
      </c>
      <c r="E494" s="6">
        <f>UPPER(Sheet1!G494)</f>
        <v/>
      </c>
      <c r="F494" s="6">
        <f>UPPER(Sheet1!H494)</f>
        <v/>
      </c>
      <c r="G494" s="5">
        <f>TEXT(Sheet1!C494,"dd/mm/yyyy") &amp; "," &amp; Sheet1!D494</f>
        <v/>
      </c>
      <c r="H494" s="38">
        <f>UPPER(Sheet1!J494 &amp; "," &amp; Sheet1!K494 &amp; "," &amp; Sheet1!L494)</f>
        <v/>
      </c>
      <c r="I494" s="45">
        <f>Sheet1!I494</f>
        <v/>
      </c>
      <c r="J494" s="5">
        <f>Sheet1!M494 &amp; "," &amp; TEXT(Sheet1!N494,"dd/mm/yy")</f>
        <v/>
      </c>
      <c r="K494" s="5" t="inlineStr">
        <is>
          <t>PRINTED</t>
        </is>
      </c>
      <c r="L494" s="30" t="inlineStr">
        <is>
          <t>25/03/2026</t>
        </is>
      </c>
      <c r="M494" s="30" t="inlineStr">
        <is>
          <t>MANISH KATARIA, VICE CONSUL</t>
        </is>
      </c>
      <c r="N494" s="30" t="inlineStr">
        <is>
          <t>26/02/2026</t>
        </is>
      </c>
    </row>
    <row r="495">
      <c r="A495" s="4">
        <f>Sheet1!A495 &amp; "/" &amp; "2025"</f>
        <v/>
      </c>
      <c r="B495" s="5">
        <f>Sheet1!E495</f>
        <v/>
      </c>
      <c r="C495" s="6">
        <f>UPPER(Sheet1!B495)</f>
        <v/>
      </c>
      <c r="D495" s="7">
        <f>IF(Sheet1!F495="F","FEMALE","MALE")</f>
        <v/>
      </c>
      <c r="E495" s="6">
        <f>UPPER(Sheet1!G495)</f>
        <v/>
      </c>
      <c r="F495" s="6">
        <f>UPPER(Sheet1!H495)</f>
        <v/>
      </c>
      <c r="G495" s="5">
        <f>TEXT(Sheet1!C495,"dd/mm/yyyy") &amp; "," &amp; Sheet1!D495</f>
        <v/>
      </c>
      <c r="H495" s="38">
        <f>UPPER(Sheet1!J495 &amp; "," &amp; Sheet1!K495 &amp; "," &amp; Sheet1!L495)</f>
        <v/>
      </c>
      <c r="I495" s="45">
        <f>Sheet1!I495</f>
        <v/>
      </c>
      <c r="J495" s="5">
        <f>Sheet1!M495 &amp; "," &amp; TEXT(Sheet1!N495,"dd/mm/yy")</f>
        <v/>
      </c>
      <c r="K495" s="5" t="inlineStr">
        <is>
          <t>PRINTED</t>
        </is>
      </c>
      <c r="L495" s="30" t="inlineStr">
        <is>
          <t>25/03/2026</t>
        </is>
      </c>
      <c r="M495" s="30" t="inlineStr">
        <is>
          <t>MANISH KATARIA, VICE CONSUL</t>
        </is>
      </c>
      <c r="N495" s="30" t="inlineStr">
        <is>
          <t>26/02/2026</t>
        </is>
      </c>
    </row>
    <row r="496">
      <c r="A496" s="4">
        <f>Sheet1!A496 &amp; "/" &amp; "2025"</f>
        <v/>
      </c>
      <c r="B496" s="5">
        <f>Sheet1!E496</f>
        <v/>
      </c>
      <c r="C496" s="6">
        <f>UPPER(Sheet1!B496)</f>
        <v/>
      </c>
      <c r="D496" s="7">
        <f>IF(Sheet1!F496="F","FEMALE","MALE")</f>
        <v/>
      </c>
      <c r="E496" s="6">
        <f>UPPER(Sheet1!G496)</f>
        <v/>
      </c>
      <c r="F496" s="6">
        <f>UPPER(Sheet1!H496)</f>
        <v/>
      </c>
      <c r="G496" s="5">
        <f>TEXT(Sheet1!C496,"dd/mm/yyyy") &amp; "," &amp; Sheet1!D496</f>
        <v/>
      </c>
      <c r="H496" s="38">
        <f>UPPER(Sheet1!J496 &amp; "," &amp; Sheet1!K496 &amp; "," &amp; Sheet1!L496)</f>
        <v/>
      </c>
      <c r="I496" s="45">
        <f>Sheet1!I496</f>
        <v/>
      </c>
      <c r="J496" s="5">
        <f>Sheet1!M496 &amp; "," &amp; TEXT(Sheet1!N496,"dd/mm/yy")</f>
        <v/>
      </c>
      <c r="K496" s="5" t="inlineStr">
        <is>
          <t>PRINTED</t>
        </is>
      </c>
      <c r="L496" s="30" t="inlineStr">
        <is>
          <t>25/03/2026</t>
        </is>
      </c>
      <c r="M496" s="30" t="inlineStr">
        <is>
          <t>MANISH KATARIA, VICE CONSUL</t>
        </is>
      </c>
      <c r="N496" s="30" t="inlineStr">
        <is>
          <t>26/02/2026</t>
        </is>
      </c>
    </row>
    <row r="497">
      <c r="A497" s="4">
        <f>Sheet1!A497 &amp; "/" &amp; "2025"</f>
        <v/>
      </c>
      <c r="B497" s="5">
        <f>Sheet1!E497</f>
        <v/>
      </c>
      <c r="C497" s="6">
        <f>UPPER(Sheet1!B497)</f>
        <v/>
      </c>
      <c r="D497" s="7">
        <f>IF(Sheet1!F497="F","FEMALE","MALE")</f>
        <v/>
      </c>
      <c r="E497" s="6">
        <f>UPPER(Sheet1!G497)</f>
        <v/>
      </c>
      <c r="F497" s="6">
        <f>UPPER(Sheet1!H497)</f>
        <v/>
      </c>
      <c r="G497" s="5">
        <f>TEXT(Sheet1!C497,"dd/mm/yyyy") &amp; "," &amp; Sheet1!D497</f>
        <v/>
      </c>
      <c r="H497" s="38">
        <f>UPPER(Sheet1!J497 &amp; "," &amp; Sheet1!K497 &amp; "," &amp; Sheet1!L497)</f>
        <v/>
      </c>
      <c r="I497" s="45">
        <f>Sheet1!I497</f>
        <v/>
      </c>
      <c r="J497" s="5">
        <f>Sheet1!M497 &amp; "," &amp; TEXT(Sheet1!N497,"dd/mm/yy")</f>
        <v/>
      </c>
      <c r="K497" s="5" t="inlineStr">
        <is>
          <t>PRINTED</t>
        </is>
      </c>
      <c r="L497" s="30" t="inlineStr">
        <is>
          <t>25/03/2026</t>
        </is>
      </c>
      <c r="M497" s="30" t="inlineStr">
        <is>
          <t>MANISH KATARIA, VICE CONSUL</t>
        </is>
      </c>
      <c r="N497" s="30" t="inlineStr">
        <is>
          <t>26/02/2026</t>
        </is>
      </c>
    </row>
    <row r="498">
      <c r="A498" s="4">
        <f>Sheet1!A498 &amp; "/" &amp; "2025"</f>
        <v/>
      </c>
      <c r="B498" s="5">
        <f>Sheet1!E498</f>
        <v/>
      </c>
      <c r="C498" s="6">
        <f>UPPER(Sheet1!B498)</f>
        <v/>
      </c>
      <c r="D498" s="7">
        <f>IF(Sheet1!F498="F","FEMALE","MALE")</f>
        <v/>
      </c>
      <c r="E498" s="6">
        <f>UPPER(Sheet1!G498)</f>
        <v/>
      </c>
      <c r="F498" s="6">
        <f>UPPER(Sheet1!H498)</f>
        <v/>
      </c>
      <c r="G498" s="5">
        <f>TEXT(Sheet1!C498,"dd/mm/yyyy") &amp; "," &amp; Sheet1!D498</f>
        <v/>
      </c>
      <c r="H498" s="38">
        <f>UPPER(Sheet1!J498 &amp; "," &amp; Sheet1!K498 &amp; "," &amp; Sheet1!L498)</f>
        <v/>
      </c>
      <c r="I498" s="45">
        <f>Sheet1!I498</f>
        <v/>
      </c>
      <c r="J498" s="5">
        <f>Sheet1!M498 &amp; "," &amp; TEXT(Sheet1!N498,"dd/mm/yy")</f>
        <v/>
      </c>
      <c r="K498" s="5" t="inlineStr">
        <is>
          <t>PRINTED</t>
        </is>
      </c>
      <c r="L498" s="30" t="inlineStr">
        <is>
          <t>25/03/2026</t>
        </is>
      </c>
      <c r="M498" s="30" t="inlineStr">
        <is>
          <t>MANISH KATARIA, VICE CONSUL</t>
        </is>
      </c>
      <c r="N498" s="30" t="inlineStr">
        <is>
          <t>26/02/2026</t>
        </is>
      </c>
    </row>
    <row r="499">
      <c r="A499" s="4">
        <f>Sheet1!A499 &amp; "/" &amp; "2025"</f>
        <v/>
      </c>
      <c r="B499" s="5">
        <f>Sheet1!E499</f>
        <v/>
      </c>
      <c r="C499" s="6">
        <f>UPPER(Sheet1!B499)</f>
        <v/>
      </c>
      <c r="D499" s="7">
        <f>IF(Sheet1!F499="F","FEMALE","MALE")</f>
        <v/>
      </c>
      <c r="E499" s="6">
        <f>UPPER(Sheet1!G499)</f>
        <v/>
      </c>
      <c r="F499" s="6">
        <f>UPPER(Sheet1!H499)</f>
        <v/>
      </c>
      <c r="G499" s="5">
        <f>TEXT(Sheet1!C499,"dd/mm/yyyy") &amp; "," &amp; Sheet1!D499</f>
        <v/>
      </c>
      <c r="H499" s="38">
        <f>UPPER(Sheet1!J499 &amp; "," &amp; Sheet1!K499 &amp; "," &amp; Sheet1!L499)</f>
        <v/>
      </c>
      <c r="I499" s="45">
        <f>Sheet1!I499</f>
        <v/>
      </c>
      <c r="J499" s="5">
        <f>Sheet1!M499 &amp; "," &amp; TEXT(Sheet1!N499,"dd/mm/yy")</f>
        <v/>
      </c>
      <c r="K499" s="5" t="inlineStr">
        <is>
          <t>PRINTED</t>
        </is>
      </c>
      <c r="L499" s="30" t="inlineStr">
        <is>
          <t>25/03/2026</t>
        </is>
      </c>
      <c r="M499" s="30" t="inlineStr">
        <is>
          <t>MANISH KATARIA, VICE CONSUL</t>
        </is>
      </c>
      <c r="N499" s="30" t="inlineStr">
        <is>
          <t>26/02/2026</t>
        </is>
      </c>
    </row>
    <row r="500">
      <c r="A500" s="4">
        <f>Sheet1!A500 &amp; "/" &amp; "2025"</f>
        <v/>
      </c>
      <c r="B500" s="5">
        <f>Sheet1!E500</f>
        <v/>
      </c>
      <c r="C500" s="6">
        <f>UPPER(Sheet1!B500)</f>
        <v/>
      </c>
      <c r="D500" s="7">
        <f>IF(Sheet1!F500="F","FEMALE","MALE")</f>
        <v/>
      </c>
      <c r="E500" s="6">
        <f>UPPER(Sheet1!G500)</f>
        <v/>
      </c>
      <c r="F500" s="6">
        <f>UPPER(Sheet1!H500)</f>
        <v/>
      </c>
      <c r="G500" s="5">
        <f>TEXT(Sheet1!C500,"dd/mm/yyyy") &amp; "," &amp; Sheet1!D500</f>
        <v/>
      </c>
      <c r="H500" s="38">
        <f>UPPER(Sheet1!J500 &amp; "," &amp; Sheet1!K500 &amp; "," &amp; Sheet1!L500)</f>
        <v/>
      </c>
      <c r="I500" s="45">
        <f>Sheet1!I500</f>
        <v/>
      </c>
      <c r="J500" s="5">
        <f>Sheet1!M500 &amp; "," &amp; TEXT(Sheet1!N500,"dd/mm/yy")</f>
        <v/>
      </c>
      <c r="K500" s="5" t="inlineStr">
        <is>
          <t>PRINTED</t>
        </is>
      </c>
      <c r="L500" s="30" t="inlineStr">
        <is>
          <t>25/03/2026</t>
        </is>
      </c>
      <c r="M500" s="30" t="inlineStr">
        <is>
          <t>MANISH KATARIA, VICE CONSUL</t>
        </is>
      </c>
      <c r="N500" s="30" t="inlineStr">
        <is>
          <t>26/02/2026</t>
        </is>
      </c>
    </row>
    <row r="501">
      <c r="A501" s="4">
        <f>Sheet1!A501 &amp; "/" &amp; "2025"</f>
        <v/>
      </c>
      <c r="B501" s="5">
        <f>Sheet1!E501</f>
        <v/>
      </c>
      <c r="C501" s="6">
        <f>UPPER(Sheet1!B501)</f>
        <v/>
      </c>
      <c r="D501" s="7">
        <f>IF(Sheet1!F501="F","FEMALE","MALE")</f>
        <v/>
      </c>
      <c r="E501" s="6">
        <f>UPPER(Sheet1!G501)</f>
        <v/>
      </c>
      <c r="F501" s="6">
        <f>UPPER(Sheet1!H501)</f>
        <v/>
      </c>
      <c r="G501" s="5">
        <f>TEXT(Sheet1!C501,"dd/mm/yyyy") &amp; "," &amp; Sheet1!D501</f>
        <v/>
      </c>
      <c r="H501" s="38">
        <f>UPPER(Sheet1!J501 &amp; "," &amp; Sheet1!K501 &amp; "," &amp; Sheet1!L501)</f>
        <v/>
      </c>
      <c r="I501" s="45">
        <f>Sheet1!I501</f>
        <v/>
      </c>
      <c r="J501" s="5">
        <f>Sheet1!M501 &amp; "," &amp; TEXT(Sheet1!N501,"dd/mm/yy")</f>
        <v/>
      </c>
      <c r="K501" s="5" t="inlineStr">
        <is>
          <t>PRINTED</t>
        </is>
      </c>
      <c r="L501" s="30" t="inlineStr">
        <is>
          <t>25/03/2026</t>
        </is>
      </c>
      <c r="M501" s="30" t="inlineStr">
        <is>
          <t>MANISH KATARIA, VICE CONSUL</t>
        </is>
      </c>
      <c r="N501" s="30" t="inlineStr">
        <is>
          <t>26/02/2026</t>
        </is>
      </c>
    </row>
    <row r="502">
      <c r="A502" s="4">
        <f>Sheet1!A502 &amp; "/" &amp; "2025"</f>
        <v/>
      </c>
      <c r="B502" s="5">
        <f>Sheet1!E502</f>
        <v/>
      </c>
      <c r="C502" s="6">
        <f>UPPER(Sheet1!B502)</f>
        <v/>
      </c>
      <c r="D502" s="7">
        <f>IF(Sheet1!F502="F","FEMALE","MALE")</f>
        <v/>
      </c>
      <c r="E502" s="6">
        <f>UPPER(Sheet1!G502)</f>
        <v/>
      </c>
      <c r="F502" s="6">
        <f>UPPER(Sheet1!H502)</f>
        <v/>
      </c>
      <c r="G502" s="5">
        <f>TEXT(Sheet1!C502,"dd/mm/yyyy") &amp; "," &amp; Sheet1!D502</f>
        <v/>
      </c>
      <c r="H502" s="38">
        <f>UPPER(Sheet1!J502 &amp; "," &amp; Sheet1!K502 &amp; "," &amp; Sheet1!L502)</f>
        <v/>
      </c>
      <c r="I502" s="45">
        <f>Sheet1!I502</f>
        <v/>
      </c>
      <c r="J502" s="5">
        <f>Sheet1!M502 &amp; "," &amp; TEXT(Sheet1!N502,"dd/mm/yy")</f>
        <v/>
      </c>
      <c r="K502" s="5" t="inlineStr">
        <is>
          <t>PRINTED</t>
        </is>
      </c>
      <c r="L502" s="30" t="inlineStr">
        <is>
          <t>25/03/2026</t>
        </is>
      </c>
      <c r="M502" s="30" t="inlineStr">
        <is>
          <t>MANISH KATARIA, VICE CONSUL</t>
        </is>
      </c>
      <c r="N502" s="30" t="inlineStr">
        <is>
          <t>26/02/2026</t>
        </is>
      </c>
    </row>
    <row r="503">
      <c r="A503" s="4">
        <f>Sheet1!A503 &amp; "/" &amp; "2025"</f>
        <v/>
      </c>
      <c r="B503" s="5">
        <f>Sheet1!E503</f>
        <v/>
      </c>
      <c r="C503" s="6">
        <f>UPPER(Sheet1!B503)</f>
        <v/>
      </c>
      <c r="D503" s="7">
        <f>IF(Sheet1!F503="F","FEMALE","MALE")</f>
        <v/>
      </c>
      <c r="E503" s="6">
        <f>UPPER(Sheet1!G503)</f>
        <v/>
      </c>
      <c r="F503" s="6">
        <f>UPPER(Sheet1!H503)</f>
        <v/>
      </c>
      <c r="G503" s="5">
        <f>TEXT(Sheet1!C503,"dd/mm/yyyy") &amp; "," &amp; Sheet1!D503</f>
        <v/>
      </c>
      <c r="H503" s="38">
        <f>UPPER(Sheet1!J503 &amp; "," &amp; Sheet1!K503 &amp; "," &amp; Sheet1!L503)</f>
        <v/>
      </c>
      <c r="I503" s="45">
        <f>Sheet1!I503</f>
        <v/>
      </c>
      <c r="J503" s="5">
        <f>Sheet1!M503 &amp; "," &amp; TEXT(Sheet1!N503,"dd/mm/yy")</f>
        <v/>
      </c>
      <c r="K503" s="5" t="inlineStr">
        <is>
          <t>PRINTED</t>
        </is>
      </c>
      <c r="L503" s="30" t="inlineStr">
        <is>
          <t>25/03/2026</t>
        </is>
      </c>
      <c r="M503" s="30" t="inlineStr">
        <is>
          <t>MANISH KATARIA, VICE CONSUL</t>
        </is>
      </c>
      <c r="N503" s="30" t="inlineStr">
        <is>
          <t>26/02/2026</t>
        </is>
      </c>
    </row>
    <row r="504">
      <c r="A504" s="4">
        <f>Sheet1!A504 &amp; "/" &amp; "2025"</f>
        <v/>
      </c>
      <c r="B504" s="5">
        <f>Sheet1!E504</f>
        <v/>
      </c>
      <c r="C504" s="6">
        <f>UPPER(Sheet1!B504)</f>
        <v/>
      </c>
      <c r="D504" s="7">
        <f>IF(Sheet1!F504="F","FEMALE","MALE")</f>
        <v/>
      </c>
      <c r="E504" s="6">
        <f>UPPER(Sheet1!G504)</f>
        <v/>
      </c>
      <c r="F504" s="6">
        <f>UPPER(Sheet1!H504)</f>
        <v/>
      </c>
      <c r="G504" s="5">
        <f>TEXT(Sheet1!C504,"dd/mm/yyyy") &amp; "," &amp; Sheet1!D504</f>
        <v/>
      </c>
      <c r="H504" s="38">
        <f>UPPER(Sheet1!J504 &amp; "," &amp; Sheet1!K504 &amp; "," &amp; Sheet1!L504)</f>
        <v/>
      </c>
      <c r="I504" s="45">
        <f>Sheet1!I504</f>
        <v/>
      </c>
      <c r="J504" s="5">
        <f>Sheet1!M504 &amp; "," &amp; TEXT(Sheet1!N504,"dd/mm/yy")</f>
        <v/>
      </c>
      <c r="K504" s="5" t="inlineStr">
        <is>
          <t>PRINTED</t>
        </is>
      </c>
      <c r="L504" s="30" t="inlineStr">
        <is>
          <t>25/03/2026</t>
        </is>
      </c>
      <c r="M504" s="30" t="inlineStr">
        <is>
          <t>MANISH KATARIA, VICE CONSUL</t>
        </is>
      </c>
      <c r="N504" s="30" t="inlineStr">
        <is>
          <t>26/02/2026</t>
        </is>
      </c>
    </row>
    <row r="505">
      <c r="A505" s="4">
        <f>Sheet1!A505 &amp; "/" &amp; "2025"</f>
        <v/>
      </c>
      <c r="B505" s="5">
        <f>Sheet1!E505</f>
        <v/>
      </c>
      <c r="C505" s="6">
        <f>UPPER(Sheet1!B505)</f>
        <v/>
      </c>
      <c r="D505" s="7">
        <f>IF(Sheet1!F505="F","FEMALE","MALE")</f>
        <v/>
      </c>
      <c r="E505" s="6">
        <f>UPPER(Sheet1!G505)</f>
        <v/>
      </c>
      <c r="F505" s="6">
        <f>UPPER(Sheet1!H505)</f>
        <v/>
      </c>
      <c r="G505" s="5">
        <f>TEXT(Sheet1!C505,"dd/mm/yyyy") &amp; "," &amp; Sheet1!D505</f>
        <v/>
      </c>
      <c r="H505" s="38">
        <f>UPPER(Sheet1!J505 &amp; "," &amp; Sheet1!K505 &amp; "," &amp; Sheet1!L505)</f>
        <v/>
      </c>
      <c r="I505" s="45">
        <f>Sheet1!I505</f>
        <v/>
      </c>
      <c r="J505" s="5">
        <f>Sheet1!M505 &amp; "," &amp; TEXT(Sheet1!N505,"dd/mm/yy")</f>
        <v/>
      </c>
      <c r="K505" s="5" t="inlineStr">
        <is>
          <t>PRINTED</t>
        </is>
      </c>
      <c r="L505" s="30" t="inlineStr">
        <is>
          <t>25/03/2026</t>
        </is>
      </c>
      <c r="M505" s="30" t="inlineStr">
        <is>
          <t>MANISH KATARIA, VICE CONSUL</t>
        </is>
      </c>
      <c r="N505" s="30" t="inlineStr">
        <is>
          <t>26/02/2026</t>
        </is>
      </c>
    </row>
    <row r="506">
      <c r="A506" s="4">
        <f>Sheet1!A506 &amp; "/" &amp; "2025"</f>
        <v/>
      </c>
      <c r="B506" s="5">
        <f>Sheet1!E506</f>
        <v/>
      </c>
      <c r="C506" s="6">
        <f>UPPER(Sheet1!B506)</f>
        <v/>
      </c>
      <c r="D506" s="7">
        <f>IF(Sheet1!F506="F","FEMALE","MALE")</f>
        <v/>
      </c>
      <c r="E506" s="6">
        <f>UPPER(Sheet1!G506)</f>
        <v/>
      </c>
      <c r="F506" s="6">
        <f>UPPER(Sheet1!H506)</f>
        <v/>
      </c>
      <c r="G506" s="5">
        <f>TEXT(Sheet1!C506,"dd/mm/yyyy") &amp; "," &amp; Sheet1!D506</f>
        <v/>
      </c>
      <c r="H506" s="38">
        <f>UPPER(Sheet1!J506 &amp; "," &amp; Sheet1!K506 &amp; "," &amp; Sheet1!L506)</f>
        <v/>
      </c>
      <c r="I506" s="45">
        <f>Sheet1!I506</f>
        <v/>
      </c>
      <c r="J506" s="5">
        <f>Sheet1!M506 &amp; "," &amp; TEXT(Sheet1!N506,"dd/mm/yy")</f>
        <v/>
      </c>
      <c r="K506" s="5" t="inlineStr">
        <is>
          <t>PRINTED</t>
        </is>
      </c>
      <c r="L506" s="30" t="inlineStr">
        <is>
          <t>25/03/2026</t>
        </is>
      </c>
      <c r="M506" s="30" t="inlineStr">
        <is>
          <t>MANISH KATARIA, VICE CONSUL</t>
        </is>
      </c>
      <c r="N506" s="30" t="inlineStr">
        <is>
          <t>26/02/2026</t>
        </is>
      </c>
    </row>
    <row r="507">
      <c r="A507" s="4">
        <f>Sheet1!A507 &amp; "/" &amp; "2025"</f>
        <v/>
      </c>
      <c r="B507" s="5">
        <f>Sheet1!E507</f>
        <v/>
      </c>
      <c r="C507" s="6">
        <f>UPPER(Sheet1!B507)</f>
        <v/>
      </c>
      <c r="D507" s="7">
        <f>IF(Sheet1!F507="F","FEMALE","MALE")</f>
        <v/>
      </c>
      <c r="E507" s="6">
        <f>UPPER(Sheet1!G507)</f>
        <v/>
      </c>
      <c r="F507" s="6">
        <f>UPPER(Sheet1!H507)</f>
        <v/>
      </c>
      <c r="G507" s="5">
        <f>TEXT(Sheet1!C507,"dd/mm/yyyy") &amp; "," &amp; Sheet1!D507</f>
        <v/>
      </c>
      <c r="H507" s="38">
        <f>UPPER(Sheet1!J507 &amp; "," &amp; Sheet1!K507 &amp; "," &amp; Sheet1!L507)</f>
        <v/>
      </c>
      <c r="I507" s="45">
        <f>Sheet1!I507</f>
        <v/>
      </c>
      <c r="J507" s="5">
        <f>Sheet1!M507 &amp; "," &amp; TEXT(Sheet1!N507,"dd/mm/yy")</f>
        <v/>
      </c>
      <c r="K507" s="5" t="inlineStr">
        <is>
          <t>PRINTED</t>
        </is>
      </c>
      <c r="L507" s="30" t="inlineStr">
        <is>
          <t>25/03/2026</t>
        </is>
      </c>
      <c r="M507" s="30" t="inlineStr">
        <is>
          <t>MANISH KATARIA, VICE CONSUL</t>
        </is>
      </c>
      <c r="N507" s="30" t="inlineStr">
        <is>
          <t>26/02/2026</t>
        </is>
      </c>
    </row>
    <row r="508">
      <c r="A508" s="4">
        <f>Sheet1!A508 &amp; "/" &amp; "2025"</f>
        <v/>
      </c>
      <c r="B508" s="5">
        <f>Sheet1!E508</f>
        <v/>
      </c>
      <c r="C508" s="6">
        <f>UPPER(Sheet1!B508)</f>
        <v/>
      </c>
      <c r="D508" s="7">
        <f>IF(Sheet1!F508="F","FEMALE","MALE")</f>
        <v/>
      </c>
      <c r="E508" s="6">
        <f>UPPER(Sheet1!G508)</f>
        <v/>
      </c>
      <c r="F508" s="6">
        <f>UPPER(Sheet1!H508)</f>
        <v/>
      </c>
      <c r="G508" s="5">
        <f>TEXT(Sheet1!C508,"dd/mm/yyyy") &amp; "," &amp; Sheet1!D508</f>
        <v/>
      </c>
      <c r="H508" s="38">
        <f>UPPER(Sheet1!J508 &amp; "," &amp; Sheet1!K508 &amp; "," &amp; Sheet1!L508)</f>
        <v/>
      </c>
      <c r="I508" s="45">
        <f>Sheet1!I508</f>
        <v/>
      </c>
      <c r="J508" s="5">
        <f>Sheet1!M508 &amp; "," &amp; TEXT(Sheet1!N508,"dd/mm/yy")</f>
        <v/>
      </c>
      <c r="K508" s="5" t="inlineStr">
        <is>
          <t>PRINTED</t>
        </is>
      </c>
      <c r="L508" s="30" t="inlineStr">
        <is>
          <t>25/03/2026</t>
        </is>
      </c>
      <c r="M508" s="30" t="inlineStr">
        <is>
          <t>MANISH KATARIA, VICE CONSUL</t>
        </is>
      </c>
      <c r="N508" s="30" t="inlineStr">
        <is>
          <t>26/02/2026</t>
        </is>
      </c>
    </row>
    <row r="509">
      <c r="A509" s="4">
        <f>Sheet1!A509 &amp; "/" &amp; "2025"</f>
        <v/>
      </c>
      <c r="B509" s="5">
        <f>Sheet1!E509</f>
        <v/>
      </c>
      <c r="C509" s="6">
        <f>UPPER(Sheet1!B509)</f>
        <v/>
      </c>
      <c r="D509" s="7">
        <f>IF(Sheet1!F509="F","FEMALE","MALE")</f>
        <v/>
      </c>
      <c r="E509" s="6">
        <f>UPPER(Sheet1!G509)</f>
        <v/>
      </c>
      <c r="F509" s="6">
        <f>UPPER(Sheet1!H509)</f>
        <v/>
      </c>
      <c r="G509" s="5">
        <f>TEXT(Sheet1!C509,"dd/mm/yyyy") &amp; "," &amp; Sheet1!D509</f>
        <v/>
      </c>
      <c r="H509" s="38">
        <f>UPPER(Sheet1!J509 &amp; "," &amp; Sheet1!K509 &amp; "," &amp; Sheet1!L509)</f>
        <v/>
      </c>
      <c r="I509" s="45">
        <f>Sheet1!I509</f>
        <v/>
      </c>
      <c r="J509" s="5">
        <f>Sheet1!M509 &amp; "," &amp; TEXT(Sheet1!N509,"dd/mm/yy")</f>
        <v/>
      </c>
      <c r="K509" s="5" t="inlineStr">
        <is>
          <t>PRINTED</t>
        </is>
      </c>
      <c r="L509" s="30" t="inlineStr">
        <is>
          <t>25/03/2026</t>
        </is>
      </c>
      <c r="M509" s="30" t="inlineStr">
        <is>
          <t>MANISH KATARIA, VICE CONSUL</t>
        </is>
      </c>
      <c r="N509" s="30" t="inlineStr">
        <is>
          <t>26/02/2026</t>
        </is>
      </c>
    </row>
    <row r="510">
      <c r="A510" s="4">
        <f>Sheet1!A510 &amp; "/" &amp; "2025"</f>
        <v/>
      </c>
      <c r="B510" s="5">
        <f>Sheet1!E510</f>
        <v/>
      </c>
      <c r="C510" s="6">
        <f>UPPER(Sheet1!B510)</f>
        <v/>
      </c>
      <c r="D510" s="7">
        <f>IF(Sheet1!F510="F","FEMALE","MALE")</f>
        <v/>
      </c>
      <c r="E510" s="6">
        <f>UPPER(Sheet1!G510)</f>
        <v/>
      </c>
      <c r="F510" s="6">
        <f>UPPER(Sheet1!H510)</f>
        <v/>
      </c>
      <c r="G510" s="5">
        <f>TEXT(Sheet1!C510,"dd/mm/yyyy") &amp; "," &amp; Sheet1!D510</f>
        <v/>
      </c>
      <c r="H510" s="38">
        <f>UPPER(Sheet1!J510 &amp; "," &amp; Sheet1!K510 &amp; "," &amp; Sheet1!L510)</f>
        <v/>
      </c>
      <c r="I510" s="45">
        <f>Sheet1!I510</f>
        <v/>
      </c>
      <c r="J510" s="5">
        <f>Sheet1!M510 &amp; "," &amp; TEXT(Sheet1!N510,"dd/mm/yy")</f>
        <v/>
      </c>
      <c r="K510" s="5" t="inlineStr">
        <is>
          <t>PRINTED</t>
        </is>
      </c>
      <c r="L510" s="30" t="inlineStr">
        <is>
          <t>25/03/2026</t>
        </is>
      </c>
      <c r="M510" s="30" t="inlineStr">
        <is>
          <t>MANISH KATARIA, VICE CONSUL</t>
        </is>
      </c>
      <c r="N510" s="30" t="inlineStr">
        <is>
          <t>26/02/2026</t>
        </is>
      </c>
    </row>
    <row r="511">
      <c r="A511" s="4">
        <f>Sheet1!A511 &amp; "/" &amp; "2025"</f>
        <v/>
      </c>
      <c r="B511" s="5">
        <f>Sheet1!E511</f>
        <v/>
      </c>
      <c r="C511" s="6">
        <f>UPPER(Sheet1!B511)</f>
        <v/>
      </c>
      <c r="D511" s="7">
        <f>IF(Sheet1!F511="F","FEMALE","MALE")</f>
        <v/>
      </c>
      <c r="E511" s="6">
        <f>UPPER(Sheet1!G511)</f>
        <v/>
      </c>
      <c r="F511" s="6">
        <f>UPPER(Sheet1!H511)</f>
        <v/>
      </c>
      <c r="G511" s="5">
        <f>TEXT(Sheet1!C511,"dd/mm/yyyy") &amp; "," &amp; Sheet1!D511</f>
        <v/>
      </c>
      <c r="H511" s="38">
        <f>UPPER(Sheet1!J511 &amp; "," &amp; Sheet1!K511 &amp; "," &amp; Sheet1!L511)</f>
        <v/>
      </c>
      <c r="I511" s="45">
        <f>Sheet1!I511</f>
        <v/>
      </c>
      <c r="J511" s="5">
        <f>Sheet1!M511 &amp; "," &amp; TEXT(Sheet1!N511,"dd/mm/yy")</f>
        <v/>
      </c>
      <c r="K511" s="5" t="inlineStr">
        <is>
          <t>PRINTED</t>
        </is>
      </c>
      <c r="L511" s="30" t="inlineStr">
        <is>
          <t>25/03/2026</t>
        </is>
      </c>
      <c r="M511" s="30" t="inlineStr">
        <is>
          <t>MANISH KATARIA, VICE CONSUL</t>
        </is>
      </c>
      <c r="N511" s="30" t="inlineStr">
        <is>
          <t>26/02/2026</t>
        </is>
      </c>
    </row>
    <row r="512">
      <c r="A512" s="4">
        <f>Sheet1!A512 &amp; "/" &amp; "2025"</f>
        <v/>
      </c>
      <c r="B512" s="5">
        <f>Sheet1!E512</f>
        <v/>
      </c>
      <c r="C512" s="6">
        <f>UPPER(Sheet1!B512)</f>
        <v/>
      </c>
      <c r="D512" s="7">
        <f>IF(Sheet1!F512="F","FEMALE","MALE")</f>
        <v/>
      </c>
      <c r="E512" s="6">
        <f>UPPER(Sheet1!G512)</f>
        <v/>
      </c>
      <c r="F512" s="6">
        <f>UPPER(Sheet1!H512)</f>
        <v/>
      </c>
      <c r="G512" s="5">
        <f>TEXT(Sheet1!C512,"dd/mm/yyyy") &amp; "," &amp; Sheet1!D512</f>
        <v/>
      </c>
      <c r="H512" s="38">
        <f>UPPER(Sheet1!J512 &amp; "," &amp; Sheet1!K512 &amp; "," &amp; Sheet1!L512)</f>
        <v/>
      </c>
      <c r="I512" s="45">
        <f>Sheet1!I512</f>
        <v/>
      </c>
      <c r="J512" s="5">
        <f>Sheet1!M512 &amp; "," &amp; TEXT(Sheet1!N512,"dd/mm/yy")</f>
        <v/>
      </c>
      <c r="K512" s="5" t="inlineStr">
        <is>
          <t>PRINTED</t>
        </is>
      </c>
      <c r="L512" s="30" t="inlineStr">
        <is>
          <t>25/03/2026</t>
        </is>
      </c>
      <c r="M512" s="30" t="inlineStr">
        <is>
          <t>MANISH KATARIA, VICE CONSUL</t>
        </is>
      </c>
      <c r="N512" s="30" t="inlineStr">
        <is>
          <t>26/02/2026</t>
        </is>
      </c>
    </row>
    <row r="513">
      <c r="A513" s="4">
        <f>Sheet1!A513 &amp; "/" &amp; "2025"</f>
        <v/>
      </c>
      <c r="B513" s="5">
        <f>Sheet1!E513</f>
        <v/>
      </c>
      <c r="C513" s="6">
        <f>UPPER(Sheet1!B513)</f>
        <v/>
      </c>
      <c r="D513" s="7">
        <f>IF(Sheet1!F513="F","FEMALE","MALE")</f>
        <v/>
      </c>
      <c r="E513" s="6">
        <f>UPPER(Sheet1!G513)</f>
        <v/>
      </c>
      <c r="F513" s="6">
        <f>UPPER(Sheet1!H513)</f>
        <v/>
      </c>
      <c r="G513" s="5">
        <f>TEXT(Sheet1!C513,"dd/mm/yyyy") &amp; "," &amp; Sheet1!D513</f>
        <v/>
      </c>
      <c r="H513" s="38">
        <f>UPPER(Sheet1!J513 &amp; "," &amp; Sheet1!K513 &amp; "," &amp; Sheet1!L513)</f>
        <v/>
      </c>
      <c r="I513" s="45">
        <f>Sheet1!I513</f>
        <v/>
      </c>
      <c r="J513" s="5">
        <f>Sheet1!M513 &amp; "," &amp; TEXT(Sheet1!N513,"dd/mm/yy")</f>
        <v/>
      </c>
      <c r="K513" s="5" t="inlineStr">
        <is>
          <t>PRINTED</t>
        </is>
      </c>
      <c r="L513" s="30" t="inlineStr">
        <is>
          <t>25/03/2026</t>
        </is>
      </c>
      <c r="M513" s="30" t="inlineStr">
        <is>
          <t>MANISH KATARIA, VICE CONSUL</t>
        </is>
      </c>
      <c r="N513" s="30" t="inlineStr">
        <is>
          <t>26/02/2026</t>
        </is>
      </c>
    </row>
    <row r="514" ht="30" customHeight="1">
      <c r="A514" s="4">
        <f>Sheet1!A514 &amp; "/" &amp; "2025"</f>
        <v/>
      </c>
      <c r="B514" s="5">
        <f>Sheet1!E514</f>
        <v/>
      </c>
      <c r="C514" s="6">
        <f>UPPER(Sheet1!B514)</f>
        <v/>
      </c>
      <c r="D514" s="7">
        <f>IF(Sheet1!F514="F","FEMALE","MALE")</f>
        <v/>
      </c>
      <c r="E514" s="6">
        <f>UPPER(Sheet1!G514)</f>
        <v/>
      </c>
      <c r="F514" s="6">
        <f>UPPER(Sheet1!H514)</f>
        <v/>
      </c>
      <c r="G514" s="5">
        <f>TEXT(Sheet1!C514,"dd/mm/yyyy") &amp; "," &amp; Sheet1!D514</f>
        <v/>
      </c>
      <c r="H514" s="38">
        <f>UPPER(Sheet1!J514 &amp; "," &amp; Sheet1!K514 &amp; "," &amp; Sheet1!L514)</f>
        <v/>
      </c>
      <c r="I514" s="45">
        <f>Sheet1!I514</f>
        <v/>
      </c>
      <c r="J514" s="5">
        <f>Sheet1!M514 &amp; "," &amp; TEXT(Sheet1!N514,"dd/mm/yy")</f>
        <v/>
      </c>
      <c r="K514" s="5" t="inlineStr">
        <is>
          <t>PRINTED</t>
        </is>
      </c>
      <c r="L514" s="30" t="inlineStr">
        <is>
          <t>25/03/2026</t>
        </is>
      </c>
      <c r="M514" s="30" t="inlineStr">
        <is>
          <t>MANISH KATARIA, VICE CONSUL</t>
        </is>
      </c>
      <c r="N514" s="30" t="inlineStr">
        <is>
          <t>26/02/2026</t>
        </is>
      </c>
    </row>
    <row r="515">
      <c r="A515" s="4">
        <f>Sheet1!A515 &amp; "/" &amp; "2025"</f>
        <v/>
      </c>
      <c r="B515" s="5">
        <f>Sheet1!E515</f>
        <v/>
      </c>
      <c r="C515" s="6">
        <f>UPPER(Sheet1!B515)</f>
        <v/>
      </c>
      <c r="D515" s="7">
        <f>IF(Sheet1!F515="F","FEMALE","MALE")</f>
        <v/>
      </c>
      <c r="E515" s="6">
        <f>UPPER(Sheet1!G515)</f>
        <v/>
      </c>
      <c r="F515" s="6">
        <f>UPPER(Sheet1!H515)</f>
        <v/>
      </c>
      <c r="G515" s="5">
        <f>TEXT(Sheet1!C515,"dd/mm/yyyy") &amp; "," &amp; Sheet1!D515</f>
        <v/>
      </c>
      <c r="H515" s="38">
        <f>UPPER(Sheet1!J515 &amp; "," &amp; Sheet1!K515 &amp; "," &amp; Sheet1!L515)</f>
        <v/>
      </c>
      <c r="I515" s="45">
        <f>Sheet1!I515</f>
        <v/>
      </c>
      <c r="J515" s="5">
        <f>Sheet1!M515 &amp; "," &amp; TEXT(Sheet1!N515,"dd/mm/yy")</f>
        <v/>
      </c>
      <c r="K515" s="5" t="inlineStr">
        <is>
          <t>PRINTED</t>
        </is>
      </c>
      <c r="L515" s="30" t="inlineStr">
        <is>
          <t>25/03/2026</t>
        </is>
      </c>
      <c r="M515" s="30" t="inlineStr">
        <is>
          <t>MANISH KATARIA, VICE CONSUL</t>
        </is>
      </c>
      <c r="N515" s="30" t="inlineStr">
        <is>
          <t>26/02/2026</t>
        </is>
      </c>
    </row>
    <row r="516">
      <c r="A516" s="4">
        <f>Sheet1!A516 &amp; "/" &amp; "2025"</f>
        <v/>
      </c>
      <c r="B516" s="5">
        <f>Sheet1!E516</f>
        <v/>
      </c>
      <c r="C516" s="6">
        <f>UPPER(Sheet1!B516)</f>
        <v/>
      </c>
      <c r="D516" s="7">
        <f>IF(Sheet1!F516="F","FEMALE","MALE")</f>
        <v/>
      </c>
      <c r="E516" s="6">
        <f>UPPER(Sheet1!G516)</f>
        <v/>
      </c>
      <c r="F516" s="6">
        <f>UPPER(Sheet1!H516)</f>
        <v/>
      </c>
      <c r="G516" s="5">
        <f>TEXT(Sheet1!C516,"dd/mm/yyyy") &amp; "," &amp; Sheet1!D516</f>
        <v/>
      </c>
      <c r="H516" s="38">
        <f>UPPER(Sheet1!J516 &amp; "," &amp; Sheet1!K516 &amp; "," &amp; Sheet1!L516)</f>
        <v/>
      </c>
      <c r="I516" s="45">
        <f>Sheet1!I516</f>
        <v/>
      </c>
      <c r="J516" s="5">
        <f>Sheet1!M516 &amp; "," &amp; TEXT(Sheet1!N516,"dd/mm/yy")</f>
        <v/>
      </c>
      <c r="K516" s="5" t="inlineStr">
        <is>
          <t>PRINTED</t>
        </is>
      </c>
      <c r="L516" s="30" t="inlineStr">
        <is>
          <t>25/03/2026</t>
        </is>
      </c>
      <c r="M516" s="30" t="inlineStr">
        <is>
          <t>MANISH KATARIA, VICE CONSUL</t>
        </is>
      </c>
      <c r="N516" s="30" t="inlineStr">
        <is>
          <t>26/02/2026</t>
        </is>
      </c>
    </row>
    <row r="517">
      <c r="A517" s="4">
        <f>Sheet1!A517 &amp; "/" &amp; "2025"</f>
        <v/>
      </c>
      <c r="B517" s="5">
        <f>Sheet1!E517</f>
        <v/>
      </c>
      <c r="C517" s="6">
        <f>UPPER(Sheet1!B517)</f>
        <v/>
      </c>
      <c r="D517" s="7">
        <f>IF(Sheet1!F517="F","FEMALE","MALE")</f>
        <v/>
      </c>
      <c r="E517" s="6">
        <f>UPPER(Sheet1!G517)</f>
        <v/>
      </c>
      <c r="F517" s="6">
        <f>UPPER(Sheet1!H517)</f>
        <v/>
      </c>
      <c r="G517" s="5">
        <f>TEXT(Sheet1!C517,"dd/mm/yyyy") &amp; "," &amp; Sheet1!D517</f>
        <v/>
      </c>
      <c r="H517" s="38">
        <f>UPPER(Sheet1!J517 &amp; "," &amp; Sheet1!K517 &amp; "," &amp; Sheet1!L517)</f>
        <v/>
      </c>
      <c r="I517" s="45">
        <f>Sheet1!I517</f>
        <v/>
      </c>
      <c r="J517" s="5">
        <f>Sheet1!M517 &amp; "," &amp; TEXT(Sheet1!N517,"dd/mm/yy")</f>
        <v/>
      </c>
      <c r="K517" s="5" t="inlineStr">
        <is>
          <t>PRINTED</t>
        </is>
      </c>
      <c r="L517" s="30" t="inlineStr">
        <is>
          <t>25/03/2026</t>
        </is>
      </c>
      <c r="M517" s="30" t="inlineStr">
        <is>
          <t>MANISH KATARIA, VICE CONSUL</t>
        </is>
      </c>
      <c r="N517" s="30" t="inlineStr">
        <is>
          <t>26/02/2026</t>
        </is>
      </c>
    </row>
    <row r="518">
      <c r="A518" s="4">
        <f>Sheet1!A518 &amp; "/" &amp; "2025"</f>
        <v/>
      </c>
      <c r="B518" s="5">
        <f>Sheet1!E518</f>
        <v/>
      </c>
      <c r="C518" s="6">
        <f>UPPER(Sheet1!B518)</f>
        <v/>
      </c>
      <c r="D518" s="7">
        <f>IF(Sheet1!F518="F","FEMALE","MALE")</f>
        <v/>
      </c>
      <c r="E518" s="6">
        <f>UPPER(Sheet1!G518)</f>
        <v/>
      </c>
      <c r="F518" s="6">
        <f>UPPER(Sheet1!H518)</f>
        <v/>
      </c>
      <c r="G518" s="5">
        <f>TEXT(Sheet1!C518,"dd/mm/yyyy") &amp; "," &amp; Sheet1!D518</f>
        <v/>
      </c>
      <c r="H518" s="38">
        <f>UPPER(Sheet1!J518 &amp; "," &amp; Sheet1!K518 &amp; "," &amp; Sheet1!L518)</f>
        <v/>
      </c>
      <c r="I518" s="45">
        <f>Sheet1!I518</f>
        <v/>
      </c>
      <c r="J518" s="5">
        <f>Sheet1!M518 &amp; "," &amp; TEXT(Sheet1!N518,"dd/mm/yy")</f>
        <v/>
      </c>
      <c r="K518" s="5" t="inlineStr">
        <is>
          <t>PRINTED</t>
        </is>
      </c>
      <c r="L518" s="30" t="inlineStr">
        <is>
          <t>25/03/2026</t>
        </is>
      </c>
      <c r="M518" s="30" t="inlineStr">
        <is>
          <t>MANISH KATARIA, VICE CONSUL</t>
        </is>
      </c>
      <c r="N518" s="30" t="inlineStr">
        <is>
          <t>26/02/2026</t>
        </is>
      </c>
    </row>
    <row r="519">
      <c r="A519" s="4">
        <f>Sheet1!A519 &amp; "/" &amp; "2025"</f>
        <v/>
      </c>
      <c r="B519" s="5">
        <f>Sheet1!E519</f>
        <v/>
      </c>
      <c r="C519" s="6">
        <f>UPPER(Sheet1!B519)</f>
        <v/>
      </c>
      <c r="D519" s="7">
        <f>IF(Sheet1!F519="F","FEMALE","MALE")</f>
        <v/>
      </c>
      <c r="E519" s="6">
        <f>UPPER(Sheet1!G519)</f>
        <v/>
      </c>
      <c r="F519" s="6">
        <f>UPPER(Sheet1!H519)</f>
        <v/>
      </c>
      <c r="G519" s="5">
        <f>TEXT(Sheet1!C519,"dd/mm/yyyy") &amp; "," &amp; Sheet1!D519</f>
        <v/>
      </c>
      <c r="H519" s="38">
        <f>UPPER(Sheet1!J519 &amp; "," &amp; Sheet1!K519 &amp; "," &amp; Sheet1!L519)</f>
        <v/>
      </c>
      <c r="I519" s="45">
        <f>Sheet1!I519</f>
        <v/>
      </c>
      <c r="J519" s="5">
        <f>Sheet1!M519 &amp; "," &amp; TEXT(Sheet1!N519,"dd/mm/yy")</f>
        <v/>
      </c>
      <c r="K519" s="5" t="inlineStr">
        <is>
          <t>PRINTED</t>
        </is>
      </c>
      <c r="L519" s="30" t="inlineStr">
        <is>
          <t>25/03/2026</t>
        </is>
      </c>
      <c r="M519" s="30" t="inlineStr">
        <is>
          <t>MANISH KATARIA, VICE CONSUL</t>
        </is>
      </c>
      <c r="N519" s="30" t="inlineStr">
        <is>
          <t>26/02/2026</t>
        </is>
      </c>
    </row>
    <row r="520">
      <c r="A520" s="4">
        <f>Sheet1!A520 &amp; "/" &amp; "2025"</f>
        <v/>
      </c>
      <c r="B520" s="5">
        <f>Sheet1!E520</f>
        <v/>
      </c>
      <c r="C520" s="6">
        <f>UPPER(Sheet1!B520)</f>
        <v/>
      </c>
      <c r="D520" s="7">
        <f>IF(Sheet1!F520="F","FEMALE","MALE")</f>
        <v/>
      </c>
      <c r="E520" s="6">
        <f>UPPER(Sheet1!G520)</f>
        <v/>
      </c>
      <c r="F520" s="6">
        <f>UPPER(Sheet1!H520)</f>
        <v/>
      </c>
      <c r="G520" s="5">
        <f>TEXT(Sheet1!C520,"dd/mm/yyyy") &amp; "," &amp; Sheet1!D520</f>
        <v/>
      </c>
      <c r="H520" s="38">
        <f>UPPER(Sheet1!J520 &amp; "," &amp; Sheet1!K520 &amp; "," &amp; Sheet1!L520)</f>
        <v/>
      </c>
      <c r="I520" s="45">
        <f>Sheet1!I520</f>
        <v/>
      </c>
      <c r="J520" s="5">
        <f>Sheet1!M520 &amp; "," &amp; TEXT(Sheet1!N520,"dd/mm/yy")</f>
        <v/>
      </c>
      <c r="K520" s="5" t="inlineStr">
        <is>
          <t>PRINTED</t>
        </is>
      </c>
      <c r="L520" s="30" t="inlineStr">
        <is>
          <t>25/03/2026</t>
        </is>
      </c>
      <c r="M520" s="30" t="inlineStr">
        <is>
          <t>MANISH KATARIA, VICE CONSUL</t>
        </is>
      </c>
      <c r="N520" s="30" t="inlineStr">
        <is>
          <t>26/02/2026</t>
        </is>
      </c>
    </row>
    <row r="521">
      <c r="A521" s="4">
        <f>Sheet1!A521 &amp; "/" &amp; "2025"</f>
        <v/>
      </c>
      <c r="B521" s="5">
        <f>Sheet1!E521</f>
        <v/>
      </c>
      <c r="C521" s="6">
        <f>UPPER(Sheet1!B521)</f>
        <v/>
      </c>
      <c r="D521" s="7">
        <f>IF(Sheet1!F521="F","FEMALE","MALE")</f>
        <v/>
      </c>
      <c r="E521" s="6">
        <f>UPPER(Sheet1!G521)</f>
        <v/>
      </c>
      <c r="F521" s="6">
        <f>UPPER(Sheet1!H521)</f>
        <v/>
      </c>
      <c r="G521" s="5">
        <f>TEXT(Sheet1!C521,"dd/mm/yyyy") &amp; "," &amp; Sheet1!D521</f>
        <v/>
      </c>
      <c r="H521" s="38">
        <f>UPPER(Sheet1!J521 &amp; "," &amp; Sheet1!K521 &amp; "," &amp; Sheet1!L521)</f>
        <v/>
      </c>
      <c r="I521" s="45">
        <f>Sheet1!I521</f>
        <v/>
      </c>
      <c r="J521" s="5">
        <f>Sheet1!M521 &amp; "," &amp; TEXT(Sheet1!N521,"dd/mm/yy")</f>
        <v/>
      </c>
      <c r="K521" s="5" t="inlineStr">
        <is>
          <t>PRINTED</t>
        </is>
      </c>
      <c r="L521" s="30" t="inlineStr">
        <is>
          <t>25/03/2026</t>
        </is>
      </c>
      <c r="M521" s="30" t="inlineStr">
        <is>
          <t>MANISH KATARIA, VICE CONSUL</t>
        </is>
      </c>
      <c r="N521" s="30" t="inlineStr">
        <is>
          <t>26/02/2026</t>
        </is>
      </c>
    </row>
    <row r="522">
      <c r="A522" s="4">
        <f>Sheet1!A522 &amp; "/" &amp; "2025"</f>
        <v/>
      </c>
      <c r="B522" s="5">
        <f>Sheet1!E522</f>
        <v/>
      </c>
      <c r="C522" s="6">
        <f>UPPER(Sheet1!B522)</f>
        <v/>
      </c>
      <c r="D522" s="7">
        <f>IF(Sheet1!F522="F","FEMALE","MALE")</f>
        <v/>
      </c>
      <c r="E522" s="6">
        <f>UPPER(Sheet1!G522)</f>
        <v/>
      </c>
      <c r="F522" s="6">
        <f>UPPER(Sheet1!H522)</f>
        <v/>
      </c>
      <c r="G522" s="5">
        <f>TEXT(Sheet1!C522,"dd/mm/yyyy") &amp; "," &amp; Sheet1!D522</f>
        <v/>
      </c>
      <c r="H522" s="38">
        <f>UPPER(Sheet1!J522 &amp; "," &amp; Sheet1!K522 &amp; "," &amp; Sheet1!L522)</f>
        <v/>
      </c>
      <c r="I522" s="45">
        <f>Sheet1!I522</f>
        <v/>
      </c>
      <c r="J522" s="5">
        <f>Sheet1!M522 &amp; "," &amp; TEXT(Sheet1!N522,"dd/mm/yy")</f>
        <v/>
      </c>
      <c r="K522" s="5" t="inlineStr">
        <is>
          <t>PRINTED</t>
        </is>
      </c>
      <c r="L522" s="30" t="inlineStr">
        <is>
          <t>25/03/2026</t>
        </is>
      </c>
      <c r="M522" s="30" t="inlineStr">
        <is>
          <t>MANISH KATARIA, VICE CONSUL</t>
        </is>
      </c>
      <c r="N522" s="30" t="inlineStr">
        <is>
          <t>26/02/2026</t>
        </is>
      </c>
    </row>
    <row r="523">
      <c r="A523" s="4">
        <f>Sheet1!A523 &amp; "/" &amp; "2025"</f>
        <v/>
      </c>
      <c r="B523" s="5">
        <f>Sheet1!E523</f>
        <v/>
      </c>
      <c r="C523" s="6">
        <f>UPPER(Sheet1!B523)</f>
        <v/>
      </c>
      <c r="D523" s="7">
        <f>IF(Sheet1!F523="F","FEMALE","MALE")</f>
        <v/>
      </c>
      <c r="E523" s="6">
        <f>UPPER(Sheet1!G523)</f>
        <v/>
      </c>
      <c r="F523" s="6">
        <f>UPPER(Sheet1!H523)</f>
        <v/>
      </c>
      <c r="G523" s="5">
        <f>TEXT(Sheet1!C523,"dd/mm/yyyy") &amp; "," &amp; Sheet1!D523</f>
        <v/>
      </c>
      <c r="H523" s="38">
        <f>UPPER(Sheet1!J523 &amp; "," &amp; Sheet1!K523 &amp; "," &amp; Sheet1!L523)</f>
        <v/>
      </c>
      <c r="I523" s="45">
        <f>Sheet1!I523</f>
        <v/>
      </c>
      <c r="J523" s="5">
        <f>Sheet1!M523 &amp; "," &amp; TEXT(Sheet1!N523,"dd/mm/yy")</f>
        <v/>
      </c>
      <c r="K523" s="5" t="inlineStr">
        <is>
          <t>PRINTED</t>
        </is>
      </c>
      <c r="L523" s="30" t="inlineStr">
        <is>
          <t>25/03/2026</t>
        </is>
      </c>
      <c r="M523" s="30" t="inlineStr">
        <is>
          <t>MANISH KATARIA, VICE CONSUL</t>
        </is>
      </c>
      <c r="N523" s="30" t="inlineStr">
        <is>
          <t>26/02/2026</t>
        </is>
      </c>
    </row>
    <row r="524">
      <c r="A524" s="4">
        <f>Sheet1!A524 &amp; "/" &amp; "2025"</f>
        <v/>
      </c>
      <c r="B524" s="5">
        <f>Sheet1!E524</f>
        <v/>
      </c>
      <c r="C524" s="6">
        <f>UPPER(Sheet1!B524)</f>
        <v/>
      </c>
      <c r="D524" s="7">
        <f>IF(Sheet1!F524="F","FEMALE","MALE")</f>
        <v/>
      </c>
      <c r="E524" s="6">
        <f>UPPER(Sheet1!G524)</f>
        <v/>
      </c>
      <c r="F524" s="6">
        <f>UPPER(Sheet1!H524)</f>
        <v/>
      </c>
      <c r="G524" s="5">
        <f>TEXT(Sheet1!C524,"dd/mm/yyyy") &amp; "," &amp; Sheet1!D524</f>
        <v/>
      </c>
      <c r="H524" s="38">
        <f>UPPER(Sheet1!J524 &amp; "," &amp; Sheet1!K524 &amp; "," &amp; Sheet1!L524)</f>
        <v/>
      </c>
      <c r="I524" s="45">
        <f>Sheet1!I524</f>
        <v/>
      </c>
      <c r="J524" s="5">
        <f>Sheet1!M524 &amp; "," &amp; TEXT(Sheet1!N524,"dd/mm/yy")</f>
        <v/>
      </c>
      <c r="K524" s="5" t="inlineStr">
        <is>
          <t>PRINTED</t>
        </is>
      </c>
      <c r="L524" s="30" t="inlineStr">
        <is>
          <t>25/03/2026</t>
        </is>
      </c>
      <c r="M524" s="30" t="inlineStr">
        <is>
          <t>MANISH KATARIA, VICE CONSUL</t>
        </is>
      </c>
      <c r="N524" s="30" t="inlineStr">
        <is>
          <t>26/02/2026</t>
        </is>
      </c>
    </row>
    <row r="525">
      <c r="A525" s="4">
        <f>Sheet1!A525 &amp; "/" &amp; "2025"</f>
        <v/>
      </c>
      <c r="B525" s="5">
        <f>Sheet1!E525</f>
        <v/>
      </c>
      <c r="C525" s="6">
        <f>UPPER(Sheet1!B525)</f>
        <v/>
      </c>
      <c r="D525" s="7">
        <f>IF(Sheet1!F525="F","FEMALE","MALE")</f>
        <v/>
      </c>
      <c r="E525" s="6">
        <f>UPPER(Sheet1!G525)</f>
        <v/>
      </c>
      <c r="F525" s="6">
        <f>UPPER(Sheet1!H525)</f>
        <v/>
      </c>
      <c r="G525" s="5">
        <f>TEXT(Sheet1!C525,"dd/mm/yyyy") &amp; "," &amp; Sheet1!D525</f>
        <v/>
      </c>
      <c r="H525" s="38">
        <f>UPPER(Sheet1!J525 &amp; "," &amp; Sheet1!K525 &amp; "," &amp; Sheet1!L525)</f>
        <v/>
      </c>
      <c r="I525" s="45">
        <f>Sheet1!I525</f>
        <v/>
      </c>
      <c r="J525" s="5">
        <f>Sheet1!M525 &amp; "," &amp; TEXT(Sheet1!N525,"dd/mm/yy")</f>
        <v/>
      </c>
      <c r="K525" s="5" t="inlineStr">
        <is>
          <t>PRINTED</t>
        </is>
      </c>
      <c r="L525" s="30" t="inlineStr">
        <is>
          <t>25/03/2026</t>
        </is>
      </c>
      <c r="M525" s="30" t="inlineStr">
        <is>
          <t>MANISH KATARIA, VICE CONSUL</t>
        </is>
      </c>
      <c r="N525" s="30" t="inlineStr">
        <is>
          <t>26/02/2026</t>
        </is>
      </c>
    </row>
    <row r="526">
      <c r="A526" s="4">
        <f>Sheet1!A526 &amp; "/" &amp; "2025"</f>
        <v/>
      </c>
      <c r="B526" s="5">
        <f>Sheet1!E526</f>
        <v/>
      </c>
      <c r="C526" s="6">
        <f>UPPER(Sheet1!B526)</f>
        <v/>
      </c>
      <c r="D526" s="7">
        <f>IF(Sheet1!F526="F","FEMALE","MALE")</f>
        <v/>
      </c>
      <c r="E526" s="6">
        <f>UPPER(Sheet1!G526)</f>
        <v/>
      </c>
      <c r="F526" s="6">
        <f>UPPER(Sheet1!H526)</f>
        <v/>
      </c>
      <c r="G526" s="5">
        <f>TEXT(Sheet1!C526,"dd/mm/yyyy") &amp; "," &amp; Sheet1!D526</f>
        <v/>
      </c>
      <c r="H526" s="38">
        <f>UPPER(Sheet1!J526 &amp; "," &amp; Sheet1!K526 &amp; "," &amp; Sheet1!L526)</f>
        <v/>
      </c>
      <c r="I526" s="45">
        <f>Sheet1!I526</f>
        <v/>
      </c>
      <c r="J526" s="5">
        <f>Sheet1!M526 &amp; "," &amp; TEXT(Sheet1!N526,"dd/mm/yy")</f>
        <v/>
      </c>
      <c r="K526" s="5" t="inlineStr">
        <is>
          <t>PRINTED</t>
        </is>
      </c>
      <c r="L526" s="30" t="inlineStr">
        <is>
          <t>25/03/2026</t>
        </is>
      </c>
      <c r="M526" s="30" t="inlineStr">
        <is>
          <t>MANISH KATARIA, VICE CONSUL</t>
        </is>
      </c>
      <c r="N526" s="30" t="inlineStr">
        <is>
          <t>26/02/2026</t>
        </is>
      </c>
    </row>
    <row r="527">
      <c r="A527" s="4">
        <f>Sheet1!A527 &amp; "/" &amp; "2025"</f>
        <v/>
      </c>
      <c r="B527" s="5">
        <f>Sheet1!E527</f>
        <v/>
      </c>
      <c r="C527" s="6">
        <f>UPPER(Sheet1!B527)</f>
        <v/>
      </c>
      <c r="D527" s="7">
        <f>IF(Sheet1!F527="F","FEMALE","MALE")</f>
        <v/>
      </c>
      <c r="E527" s="6">
        <f>UPPER(Sheet1!G527)</f>
        <v/>
      </c>
      <c r="F527" s="6">
        <f>UPPER(Sheet1!H527)</f>
        <v/>
      </c>
      <c r="G527" s="5">
        <f>TEXT(Sheet1!C527,"dd/mm/yyyy") &amp; "," &amp; Sheet1!D527</f>
        <v/>
      </c>
      <c r="H527" s="38">
        <f>UPPER(Sheet1!J527 &amp; "," &amp; Sheet1!K527 &amp; "," &amp; Sheet1!L527)</f>
        <v/>
      </c>
      <c r="I527" s="45">
        <f>Sheet1!I527</f>
        <v/>
      </c>
      <c r="J527" s="5">
        <f>Sheet1!M527 &amp; "," &amp; TEXT(Sheet1!N527,"dd/mm/yy")</f>
        <v/>
      </c>
      <c r="K527" s="5" t="inlineStr">
        <is>
          <t>PRINTED</t>
        </is>
      </c>
      <c r="L527" s="30" t="inlineStr">
        <is>
          <t>25/03/2026</t>
        </is>
      </c>
      <c r="M527" s="30" t="inlineStr">
        <is>
          <t>MANISH KATARIA, VICE CONSUL</t>
        </is>
      </c>
      <c r="N527" s="30" t="inlineStr">
        <is>
          <t>26/02/2026</t>
        </is>
      </c>
    </row>
    <row r="528">
      <c r="A528" s="4">
        <f>Sheet1!A528 &amp; "/" &amp; "2025"</f>
        <v/>
      </c>
      <c r="B528" s="5">
        <f>Sheet1!E528</f>
        <v/>
      </c>
      <c r="C528" s="6">
        <f>UPPER(Sheet1!B528)</f>
        <v/>
      </c>
      <c r="D528" s="7">
        <f>IF(Sheet1!F528="F","FEMALE","MALE")</f>
        <v/>
      </c>
      <c r="E528" s="6">
        <f>UPPER(Sheet1!G528)</f>
        <v/>
      </c>
      <c r="F528" s="6">
        <f>UPPER(Sheet1!H528)</f>
        <v/>
      </c>
      <c r="G528" s="5">
        <f>TEXT(Sheet1!C528,"dd/mm/yyyy") &amp; "," &amp; Sheet1!D528</f>
        <v/>
      </c>
      <c r="H528" s="38">
        <f>UPPER(Sheet1!J528 &amp; "," &amp; Sheet1!K528 &amp; "," &amp; Sheet1!L528)</f>
        <v/>
      </c>
      <c r="I528" s="45">
        <f>Sheet1!I528</f>
        <v/>
      </c>
      <c r="J528" s="5">
        <f>Sheet1!M528 &amp; "," &amp; TEXT(Sheet1!N528,"dd/mm/yy")</f>
        <v/>
      </c>
      <c r="K528" s="5" t="inlineStr">
        <is>
          <t>PRINTED</t>
        </is>
      </c>
      <c r="L528" s="30" t="inlineStr">
        <is>
          <t>25/03/2026</t>
        </is>
      </c>
      <c r="M528" s="30" t="inlineStr">
        <is>
          <t>MANISH KATARIA, VICE CONSUL</t>
        </is>
      </c>
      <c r="N528" s="30" t="inlineStr">
        <is>
          <t>26/02/2026</t>
        </is>
      </c>
    </row>
    <row r="529">
      <c r="A529" s="4">
        <f>Sheet1!A529 &amp; "/" &amp; "2025"</f>
        <v/>
      </c>
      <c r="B529" s="5">
        <f>Sheet1!E529</f>
        <v/>
      </c>
      <c r="C529" s="6">
        <f>UPPER(Sheet1!B529)</f>
        <v/>
      </c>
      <c r="D529" s="7">
        <f>IF(Sheet1!F529="F","FEMALE","MALE")</f>
        <v/>
      </c>
      <c r="E529" s="6">
        <f>UPPER(Sheet1!G529)</f>
        <v/>
      </c>
      <c r="F529" s="6">
        <f>UPPER(Sheet1!H529)</f>
        <v/>
      </c>
      <c r="G529" s="5">
        <f>TEXT(Sheet1!C529,"dd/mm/yyyy") &amp; "," &amp; Sheet1!D529</f>
        <v/>
      </c>
      <c r="H529" s="38">
        <f>UPPER(Sheet1!J529 &amp; "," &amp; Sheet1!K529 &amp; "," &amp; Sheet1!L529)</f>
        <v/>
      </c>
      <c r="I529" s="45">
        <f>Sheet1!I529</f>
        <v/>
      </c>
      <c r="J529" s="5">
        <f>Sheet1!M529 &amp; "," &amp; TEXT(Sheet1!N529,"dd/mm/yy")</f>
        <v/>
      </c>
      <c r="K529" s="5" t="inlineStr">
        <is>
          <t>PRINTED</t>
        </is>
      </c>
      <c r="L529" s="30" t="inlineStr">
        <is>
          <t>25/03/2026</t>
        </is>
      </c>
      <c r="M529" s="30" t="inlineStr">
        <is>
          <t>MANISH KATARIA, VICE CONSUL</t>
        </is>
      </c>
      <c r="N529" s="30" t="inlineStr">
        <is>
          <t>26/02/2026</t>
        </is>
      </c>
    </row>
    <row r="530">
      <c r="A530" s="4">
        <f>Sheet1!A530 &amp; "/" &amp; "2025"</f>
        <v/>
      </c>
      <c r="B530" s="5">
        <f>Sheet1!E530</f>
        <v/>
      </c>
      <c r="C530" s="6">
        <f>UPPER(Sheet1!B530)</f>
        <v/>
      </c>
      <c r="D530" s="7">
        <f>IF(Sheet1!F530="F","FEMALE","MALE")</f>
        <v/>
      </c>
      <c r="E530" s="6">
        <f>UPPER(Sheet1!G530)</f>
        <v/>
      </c>
      <c r="F530" s="6">
        <f>UPPER(Sheet1!H530)</f>
        <v/>
      </c>
      <c r="G530" s="5">
        <f>TEXT(Sheet1!C530,"dd/mm/yyyy") &amp; "," &amp; Sheet1!D530</f>
        <v/>
      </c>
      <c r="H530" s="38">
        <f>UPPER(Sheet1!J530 &amp; "," &amp; Sheet1!K530 &amp; "," &amp; Sheet1!L530)</f>
        <v/>
      </c>
      <c r="I530" s="45">
        <f>Sheet1!I530</f>
        <v/>
      </c>
      <c r="J530" s="5">
        <f>Sheet1!M530 &amp; "," &amp; TEXT(Sheet1!N530,"dd/mm/yy")</f>
        <v/>
      </c>
      <c r="K530" s="5" t="inlineStr">
        <is>
          <t>PRINTED</t>
        </is>
      </c>
      <c r="L530" s="30" t="inlineStr">
        <is>
          <t>25/03/2026</t>
        </is>
      </c>
      <c r="M530" s="30" t="inlineStr">
        <is>
          <t>MANISH KATARIA, VICE CONSUL</t>
        </is>
      </c>
      <c r="N530" s="30" t="inlineStr">
        <is>
          <t>26/02/2026</t>
        </is>
      </c>
    </row>
    <row r="531">
      <c r="A531" s="4">
        <f>Sheet1!A531 &amp; "/" &amp; "2025"</f>
        <v/>
      </c>
      <c r="B531" s="5">
        <f>Sheet1!E531</f>
        <v/>
      </c>
      <c r="C531" s="6">
        <f>UPPER(Sheet1!B531)</f>
        <v/>
      </c>
      <c r="D531" s="7">
        <f>IF(Sheet1!F531="F","FEMALE","MALE")</f>
        <v/>
      </c>
      <c r="E531" s="6">
        <f>UPPER(Sheet1!G531)</f>
        <v/>
      </c>
      <c r="F531" s="6">
        <f>UPPER(Sheet1!H531)</f>
        <v/>
      </c>
      <c r="G531" s="5">
        <f>TEXT(Sheet1!C531,"dd/mm/yyyy") &amp; "," &amp; Sheet1!D531</f>
        <v/>
      </c>
      <c r="H531" s="38">
        <f>UPPER(Sheet1!J531 &amp; "," &amp; Sheet1!K531 &amp; "," &amp; Sheet1!L531)</f>
        <v/>
      </c>
      <c r="I531" s="45">
        <f>Sheet1!I531</f>
        <v/>
      </c>
      <c r="J531" s="5">
        <f>Sheet1!M531 &amp; "," &amp; TEXT(Sheet1!N531,"dd/mm/yy")</f>
        <v/>
      </c>
      <c r="K531" s="5" t="inlineStr">
        <is>
          <t>PRINTED</t>
        </is>
      </c>
      <c r="L531" s="30" t="inlineStr">
        <is>
          <t>25/03/2026</t>
        </is>
      </c>
      <c r="M531" s="30" t="inlineStr">
        <is>
          <t>MANISH KATARIA, VICE CONSUL</t>
        </is>
      </c>
      <c r="N531" s="30" t="inlineStr">
        <is>
          <t>26/02/2026</t>
        </is>
      </c>
    </row>
    <row r="532">
      <c r="A532" s="4">
        <f>Sheet1!A532 &amp; "/" &amp; "2025"</f>
        <v/>
      </c>
      <c r="B532" s="5">
        <f>Sheet1!E532</f>
        <v/>
      </c>
      <c r="C532" s="6">
        <f>UPPER(Sheet1!B532)</f>
        <v/>
      </c>
      <c r="D532" s="7">
        <f>IF(Sheet1!F532="F","FEMALE","MALE")</f>
        <v/>
      </c>
      <c r="E532" s="6">
        <f>UPPER(Sheet1!G532)</f>
        <v/>
      </c>
      <c r="F532" s="6">
        <f>UPPER(Sheet1!H532)</f>
        <v/>
      </c>
      <c r="G532" s="5">
        <f>TEXT(Sheet1!C532,"dd/mm/yyyy") &amp; "," &amp; Sheet1!D532</f>
        <v/>
      </c>
      <c r="H532" s="38">
        <f>UPPER(Sheet1!J532 &amp; "," &amp; Sheet1!K532 &amp; "," &amp; Sheet1!L532)</f>
        <v/>
      </c>
      <c r="I532" s="45">
        <f>Sheet1!I532</f>
        <v/>
      </c>
      <c r="J532" s="5">
        <f>Sheet1!M532 &amp; "," &amp; TEXT(Sheet1!N532,"dd/mm/yy")</f>
        <v/>
      </c>
      <c r="K532" s="5" t="inlineStr">
        <is>
          <t>PRINTED</t>
        </is>
      </c>
      <c r="L532" s="30" t="inlineStr">
        <is>
          <t>25/03/2026</t>
        </is>
      </c>
      <c r="M532" s="30" t="inlineStr">
        <is>
          <t>MANISH KATARIA, VICE CONSUL</t>
        </is>
      </c>
      <c r="N532" s="30" t="inlineStr">
        <is>
          <t>26/02/2026</t>
        </is>
      </c>
    </row>
    <row r="533">
      <c r="A533" s="4">
        <f>Sheet1!A533 &amp; "/" &amp; "2025"</f>
        <v/>
      </c>
      <c r="B533" s="5">
        <f>Sheet1!E533</f>
        <v/>
      </c>
      <c r="C533" s="6">
        <f>UPPER(Sheet1!B533)</f>
        <v/>
      </c>
      <c r="D533" s="7">
        <f>IF(Sheet1!F533="F","FEMALE","MALE")</f>
        <v/>
      </c>
      <c r="E533" s="6">
        <f>UPPER(Sheet1!G533)</f>
        <v/>
      </c>
      <c r="F533" s="6">
        <f>UPPER(Sheet1!H533)</f>
        <v/>
      </c>
      <c r="G533" s="5">
        <f>TEXT(Sheet1!C533,"dd/mm/yyyy") &amp; "," &amp; Sheet1!D533</f>
        <v/>
      </c>
      <c r="H533" s="38">
        <f>UPPER(Sheet1!J533 &amp; "," &amp; Sheet1!K533 &amp; "," &amp; Sheet1!L533)</f>
        <v/>
      </c>
      <c r="I533" s="45">
        <f>Sheet1!I533</f>
        <v/>
      </c>
      <c r="J533" s="5">
        <f>Sheet1!M533 &amp; "," &amp; TEXT(Sheet1!N533,"dd/mm/yy")</f>
        <v/>
      </c>
      <c r="K533" s="5" t="inlineStr">
        <is>
          <t>PRINTED</t>
        </is>
      </c>
      <c r="L533" s="30" t="inlineStr">
        <is>
          <t>25/03/2026</t>
        </is>
      </c>
      <c r="M533" s="30" t="inlineStr">
        <is>
          <t>MANISH KATARIA, VICE CONSUL</t>
        </is>
      </c>
      <c r="N533" s="30" t="inlineStr">
        <is>
          <t>26/02/2026</t>
        </is>
      </c>
    </row>
    <row r="534">
      <c r="A534" s="4">
        <f>Sheet1!A534 &amp; "/" &amp; "2025"</f>
        <v/>
      </c>
      <c r="B534" s="5">
        <f>Sheet1!E534</f>
        <v/>
      </c>
      <c r="C534" s="6">
        <f>UPPER(Sheet1!B534)</f>
        <v/>
      </c>
      <c r="D534" s="7">
        <f>IF(Sheet1!F534="F","FEMALE","MALE")</f>
        <v/>
      </c>
      <c r="E534" s="6">
        <f>UPPER(Sheet1!G534)</f>
        <v/>
      </c>
      <c r="F534" s="6">
        <f>UPPER(Sheet1!H534)</f>
        <v/>
      </c>
      <c r="G534" s="5">
        <f>TEXT(Sheet1!C534,"dd/mm/yyyy") &amp; "," &amp; Sheet1!D534</f>
        <v/>
      </c>
      <c r="H534" s="38">
        <f>UPPER(Sheet1!J534 &amp; "," &amp; Sheet1!K534 &amp; "," &amp; Sheet1!L534)</f>
        <v/>
      </c>
      <c r="I534" s="45">
        <f>Sheet1!I534</f>
        <v/>
      </c>
      <c r="J534" s="5">
        <f>Sheet1!M534 &amp; "," &amp; TEXT(Sheet1!N534,"dd/mm/yy")</f>
        <v/>
      </c>
      <c r="K534" s="5" t="inlineStr">
        <is>
          <t>PRINTED</t>
        </is>
      </c>
      <c r="L534" s="30" t="inlineStr">
        <is>
          <t>25/03/2026</t>
        </is>
      </c>
      <c r="M534" s="30" t="inlineStr">
        <is>
          <t>MANISH KATARIA, VICE CONSUL</t>
        </is>
      </c>
      <c r="N534" s="30" t="inlineStr">
        <is>
          <t>26/02/2026</t>
        </is>
      </c>
    </row>
    <row r="535">
      <c r="A535" s="4">
        <f>Sheet1!A535 &amp; "/" &amp; "2025"</f>
        <v/>
      </c>
      <c r="B535" s="5">
        <f>Sheet1!E535</f>
        <v/>
      </c>
      <c r="C535" s="6">
        <f>UPPER(Sheet1!B535)</f>
        <v/>
      </c>
      <c r="D535" s="7">
        <f>IF(Sheet1!F535="F","FEMALE","MALE")</f>
        <v/>
      </c>
      <c r="E535" s="6">
        <f>UPPER(Sheet1!G535)</f>
        <v/>
      </c>
      <c r="F535" s="6">
        <f>UPPER(Sheet1!H535)</f>
        <v/>
      </c>
      <c r="G535" s="5">
        <f>TEXT(Sheet1!C535,"dd/mm/yyyy") &amp; "," &amp; Sheet1!D535</f>
        <v/>
      </c>
      <c r="H535" s="38">
        <f>UPPER(Sheet1!J535 &amp; "," &amp; Sheet1!K535 &amp; "," &amp; Sheet1!L535)</f>
        <v/>
      </c>
      <c r="I535" s="45">
        <f>Sheet1!I535</f>
        <v/>
      </c>
      <c r="J535" s="5">
        <f>Sheet1!M535 &amp; "," &amp; TEXT(Sheet1!N535,"dd/mm/yy")</f>
        <v/>
      </c>
      <c r="K535" s="5" t="inlineStr">
        <is>
          <t>PRINTED</t>
        </is>
      </c>
      <c r="L535" s="30" t="inlineStr">
        <is>
          <t>25/03/2026</t>
        </is>
      </c>
      <c r="M535" s="30" t="inlineStr">
        <is>
          <t>MANISH KATARIA, VICE CONSUL</t>
        </is>
      </c>
      <c r="N535" s="30" t="inlineStr">
        <is>
          <t>26/02/2026</t>
        </is>
      </c>
    </row>
    <row r="536">
      <c r="A536" s="4">
        <f>Sheet1!A536 &amp; "/" &amp; "2025"</f>
        <v/>
      </c>
      <c r="B536" s="5">
        <f>Sheet1!E536</f>
        <v/>
      </c>
      <c r="C536" s="6">
        <f>UPPER(Sheet1!B536)</f>
        <v/>
      </c>
      <c r="D536" s="7">
        <f>IF(Sheet1!F536="F","FEMALE","MALE")</f>
        <v/>
      </c>
      <c r="E536" s="6">
        <f>UPPER(Sheet1!G536)</f>
        <v/>
      </c>
      <c r="F536" s="6">
        <f>UPPER(Sheet1!H536)</f>
        <v/>
      </c>
      <c r="G536" s="5">
        <f>TEXT(Sheet1!C536,"dd/mm/yyyy") &amp; "," &amp; Sheet1!D536</f>
        <v/>
      </c>
      <c r="H536" s="38">
        <f>UPPER(Sheet1!J536 &amp; "," &amp; Sheet1!K536 &amp; "," &amp; Sheet1!L536)</f>
        <v/>
      </c>
      <c r="I536" s="45">
        <f>Sheet1!I536</f>
        <v/>
      </c>
      <c r="J536" s="5">
        <f>Sheet1!M536 &amp; "," &amp; TEXT(Sheet1!N536,"dd/mm/yy")</f>
        <v/>
      </c>
      <c r="K536" s="5" t="inlineStr">
        <is>
          <t>PRINTED</t>
        </is>
      </c>
      <c r="L536" s="30" t="inlineStr">
        <is>
          <t>25/03/2026</t>
        </is>
      </c>
      <c r="M536" s="30" t="inlineStr">
        <is>
          <t>MANISH KATARIA, VICE CONSUL</t>
        </is>
      </c>
      <c r="N536" s="30" t="inlineStr">
        <is>
          <t>26/02/2026</t>
        </is>
      </c>
    </row>
    <row r="537">
      <c r="A537" s="4">
        <f>Sheet1!A537 &amp; "/" &amp; "2025"</f>
        <v/>
      </c>
      <c r="B537" s="5">
        <f>Sheet1!E537</f>
        <v/>
      </c>
      <c r="C537" s="6">
        <f>UPPER(Sheet1!B537)</f>
        <v/>
      </c>
      <c r="D537" s="7">
        <f>IF(Sheet1!F537="F","FEMALE","MALE")</f>
        <v/>
      </c>
      <c r="E537" s="6">
        <f>UPPER(Sheet1!G537)</f>
        <v/>
      </c>
      <c r="F537" s="6">
        <f>UPPER(Sheet1!H537)</f>
        <v/>
      </c>
      <c r="G537" s="5">
        <f>TEXT(Sheet1!C537,"dd/mm/yyyy") &amp; "," &amp; Sheet1!D537</f>
        <v/>
      </c>
      <c r="H537" s="38">
        <f>UPPER(Sheet1!J537 &amp; "," &amp; Sheet1!K537 &amp; "," &amp; Sheet1!L537)</f>
        <v/>
      </c>
      <c r="I537" s="45">
        <f>Sheet1!I537</f>
        <v/>
      </c>
      <c r="J537" s="5">
        <f>Sheet1!M537 &amp; "," &amp; TEXT(Sheet1!N537,"dd/mm/yy")</f>
        <v/>
      </c>
      <c r="K537" s="5" t="inlineStr">
        <is>
          <t>PRINTED</t>
        </is>
      </c>
      <c r="L537" s="30" t="inlineStr">
        <is>
          <t>25/03/2026</t>
        </is>
      </c>
      <c r="M537" s="30" t="inlineStr">
        <is>
          <t>MANISH KATARIA, VICE CONSUL</t>
        </is>
      </c>
      <c r="N537" s="30" t="inlineStr">
        <is>
          <t>26/02/2026</t>
        </is>
      </c>
    </row>
    <row r="538">
      <c r="A538" s="4">
        <f>Sheet1!A538 &amp; "/" &amp; "2025"</f>
        <v/>
      </c>
      <c r="B538" s="5">
        <f>Sheet1!E538</f>
        <v/>
      </c>
      <c r="C538" s="6">
        <f>UPPER(Sheet1!B538)</f>
        <v/>
      </c>
      <c r="D538" s="7">
        <f>IF(Sheet1!F538="F","FEMALE","MALE")</f>
        <v/>
      </c>
      <c r="E538" s="6">
        <f>UPPER(Sheet1!G538)</f>
        <v/>
      </c>
      <c r="F538" s="6">
        <f>UPPER(Sheet1!H538)</f>
        <v/>
      </c>
      <c r="G538" s="5">
        <f>TEXT(Sheet1!C538,"dd/mm/yyyy") &amp; "," &amp; Sheet1!D538</f>
        <v/>
      </c>
      <c r="H538" s="38">
        <f>UPPER(Sheet1!J538 &amp; "," &amp; Sheet1!K538 &amp; "," &amp; Sheet1!L538)</f>
        <v/>
      </c>
      <c r="I538" s="45">
        <f>Sheet1!I538</f>
        <v/>
      </c>
      <c r="J538" s="5">
        <f>Sheet1!M538 &amp; "," &amp; TEXT(Sheet1!N538,"dd/mm/yy")</f>
        <v/>
      </c>
      <c r="K538" s="5" t="inlineStr">
        <is>
          <t>PRINTED</t>
        </is>
      </c>
      <c r="L538" s="30" t="inlineStr">
        <is>
          <t>25/03/2026</t>
        </is>
      </c>
      <c r="M538" s="30" t="inlineStr">
        <is>
          <t>MANISH KATARIA, VICE CONSUL</t>
        </is>
      </c>
      <c r="N538" s="30" t="inlineStr">
        <is>
          <t>26/02/2026</t>
        </is>
      </c>
    </row>
    <row r="539" ht="30" customHeight="1">
      <c r="A539" s="4">
        <f>Sheet1!A539 &amp; "/" &amp; "2025"</f>
        <v/>
      </c>
      <c r="B539" s="5">
        <f>Sheet1!E539</f>
        <v/>
      </c>
      <c r="C539" s="6">
        <f>UPPER(Sheet1!B539)</f>
        <v/>
      </c>
      <c r="D539" s="7">
        <f>IF(Sheet1!F539="F","FEMALE","MALE")</f>
        <v/>
      </c>
      <c r="E539" s="6">
        <f>UPPER(Sheet1!G539)</f>
        <v/>
      </c>
      <c r="F539" s="6">
        <f>UPPER(Sheet1!H539)</f>
        <v/>
      </c>
      <c r="G539" s="5">
        <f>TEXT(Sheet1!C539,"dd/mm/yyyy") &amp; "," &amp; Sheet1!D539</f>
        <v/>
      </c>
      <c r="H539" s="38">
        <f>UPPER(Sheet1!J539 &amp; "," &amp; Sheet1!K539 &amp; "," &amp; Sheet1!L539)</f>
        <v/>
      </c>
      <c r="I539" s="45">
        <f>Sheet1!I539</f>
        <v/>
      </c>
      <c r="J539" s="5">
        <f>Sheet1!M539 &amp; "," &amp; TEXT(Sheet1!N539,"dd/mm/yy")</f>
        <v/>
      </c>
      <c r="K539" s="5" t="inlineStr">
        <is>
          <t>PRINTED</t>
        </is>
      </c>
      <c r="L539" s="30" t="inlineStr">
        <is>
          <t>25/03/2026</t>
        </is>
      </c>
      <c r="M539" s="30" t="inlineStr">
        <is>
          <t>MANISH KATARIA, VICE CONSUL</t>
        </is>
      </c>
      <c r="N539" s="30" t="inlineStr">
        <is>
          <t>26/02/2026</t>
        </is>
      </c>
    </row>
    <row r="540">
      <c r="A540" s="4">
        <f>Sheet1!A540 &amp; "/" &amp; "2025"</f>
        <v/>
      </c>
      <c r="B540" s="5">
        <f>Sheet1!E540</f>
        <v/>
      </c>
      <c r="C540" s="6">
        <f>UPPER(Sheet1!B540)</f>
        <v/>
      </c>
      <c r="D540" s="7">
        <f>IF(Sheet1!F540="F","FEMALE","MALE")</f>
        <v/>
      </c>
      <c r="E540" s="6">
        <f>UPPER(Sheet1!G540)</f>
        <v/>
      </c>
      <c r="F540" s="6">
        <f>UPPER(Sheet1!H540)</f>
        <v/>
      </c>
      <c r="G540" s="5">
        <f>TEXT(Sheet1!C540,"dd/mm/yyyy") &amp; "," &amp; Sheet1!D540</f>
        <v/>
      </c>
      <c r="H540" s="38">
        <f>UPPER(Sheet1!J540 &amp; "," &amp; Sheet1!K540 &amp; "," &amp; Sheet1!L540)</f>
        <v/>
      </c>
      <c r="I540" s="45">
        <f>Sheet1!I540</f>
        <v/>
      </c>
      <c r="J540" s="5">
        <f>Sheet1!M540 &amp; "," &amp; TEXT(Sheet1!N540,"dd/mm/yy")</f>
        <v/>
      </c>
      <c r="K540" s="5" t="inlineStr">
        <is>
          <t>PRINTED</t>
        </is>
      </c>
      <c r="L540" s="30" t="inlineStr">
        <is>
          <t>25/03/2026</t>
        </is>
      </c>
      <c r="M540" s="30" t="inlineStr">
        <is>
          <t>MANISH KATARIA, VICE CONSUL</t>
        </is>
      </c>
      <c r="N540" s="30" t="inlineStr">
        <is>
          <t>26/02/2026</t>
        </is>
      </c>
    </row>
    <row r="541">
      <c r="A541" s="4">
        <f>Sheet1!A541 &amp; "/" &amp; "2025"</f>
        <v/>
      </c>
      <c r="B541" s="5">
        <f>Sheet1!E541</f>
        <v/>
      </c>
      <c r="C541" s="6">
        <f>UPPER(Sheet1!B541)</f>
        <v/>
      </c>
      <c r="D541" s="7">
        <f>IF(Sheet1!F541="F","FEMALE","MALE")</f>
        <v/>
      </c>
      <c r="E541" s="6">
        <f>UPPER(Sheet1!G541)</f>
        <v/>
      </c>
      <c r="F541" s="6">
        <f>UPPER(Sheet1!H541)</f>
        <v/>
      </c>
      <c r="G541" s="5">
        <f>TEXT(Sheet1!C541,"dd/mm/yyyy") &amp; "," &amp; Sheet1!D541</f>
        <v/>
      </c>
      <c r="H541" s="38">
        <f>UPPER(Sheet1!J541 &amp; "," &amp; Sheet1!K541 &amp; "," &amp; Sheet1!L541)</f>
        <v/>
      </c>
      <c r="I541" s="45">
        <f>Sheet1!I541</f>
        <v/>
      </c>
      <c r="J541" s="5">
        <f>Sheet1!M541 &amp; "," &amp; TEXT(Sheet1!N541,"dd/mm/yy")</f>
        <v/>
      </c>
      <c r="K541" s="5" t="inlineStr">
        <is>
          <t>PRINTED</t>
        </is>
      </c>
      <c r="L541" s="30" t="inlineStr">
        <is>
          <t>25/03/2026</t>
        </is>
      </c>
      <c r="M541" s="30" t="inlineStr">
        <is>
          <t>MANISH KATARIA, VICE CONSUL</t>
        </is>
      </c>
      <c r="N541" s="30" t="inlineStr">
        <is>
          <t>26/02/2026</t>
        </is>
      </c>
    </row>
    <row r="542">
      <c r="A542" s="4">
        <f>Sheet1!A542 &amp; "/" &amp; "2025"</f>
        <v/>
      </c>
      <c r="B542" s="5">
        <f>Sheet1!E542</f>
        <v/>
      </c>
      <c r="C542" s="6">
        <f>UPPER(Sheet1!B542)</f>
        <v/>
      </c>
      <c r="D542" s="7">
        <f>IF(Sheet1!F542="F","FEMALE","MALE")</f>
        <v/>
      </c>
      <c r="E542" s="6">
        <f>UPPER(Sheet1!G542)</f>
        <v/>
      </c>
      <c r="F542" s="6">
        <f>UPPER(Sheet1!H542)</f>
        <v/>
      </c>
      <c r="G542" s="5">
        <f>TEXT(Sheet1!C542,"dd/mm/yyyy") &amp; "," &amp; Sheet1!D542</f>
        <v/>
      </c>
      <c r="H542" s="38">
        <f>UPPER(Sheet1!J542 &amp; "," &amp; Sheet1!K542 &amp; "," &amp; Sheet1!L542)</f>
        <v/>
      </c>
      <c r="I542" s="45">
        <f>Sheet1!I542</f>
        <v/>
      </c>
      <c r="J542" s="5">
        <f>Sheet1!M542 &amp; "," &amp; TEXT(Sheet1!N542,"dd/mm/yy")</f>
        <v/>
      </c>
      <c r="K542" s="5" t="inlineStr">
        <is>
          <t>PRINTED</t>
        </is>
      </c>
      <c r="L542" s="30" t="inlineStr">
        <is>
          <t>25/03/2026</t>
        </is>
      </c>
      <c r="M542" s="30" t="inlineStr">
        <is>
          <t>MANISH KATARIA, VICE CONSUL</t>
        </is>
      </c>
      <c r="N542" s="30" t="inlineStr">
        <is>
          <t>26/02/2026</t>
        </is>
      </c>
    </row>
    <row r="543">
      <c r="A543" s="4">
        <f>Sheet1!A543 &amp; "/" &amp; "2025"</f>
        <v/>
      </c>
      <c r="B543" s="5">
        <f>Sheet1!E543</f>
        <v/>
      </c>
      <c r="C543" s="6">
        <f>UPPER(Sheet1!B543)</f>
        <v/>
      </c>
      <c r="D543" s="7">
        <f>IF(Sheet1!F543="F","FEMALE","MALE")</f>
        <v/>
      </c>
      <c r="E543" s="6">
        <f>UPPER(Sheet1!G543)</f>
        <v/>
      </c>
      <c r="F543" s="6">
        <f>UPPER(Sheet1!H543)</f>
        <v/>
      </c>
      <c r="G543" s="5">
        <f>TEXT(Sheet1!C543,"dd/mm/yyyy") &amp; "," &amp; Sheet1!D543</f>
        <v/>
      </c>
      <c r="H543" s="38">
        <f>UPPER(Sheet1!J543 &amp; "," &amp; Sheet1!K543 &amp; "," &amp; Sheet1!L543)</f>
        <v/>
      </c>
      <c r="I543" s="45">
        <f>Sheet1!I543</f>
        <v/>
      </c>
      <c r="J543" s="5">
        <f>Sheet1!M543 &amp; "," &amp; TEXT(Sheet1!N543,"dd/mm/yy")</f>
        <v/>
      </c>
      <c r="K543" s="5" t="inlineStr">
        <is>
          <t>PRINTED</t>
        </is>
      </c>
      <c r="L543" s="30" t="inlineStr">
        <is>
          <t>25/03/2026</t>
        </is>
      </c>
      <c r="M543" s="30" t="inlineStr">
        <is>
          <t>MANISH KATARIA, VICE CONSUL</t>
        </is>
      </c>
      <c r="N543" s="30" t="inlineStr">
        <is>
          <t>26/02/2026</t>
        </is>
      </c>
    </row>
    <row r="544">
      <c r="A544" s="4">
        <f>Sheet1!A544 &amp; "/" &amp; "2025"</f>
        <v/>
      </c>
      <c r="B544" s="5">
        <f>Sheet1!E544</f>
        <v/>
      </c>
      <c r="C544" s="6">
        <f>UPPER(Sheet1!B544)</f>
        <v/>
      </c>
      <c r="D544" s="7">
        <f>IF(Sheet1!F544="F","FEMALE","MALE")</f>
        <v/>
      </c>
      <c r="E544" s="6">
        <f>UPPER(Sheet1!G544)</f>
        <v/>
      </c>
      <c r="F544" s="6">
        <f>UPPER(Sheet1!H544)</f>
        <v/>
      </c>
      <c r="G544" s="5">
        <f>TEXT(Sheet1!C544,"dd/mm/yyyy") &amp; "," &amp; Sheet1!D544</f>
        <v/>
      </c>
      <c r="H544" s="38">
        <f>UPPER(Sheet1!J544 &amp; "," &amp; Sheet1!K544 &amp; "," &amp; Sheet1!L544)</f>
        <v/>
      </c>
      <c r="I544" s="45">
        <f>Sheet1!I544</f>
        <v/>
      </c>
      <c r="J544" s="5">
        <f>Sheet1!M544 &amp; "," &amp; TEXT(Sheet1!N544,"dd/mm/yy")</f>
        <v/>
      </c>
      <c r="K544" s="5" t="inlineStr">
        <is>
          <t>PRINTED</t>
        </is>
      </c>
      <c r="L544" s="30" t="inlineStr">
        <is>
          <t>25/03/2026</t>
        </is>
      </c>
      <c r="M544" s="30" t="inlineStr">
        <is>
          <t>MANISH KATARIA, VICE CONSUL</t>
        </is>
      </c>
      <c r="N544" s="30" t="inlineStr">
        <is>
          <t>26/02/2026</t>
        </is>
      </c>
    </row>
    <row r="545">
      <c r="A545" s="4">
        <f>Sheet1!A545 &amp; "/" &amp; "2025"</f>
        <v/>
      </c>
      <c r="B545" s="5">
        <f>Sheet1!E545</f>
        <v/>
      </c>
      <c r="C545" s="6">
        <f>UPPER(Sheet1!B545)</f>
        <v/>
      </c>
      <c r="D545" s="7">
        <f>IF(Sheet1!F545="F","FEMALE","MALE")</f>
        <v/>
      </c>
      <c r="E545" s="6">
        <f>UPPER(Sheet1!G545)</f>
        <v/>
      </c>
      <c r="F545" s="6">
        <f>UPPER(Sheet1!H545)</f>
        <v/>
      </c>
      <c r="G545" s="5">
        <f>TEXT(Sheet1!C545,"dd/mm/yyyy") &amp; "," &amp; Sheet1!D545</f>
        <v/>
      </c>
      <c r="H545" s="38">
        <f>UPPER(Sheet1!J545 &amp; "," &amp; Sheet1!K545 &amp; "," &amp; Sheet1!L545)</f>
        <v/>
      </c>
      <c r="I545" s="45">
        <f>Sheet1!I545</f>
        <v/>
      </c>
      <c r="J545" s="5">
        <f>Sheet1!M545 &amp; "," &amp; TEXT(Sheet1!N545,"dd/mm/yy")</f>
        <v/>
      </c>
      <c r="K545" s="5" t="inlineStr">
        <is>
          <t>PRINTED</t>
        </is>
      </c>
      <c r="L545" s="30" t="inlineStr">
        <is>
          <t>25/03/2026</t>
        </is>
      </c>
      <c r="M545" s="30" t="inlineStr">
        <is>
          <t>MANISH KATARIA, VICE CONSUL</t>
        </is>
      </c>
      <c r="N545" s="30" t="inlineStr">
        <is>
          <t>26/02/2026</t>
        </is>
      </c>
    </row>
    <row r="546">
      <c r="A546" s="4">
        <f>Sheet1!A546 &amp; "/" &amp; "2025"</f>
        <v/>
      </c>
      <c r="B546" s="5">
        <f>Sheet1!E546</f>
        <v/>
      </c>
      <c r="C546" s="6">
        <f>UPPER(Sheet1!B546)</f>
        <v/>
      </c>
      <c r="D546" s="7">
        <f>IF(Sheet1!F546="F","FEMALE","MALE")</f>
        <v/>
      </c>
      <c r="E546" s="6">
        <f>UPPER(Sheet1!G546)</f>
        <v/>
      </c>
      <c r="F546" s="6">
        <f>UPPER(Sheet1!H546)</f>
        <v/>
      </c>
      <c r="G546" s="5">
        <f>TEXT(Sheet1!C546,"dd/mm/yyyy") &amp; "," &amp; Sheet1!D546</f>
        <v/>
      </c>
      <c r="H546" s="38">
        <f>UPPER(Sheet1!J546 &amp; "," &amp; Sheet1!K546 &amp; "," &amp; Sheet1!L546)</f>
        <v/>
      </c>
      <c r="I546" s="45">
        <f>Sheet1!I546</f>
        <v/>
      </c>
      <c r="J546" s="5">
        <f>Sheet1!M546 &amp; "," &amp; TEXT(Sheet1!N546,"dd/mm/yy")</f>
        <v/>
      </c>
      <c r="K546" s="5" t="inlineStr">
        <is>
          <t>PRINTED</t>
        </is>
      </c>
      <c r="L546" s="30" t="inlineStr">
        <is>
          <t>25/03/2026</t>
        </is>
      </c>
      <c r="M546" s="30" t="inlineStr">
        <is>
          <t>MANISH KATARIA, VICE CONSUL</t>
        </is>
      </c>
      <c r="N546" s="30" t="inlineStr">
        <is>
          <t>26/02/2026</t>
        </is>
      </c>
    </row>
    <row r="547">
      <c r="A547" s="4">
        <f>Sheet1!A547 &amp; "/" &amp; "2025"</f>
        <v/>
      </c>
      <c r="B547" s="5">
        <f>Sheet1!E547</f>
        <v/>
      </c>
      <c r="C547" s="6">
        <f>UPPER(Sheet1!B547)</f>
        <v/>
      </c>
      <c r="D547" s="7">
        <f>IF(Sheet1!F547="F","FEMALE","MALE")</f>
        <v/>
      </c>
      <c r="E547" s="6">
        <f>UPPER(Sheet1!G547)</f>
        <v/>
      </c>
      <c r="F547" s="6">
        <f>UPPER(Sheet1!H547)</f>
        <v/>
      </c>
      <c r="G547" s="5">
        <f>TEXT(Sheet1!C547,"dd/mm/yyyy") &amp; "," &amp; Sheet1!D547</f>
        <v/>
      </c>
      <c r="H547" s="38">
        <f>UPPER(Sheet1!J547 &amp; "," &amp; Sheet1!K547 &amp; "," &amp; Sheet1!L547)</f>
        <v/>
      </c>
      <c r="I547" s="45">
        <f>Sheet1!I547</f>
        <v/>
      </c>
      <c r="J547" s="5">
        <f>Sheet1!M547 &amp; "," &amp; TEXT(Sheet1!N547,"dd/mm/yy")</f>
        <v/>
      </c>
      <c r="K547" s="5" t="inlineStr">
        <is>
          <t>PRINTED</t>
        </is>
      </c>
      <c r="L547" s="30" t="inlineStr">
        <is>
          <t>25/03/2026</t>
        </is>
      </c>
      <c r="M547" s="30" t="inlineStr">
        <is>
          <t>MANISH KATARIA, VICE CONSUL</t>
        </is>
      </c>
      <c r="N547" s="30" t="inlineStr">
        <is>
          <t>26/02/2026</t>
        </is>
      </c>
    </row>
    <row r="548">
      <c r="A548" s="4">
        <f>Sheet1!A548 &amp; "/" &amp; "2025"</f>
        <v/>
      </c>
      <c r="B548" s="5">
        <f>Sheet1!E548</f>
        <v/>
      </c>
      <c r="C548" s="6">
        <f>UPPER(Sheet1!B548)</f>
        <v/>
      </c>
      <c r="D548" s="7">
        <f>IF(Sheet1!F548="F","FEMALE","MALE")</f>
        <v/>
      </c>
      <c r="E548" s="6">
        <f>UPPER(Sheet1!G548)</f>
        <v/>
      </c>
      <c r="F548" s="6">
        <f>UPPER(Sheet1!H548)</f>
        <v/>
      </c>
      <c r="G548" s="5">
        <f>TEXT(Sheet1!C548,"dd/mm/yyyy") &amp; "," &amp; Sheet1!D548</f>
        <v/>
      </c>
      <c r="H548" s="38">
        <f>UPPER(Sheet1!J548 &amp; "," &amp; Sheet1!K548 &amp; "," &amp; Sheet1!L548)</f>
        <v/>
      </c>
      <c r="I548" s="45">
        <f>Sheet1!I548</f>
        <v/>
      </c>
      <c r="J548" s="5">
        <f>Sheet1!M548 &amp; "," &amp; TEXT(Sheet1!N548,"dd/mm/yy")</f>
        <v/>
      </c>
      <c r="K548" s="5" t="inlineStr">
        <is>
          <t>PRINTED</t>
        </is>
      </c>
      <c r="L548" s="30" t="inlineStr">
        <is>
          <t>25/03/2026</t>
        </is>
      </c>
      <c r="M548" s="30" t="inlineStr">
        <is>
          <t>MANISH KATARIA, VICE CONSUL</t>
        </is>
      </c>
      <c r="N548" s="30" t="inlineStr">
        <is>
          <t>26/02/2026</t>
        </is>
      </c>
    </row>
    <row r="549">
      <c r="A549" s="4">
        <f>Sheet1!A549 &amp; "/" &amp; "2025"</f>
        <v/>
      </c>
      <c r="B549" s="5">
        <f>Sheet1!E549</f>
        <v/>
      </c>
      <c r="C549" s="6">
        <f>UPPER(Sheet1!B549)</f>
        <v/>
      </c>
      <c r="D549" s="7">
        <f>IF(Sheet1!F549="F","FEMALE","MALE")</f>
        <v/>
      </c>
      <c r="E549" s="6">
        <f>UPPER(Sheet1!G549)</f>
        <v/>
      </c>
      <c r="F549" s="6">
        <f>UPPER(Sheet1!H549)</f>
        <v/>
      </c>
      <c r="G549" s="5">
        <f>TEXT(Sheet1!C549,"dd/mm/yyyy") &amp; "," &amp; Sheet1!D549</f>
        <v/>
      </c>
      <c r="H549" s="38">
        <f>UPPER(Sheet1!J549 &amp; "," &amp; Sheet1!K549 &amp; "," &amp; Sheet1!L549)</f>
        <v/>
      </c>
      <c r="I549" s="45">
        <f>Sheet1!I549</f>
        <v/>
      </c>
      <c r="J549" s="5">
        <f>Sheet1!M549 &amp; "," &amp; TEXT(Sheet1!N549,"dd/mm/yy")</f>
        <v/>
      </c>
      <c r="K549" s="5" t="inlineStr">
        <is>
          <t>PRINTED</t>
        </is>
      </c>
      <c r="L549" s="30" t="inlineStr">
        <is>
          <t>25/03/2026</t>
        </is>
      </c>
      <c r="M549" s="30" t="inlineStr">
        <is>
          <t>MANISH KATARIA, VICE CONSUL</t>
        </is>
      </c>
      <c r="N549" s="30" t="inlineStr">
        <is>
          <t>26/02/2026</t>
        </is>
      </c>
    </row>
    <row r="550" ht="30" customHeight="1">
      <c r="A550" s="4">
        <f>Sheet1!A550 &amp; "/" &amp; "2025"</f>
        <v/>
      </c>
      <c r="B550" s="5">
        <f>Sheet1!E550</f>
        <v/>
      </c>
      <c r="C550" s="6">
        <f>UPPER(Sheet1!B550)</f>
        <v/>
      </c>
      <c r="D550" s="7">
        <f>IF(Sheet1!F550="F","FEMALE","MALE")</f>
        <v/>
      </c>
      <c r="E550" s="6">
        <f>UPPER(Sheet1!G550)</f>
        <v/>
      </c>
      <c r="F550" s="6">
        <f>UPPER(Sheet1!H550)</f>
        <v/>
      </c>
      <c r="G550" s="5">
        <f>TEXT(Sheet1!C550,"dd/mm/yyyy") &amp; "," &amp; Sheet1!D550</f>
        <v/>
      </c>
      <c r="H550" s="38">
        <f>UPPER(Sheet1!J550 &amp; "," &amp; Sheet1!K550 &amp; "," &amp; Sheet1!L550)</f>
        <v/>
      </c>
      <c r="I550" s="45">
        <f>Sheet1!I550</f>
        <v/>
      </c>
      <c r="J550" s="5">
        <f>Sheet1!M550 &amp; "," &amp; TEXT(Sheet1!N550,"dd/mm/yy")</f>
        <v/>
      </c>
      <c r="K550" s="5" t="inlineStr">
        <is>
          <t>PRINTED</t>
        </is>
      </c>
      <c r="L550" s="30" t="inlineStr">
        <is>
          <t>25/03/2026</t>
        </is>
      </c>
      <c r="M550" s="30" t="inlineStr">
        <is>
          <t>MANISH KATARIA, VICE CONSUL</t>
        </is>
      </c>
      <c r="N550" s="30" t="inlineStr">
        <is>
          <t>26/02/2026</t>
        </is>
      </c>
    </row>
    <row r="551">
      <c r="A551" s="4">
        <f>Sheet1!A551 &amp; "/" &amp; "2025"</f>
        <v/>
      </c>
      <c r="B551" s="5">
        <f>Sheet1!E551</f>
        <v/>
      </c>
      <c r="C551" s="6">
        <f>UPPER(Sheet1!B551)</f>
        <v/>
      </c>
      <c r="D551" s="7">
        <f>IF(Sheet1!F551="F","FEMALE","MALE")</f>
        <v/>
      </c>
      <c r="E551" s="6">
        <f>UPPER(Sheet1!G551)</f>
        <v/>
      </c>
      <c r="F551" s="6">
        <f>UPPER(Sheet1!H551)</f>
        <v/>
      </c>
      <c r="G551" s="5">
        <f>TEXT(Sheet1!C551,"dd/mm/yyyy") &amp; "," &amp; Sheet1!D551</f>
        <v/>
      </c>
      <c r="H551" s="38">
        <f>UPPER(Sheet1!J551 &amp; "," &amp; Sheet1!K551 &amp; "," &amp; Sheet1!L551)</f>
        <v/>
      </c>
      <c r="I551" s="45">
        <f>Sheet1!I551</f>
        <v/>
      </c>
      <c r="J551" s="5">
        <f>Sheet1!M551 &amp; "," &amp; TEXT(Sheet1!N551,"dd/mm/yy")</f>
        <v/>
      </c>
      <c r="K551" s="5" t="inlineStr">
        <is>
          <t>PRINTED</t>
        </is>
      </c>
      <c r="L551" s="30" t="inlineStr">
        <is>
          <t>25/03/2026</t>
        </is>
      </c>
      <c r="M551" s="30" t="inlineStr">
        <is>
          <t>MANISH KATARIA, VICE CONSUL</t>
        </is>
      </c>
      <c r="N551" s="30" t="inlineStr">
        <is>
          <t>26/02/2026</t>
        </is>
      </c>
    </row>
    <row r="552">
      <c r="A552" s="4">
        <f>Sheet1!A552 &amp; "/" &amp; "2025"</f>
        <v/>
      </c>
      <c r="B552" s="5">
        <f>Sheet1!E552</f>
        <v/>
      </c>
      <c r="C552" s="6">
        <f>UPPER(Sheet1!B552)</f>
        <v/>
      </c>
      <c r="D552" s="7">
        <f>IF(Sheet1!F552="F","FEMALE","MALE")</f>
        <v/>
      </c>
      <c r="E552" s="6">
        <f>UPPER(Sheet1!G552)</f>
        <v/>
      </c>
      <c r="F552" s="6">
        <f>UPPER(Sheet1!H552)</f>
        <v/>
      </c>
      <c r="G552" s="5">
        <f>TEXT(Sheet1!C552,"dd/mm/yyyy") &amp; "," &amp; Sheet1!D552</f>
        <v/>
      </c>
      <c r="H552" s="38">
        <f>UPPER(Sheet1!J552 &amp; "," &amp; Sheet1!K552 &amp; "," &amp; Sheet1!L552)</f>
        <v/>
      </c>
      <c r="I552" s="45">
        <f>Sheet1!I552</f>
        <v/>
      </c>
      <c r="J552" s="5">
        <f>Sheet1!M552 &amp; "," &amp; TEXT(Sheet1!N552,"dd/mm/yy")</f>
        <v/>
      </c>
      <c r="K552" s="5" t="inlineStr">
        <is>
          <t>PRINTED</t>
        </is>
      </c>
      <c r="L552" s="30" t="inlineStr">
        <is>
          <t>25/03/2026</t>
        </is>
      </c>
      <c r="M552" s="30" t="inlineStr">
        <is>
          <t>MANISH KATARIA, VICE CONSUL</t>
        </is>
      </c>
      <c r="N552" s="30" t="inlineStr">
        <is>
          <t>26/02/2026</t>
        </is>
      </c>
    </row>
    <row r="553">
      <c r="A553" s="4">
        <f>Sheet1!A553 &amp; "/" &amp; "2025"</f>
        <v/>
      </c>
      <c r="B553" s="5">
        <f>Sheet1!E553</f>
        <v/>
      </c>
      <c r="C553" s="6">
        <f>UPPER(Sheet1!B553)</f>
        <v/>
      </c>
      <c r="D553" s="7">
        <f>IF(Sheet1!F553="F","FEMALE","MALE")</f>
        <v/>
      </c>
      <c r="E553" s="6">
        <f>UPPER(Sheet1!G553)</f>
        <v/>
      </c>
      <c r="F553" s="6">
        <f>UPPER(Sheet1!H553)</f>
        <v/>
      </c>
      <c r="G553" s="5">
        <f>TEXT(Sheet1!C553,"dd/mm/yyyy") &amp; "," &amp; Sheet1!D553</f>
        <v/>
      </c>
      <c r="H553" s="38">
        <f>UPPER(Sheet1!J553 &amp; "," &amp; Sheet1!K553 &amp; "," &amp; Sheet1!L553)</f>
        <v/>
      </c>
      <c r="I553" s="45">
        <f>Sheet1!I553</f>
        <v/>
      </c>
      <c r="J553" s="5">
        <f>Sheet1!M553 &amp; "," &amp; TEXT(Sheet1!N553,"dd/mm/yy")</f>
        <v/>
      </c>
      <c r="K553" s="5" t="inlineStr">
        <is>
          <t>PRINTED</t>
        </is>
      </c>
      <c r="L553" s="30" t="inlineStr">
        <is>
          <t>25/03/2026</t>
        </is>
      </c>
      <c r="M553" s="30" t="inlineStr">
        <is>
          <t>MANISH KATARIA, VICE CONSUL</t>
        </is>
      </c>
      <c r="N553" s="30" t="inlineStr">
        <is>
          <t>26/02/2026</t>
        </is>
      </c>
    </row>
    <row r="554">
      <c r="A554" s="4">
        <f>Sheet1!A554 &amp; "/" &amp; "2025"</f>
        <v/>
      </c>
      <c r="B554" s="5">
        <f>Sheet1!E554</f>
        <v/>
      </c>
      <c r="C554" s="6">
        <f>UPPER(Sheet1!B554)</f>
        <v/>
      </c>
      <c r="D554" s="7">
        <f>IF(Sheet1!F554="F","FEMALE","MALE")</f>
        <v/>
      </c>
      <c r="E554" s="6">
        <f>UPPER(Sheet1!G554)</f>
        <v/>
      </c>
      <c r="F554" s="6">
        <f>UPPER(Sheet1!H554)</f>
        <v/>
      </c>
      <c r="G554" s="5">
        <f>TEXT(Sheet1!C554,"dd/mm/yyyy") &amp; "," &amp; Sheet1!D554</f>
        <v/>
      </c>
      <c r="H554" s="38">
        <f>UPPER(Sheet1!J554 &amp; "," &amp; Sheet1!K554 &amp; "," &amp; Sheet1!L554)</f>
        <v/>
      </c>
      <c r="I554" s="45">
        <f>Sheet1!I554</f>
        <v/>
      </c>
      <c r="J554" s="5">
        <f>Sheet1!M554 &amp; "," &amp; TEXT(Sheet1!N554,"dd/mm/yy")</f>
        <v/>
      </c>
      <c r="K554" s="5" t="inlineStr">
        <is>
          <t>PRINTED</t>
        </is>
      </c>
      <c r="L554" s="30" t="inlineStr">
        <is>
          <t>25/03/2026</t>
        </is>
      </c>
      <c r="M554" s="30" t="inlineStr">
        <is>
          <t>MANISH KATARIA, VICE CONSUL</t>
        </is>
      </c>
      <c r="N554" s="30" t="inlineStr">
        <is>
          <t>26/02/2026</t>
        </is>
      </c>
    </row>
    <row r="555">
      <c r="A555" s="4">
        <f>Sheet1!A555 &amp; "/" &amp; "2025"</f>
        <v/>
      </c>
      <c r="B555" s="5">
        <f>Sheet1!E555</f>
        <v/>
      </c>
      <c r="C555" s="6">
        <f>UPPER(Sheet1!B555)</f>
        <v/>
      </c>
      <c r="D555" s="7">
        <f>IF(Sheet1!F555="F","FEMALE","MALE")</f>
        <v/>
      </c>
      <c r="E555" s="6">
        <f>UPPER(Sheet1!G555)</f>
        <v/>
      </c>
      <c r="F555" s="6">
        <f>UPPER(Sheet1!H555)</f>
        <v/>
      </c>
      <c r="G555" s="5">
        <f>TEXT(Sheet1!C555,"dd/mm/yyyy") &amp; "," &amp; Sheet1!D555</f>
        <v/>
      </c>
      <c r="H555" s="38">
        <f>UPPER(Sheet1!J555 &amp; "," &amp; Sheet1!K555 &amp; "," &amp; Sheet1!L555)</f>
        <v/>
      </c>
      <c r="I555" s="45">
        <f>Sheet1!I555</f>
        <v/>
      </c>
      <c r="J555" s="5">
        <f>Sheet1!M555 &amp; "," &amp; TEXT(Sheet1!N555,"dd/mm/yy")</f>
        <v/>
      </c>
      <c r="K555" s="5" t="inlineStr">
        <is>
          <t>PRINTED</t>
        </is>
      </c>
      <c r="L555" s="30" t="inlineStr">
        <is>
          <t>25/03/2026</t>
        </is>
      </c>
      <c r="M555" s="30" t="inlineStr">
        <is>
          <t>MANISH KATARIA, VICE CONSUL</t>
        </is>
      </c>
      <c r="N555" s="30" t="inlineStr">
        <is>
          <t>26/02/2026</t>
        </is>
      </c>
    </row>
    <row r="556">
      <c r="A556" s="4">
        <f>Sheet1!A556 &amp; "/" &amp; "2025"</f>
        <v/>
      </c>
      <c r="B556" s="5">
        <f>Sheet1!E556</f>
        <v/>
      </c>
      <c r="C556" s="6">
        <f>UPPER(Sheet1!B556)</f>
        <v/>
      </c>
      <c r="D556" s="7">
        <f>IF(Sheet1!F556="F","FEMALE","MALE")</f>
        <v/>
      </c>
      <c r="E556" s="6">
        <f>UPPER(Sheet1!G556)</f>
        <v/>
      </c>
      <c r="F556" s="6">
        <f>UPPER(Sheet1!H556)</f>
        <v/>
      </c>
      <c r="G556" s="5">
        <f>TEXT(Sheet1!C556,"dd/mm/yyyy") &amp; "," &amp; Sheet1!D556</f>
        <v/>
      </c>
      <c r="H556" s="38">
        <f>UPPER(Sheet1!J556 &amp; "," &amp; Sheet1!K556 &amp; "," &amp; Sheet1!L556)</f>
        <v/>
      </c>
      <c r="I556" s="45">
        <f>Sheet1!I556</f>
        <v/>
      </c>
      <c r="J556" s="5">
        <f>Sheet1!M556 &amp; "," &amp; TEXT(Sheet1!N556,"dd/mm/yy")</f>
        <v/>
      </c>
      <c r="K556" s="5" t="inlineStr">
        <is>
          <t>PRINTED</t>
        </is>
      </c>
      <c r="L556" s="30" t="inlineStr">
        <is>
          <t>25/03/2026</t>
        </is>
      </c>
      <c r="M556" s="30" t="inlineStr">
        <is>
          <t>MANISH KATARIA, VICE CONSUL</t>
        </is>
      </c>
      <c r="N556" s="30" t="inlineStr">
        <is>
          <t>26/02/2026</t>
        </is>
      </c>
    </row>
    <row r="557">
      <c r="A557" s="4">
        <f>Sheet1!A557 &amp; "/" &amp; "2025"</f>
        <v/>
      </c>
      <c r="B557" s="5">
        <f>Sheet1!E557</f>
        <v/>
      </c>
      <c r="C557" s="6">
        <f>UPPER(Sheet1!B557)</f>
        <v/>
      </c>
      <c r="D557" s="7">
        <f>IF(Sheet1!F557="F","FEMALE","MALE")</f>
        <v/>
      </c>
      <c r="E557" s="6">
        <f>UPPER(Sheet1!G557)</f>
        <v/>
      </c>
      <c r="F557" s="6">
        <f>UPPER(Sheet1!H557)</f>
        <v/>
      </c>
      <c r="G557" s="5">
        <f>TEXT(Sheet1!C557,"dd/mm/yyyy") &amp; "," &amp; Sheet1!D557</f>
        <v/>
      </c>
      <c r="H557" s="38">
        <f>UPPER(Sheet1!J557 &amp; "," &amp; Sheet1!K557 &amp; "," &amp; Sheet1!L557)</f>
        <v/>
      </c>
      <c r="I557" s="45">
        <f>Sheet1!I557</f>
        <v/>
      </c>
      <c r="J557" s="5">
        <f>Sheet1!M557 &amp; "," &amp; TEXT(Sheet1!N557,"dd/mm/yy")</f>
        <v/>
      </c>
      <c r="K557" s="5" t="inlineStr">
        <is>
          <t>PRINTED</t>
        </is>
      </c>
      <c r="L557" s="30" t="inlineStr">
        <is>
          <t>25/03/2026</t>
        </is>
      </c>
      <c r="M557" s="30" t="inlineStr">
        <is>
          <t>MANISH KATARIA, VICE CONSUL</t>
        </is>
      </c>
      <c r="N557" s="30" t="inlineStr">
        <is>
          <t>26/02/2026</t>
        </is>
      </c>
    </row>
    <row r="558">
      <c r="A558" s="4">
        <f>Sheet1!A558 &amp; "/" &amp; "2025"</f>
        <v/>
      </c>
      <c r="B558" s="5">
        <f>Sheet1!E558</f>
        <v/>
      </c>
      <c r="C558" s="6">
        <f>UPPER(Sheet1!B558)</f>
        <v/>
      </c>
      <c r="D558" s="7">
        <f>IF(Sheet1!F558="F","FEMALE","MALE")</f>
        <v/>
      </c>
      <c r="E558" s="6">
        <f>UPPER(Sheet1!G558)</f>
        <v/>
      </c>
      <c r="F558" s="6">
        <f>UPPER(Sheet1!H558)</f>
        <v/>
      </c>
      <c r="G558" s="5">
        <f>TEXT(Sheet1!C558,"dd/mm/yyyy") &amp; "," &amp; Sheet1!D558</f>
        <v/>
      </c>
      <c r="H558" s="38">
        <f>UPPER(Sheet1!J558 &amp; "," &amp; Sheet1!K558 &amp; "," &amp; Sheet1!L558)</f>
        <v/>
      </c>
      <c r="I558" s="45">
        <f>Sheet1!I558</f>
        <v/>
      </c>
      <c r="J558" s="5">
        <f>Sheet1!M558 &amp; "," &amp; TEXT(Sheet1!N558,"dd/mm/yy")</f>
        <v/>
      </c>
      <c r="K558" s="5" t="inlineStr">
        <is>
          <t>PRINTED</t>
        </is>
      </c>
      <c r="L558" s="30" t="inlineStr">
        <is>
          <t>25/03/2026</t>
        </is>
      </c>
      <c r="M558" s="30" t="inlineStr">
        <is>
          <t>MANISH KATARIA, VICE CONSUL</t>
        </is>
      </c>
      <c r="N558" s="30" t="inlineStr">
        <is>
          <t>26/02/2026</t>
        </is>
      </c>
    </row>
    <row r="559">
      <c r="A559" s="4">
        <f>Sheet1!A559 &amp; "/" &amp; "2025"</f>
        <v/>
      </c>
      <c r="B559" s="5">
        <f>Sheet1!E559</f>
        <v/>
      </c>
      <c r="C559" s="6">
        <f>UPPER(Sheet1!B559)</f>
        <v/>
      </c>
      <c r="D559" s="7">
        <f>IF(Sheet1!F559="F","FEMALE","MALE")</f>
        <v/>
      </c>
      <c r="E559" s="6">
        <f>UPPER(Sheet1!G559)</f>
        <v/>
      </c>
      <c r="F559" s="6">
        <f>UPPER(Sheet1!H559)</f>
        <v/>
      </c>
      <c r="G559" s="5">
        <f>TEXT(Sheet1!C559,"dd/mm/yyyy") &amp; "," &amp; Sheet1!D559</f>
        <v/>
      </c>
      <c r="H559" s="38">
        <f>UPPER(Sheet1!J559 &amp; "," &amp; Sheet1!K559 &amp; "," &amp; Sheet1!L559)</f>
        <v/>
      </c>
      <c r="I559" s="45">
        <f>Sheet1!I559</f>
        <v/>
      </c>
      <c r="J559" s="5">
        <f>Sheet1!M559 &amp; "," &amp; TEXT(Sheet1!N559,"dd/mm/yy")</f>
        <v/>
      </c>
      <c r="K559" s="5" t="inlineStr">
        <is>
          <t>PRINTED</t>
        </is>
      </c>
      <c r="L559" s="30" t="inlineStr">
        <is>
          <t>25/03/2026</t>
        </is>
      </c>
      <c r="M559" s="30" t="inlineStr">
        <is>
          <t>MANISH KATARIA, VICE CONSUL</t>
        </is>
      </c>
      <c r="N559" s="30" t="inlineStr">
        <is>
          <t>26/02/2026</t>
        </is>
      </c>
    </row>
    <row r="560">
      <c r="A560" s="4">
        <f>Sheet1!A560 &amp; "/" &amp; "2025"</f>
        <v/>
      </c>
      <c r="B560" s="5">
        <f>Sheet1!E560</f>
        <v/>
      </c>
      <c r="C560" s="6">
        <f>UPPER(Sheet1!B560)</f>
        <v/>
      </c>
      <c r="D560" s="7">
        <f>IF(Sheet1!F560="F","FEMALE","MALE")</f>
        <v/>
      </c>
      <c r="E560" s="6">
        <f>UPPER(Sheet1!G560)</f>
        <v/>
      </c>
      <c r="F560" s="6">
        <f>UPPER(Sheet1!H560)</f>
        <v/>
      </c>
      <c r="G560" s="5">
        <f>TEXT(Sheet1!C560,"dd/mm/yyyy") &amp; "," &amp; Sheet1!D560</f>
        <v/>
      </c>
      <c r="H560" s="38">
        <f>UPPER(Sheet1!J560 &amp; "," &amp; Sheet1!K560 &amp; "," &amp; Sheet1!L560)</f>
        <v/>
      </c>
      <c r="I560" s="45">
        <f>Sheet1!I560</f>
        <v/>
      </c>
      <c r="J560" s="5">
        <f>Sheet1!M560 &amp; "," &amp; TEXT(Sheet1!N560,"dd/mm/yy")</f>
        <v/>
      </c>
      <c r="K560" s="5" t="inlineStr">
        <is>
          <t>PRINTED</t>
        </is>
      </c>
      <c r="L560" s="30" t="inlineStr">
        <is>
          <t>25/03/2026</t>
        </is>
      </c>
      <c r="M560" s="30" t="inlineStr">
        <is>
          <t>MANISH KATARIA, VICE CONSUL</t>
        </is>
      </c>
      <c r="N560" s="30" t="inlineStr">
        <is>
          <t>26/02/2026</t>
        </is>
      </c>
    </row>
    <row r="561">
      <c r="A561" s="4">
        <f>Sheet1!A561 &amp; "/" &amp; "2025"</f>
        <v/>
      </c>
      <c r="B561" s="5">
        <f>Sheet1!E561</f>
        <v/>
      </c>
      <c r="C561" s="6">
        <f>UPPER(Sheet1!B561)</f>
        <v/>
      </c>
      <c r="D561" s="7">
        <f>IF(Sheet1!F561="F","FEMALE","MALE")</f>
        <v/>
      </c>
      <c r="E561" s="6">
        <f>UPPER(Sheet1!G561)</f>
        <v/>
      </c>
      <c r="F561" s="6">
        <f>UPPER(Sheet1!H561)</f>
        <v/>
      </c>
      <c r="G561" s="5">
        <f>TEXT(Sheet1!C561,"dd/mm/yyyy") &amp; "," &amp; Sheet1!D561</f>
        <v/>
      </c>
      <c r="H561" s="38">
        <f>UPPER(Sheet1!J561 &amp; "," &amp; Sheet1!K561 &amp; "," &amp; Sheet1!L561)</f>
        <v/>
      </c>
      <c r="I561" s="45">
        <f>Sheet1!I561</f>
        <v/>
      </c>
      <c r="J561" s="5">
        <f>Sheet1!M561 &amp; "," &amp; TEXT(Sheet1!N561,"dd/mm/yy")</f>
        <v/>
      </c>
      <c r="K561" s="5" t="inlineStr">
        <is>
          <t>PRINTED</t>
        </is>
      </c>
      <c r="L561" s="30" t="inlineStr">
        <is>
          <t>25/03/2026</t>
        </is>
      </c>
      <c r="M561" s="30" t="inlineStr">
        <is>
          <t>MANISH KATARIA, VICE CONSUL</t>
        </is>
      </c>
      <c r="N561" s="30" t="inlineStr">
        <is>
          <t>26/02/2026</t>
        </is>
      </c>
    </row>
    <row r="562">
      <c r="A562" s="4">
        <f>Sheet1!A562 &amp; "/" &amp; "2025"</f>
        <v/>
      </c>
      <c r="B562" s="5">
        <f>Sheet1!E562</f>
        <v/>
      </c>
      <c r="C562" s="6">
        <f>UPPER(Sheet1!B562)</f>
        <v/>
      </c>
      <c r="D562" s="7">
        <f>IF(Sheet1!F562="F","FEMALE","MALE")</f>
        <v/>
      </c>
      <c r="E562" s="6">
        <f>UPPER(Sheet1!G562)</f>
        <v/>
      </c>
      <c r="F562" s="6">
        <f>UPPER(Sheet1!H562)</f>
        <v/>
      </c>
      <c r="G562" s="5">
        <f>TEXT(Sheet1!C562,"dd/mm/yyyy") &amp; "," &amp; Sheet1!D562</f>
        <v/>
      </c>
      <c r="H562" s="38">
        <f>UPPER(Sheet1!J562 &amp; "," &amp; Sheet1!K562 &amp; "," &amp; Sheet1!L562)</f>
        <v/>
      </c>
      <c r="I562" s="45">
        <f>Sheet1!I562</f>
        <v/>
      </c>
      <c r="J562" s="5">
        <f>Sheet1!M562 &amp; "," &amp; TEXT(Sheet1!N562,"dd/mm/yy")</f>
        <v/>
      </c>
      <c r="K562" s="5" t="inlineStr">
        <is>
          <t>PRINTED</t>
        </is>
      </c>
      <c r="L562" s="30" t="inlineStr">
        <is>
          <t>25/03/2026</t>
        </is>
      </c>
      <c r="M562" s="30" t="inlineStr">
        <is>
          <t>MANISH KATARIA, VICE CONSUL</t>
        </is>
      </c>
      <c r="N562" s="30" t="inlineStr">
        <is>
          <t>26/02/2026</t>
        </is>
      </c>
    </row>
    <row r="563">
      <c r="A563" s="4">
        <f>Sheet1!A563 &amp; "/" &amp; "2025"</f>
        <v/>
      </c>
      <c r="B563" s="5">
        <f>Sheet1!E563</f>
        <v/>
      </c>
      <c r="C563" s="6">
        <f>UPPER(Sheet1!B563)</f>
        <v/>
      </c>
      <c r="D563" s="7">
        <f>IF(Sheet1!F563="F","FEMALE","MALE")</f>
        <v/>
      </c>
      <c r="E563" s="6">
        <f>UPPER(Sheet1!G563)</f>
        <v/>
      </c>
      <c r="F563" s="6">
        <f>UPPER(Sheet1!H563)</f>
        <v/>
      </c>
      <c r="G563" s="5">
        <f>TEXT(Sheet1!C563,"dd/mm/yyyy") &amp; "," &amp; Sheet1!D563</f>
        <v/>
      </c>
      <c r="H563" s="38">
        <f>UPPER(Sheet1!J563 &amp; "," &amp; Sheet1!K563 &amp; "," &amp; Sheet1!L563)</f>
        <v/>
      </c>
      <c r="I563" s="45">
        <f>Sheet1!I563</f>
        <v/>
      </c>
      <c r="J563" s="5">
        <f>Sheet1!M563 &amp; "," &amp; TEXT(Sheet1!N563,"dd/mm/yy")</f>
        <v/>
      </c>
      <c r="K563" s="5" t="inlineStr">
        <is>
          <t>PRINTED</t>
        </is>
      </c>
      <c r="L563" s="30" t="inlineStr">
        <is>
          <t>25/03/2026</t>
        </is>
      </c>
      <c r="M563" s="30" t="inlineStr">
        <is>
          <t>MANISH KATARIA, VICE CONSUL</t>
        </is>
      </c>
      <c r="N563" s="30" t="inlineStr">
        <is>
          <t>26/02/2026</t>
        </is>
      </c>
    </row>
    <row r="564">
      <c r="A564" s="4">
        <f>Sheet1!A564 &amp; "/" &amp; "2025"</f>
        <v/>
      </c>
      <c r="B564" s="5">
        <f>Sheet1!E564</f>
        <v/>
      </c>
      <c r="C564" s="6">
        <f>UPPER(Sheet1!B564)</f>
        <v/>
      </c>
      <c r="D564" s="7">
        <f>IF(Sheet1!F564="F","FEMALE","MALE")</f>
        <v/>
      </c>
      <c r="E564" s="6">
        <f>UPPER(Sheet1!G564)</f>
        <v/>
      </c>
      <c r="F564" s="6">
        <f>UPPER(Sheet1!H564)</f>
        <v/>
      </c>
      <c r="G564" s="5">
        <f>TEXT(Sheet1!C564,"dd/mm/yyyy") &amp; "," &amp; Sheet1!D564</f>
        <v/>
      </c>
      <c r="H564" s="38">
        <f>UPPER(Sheet1!J564 &amp; "," &amp; Sheet1!K564 &amp; "," &amp; Sheet1!L564)</f>
        <v/>
      </c>
      <c r="I564" s="45">
        <f>Sheet1!I564</f>
        <v/>
      </c>
      <c r="J564" s="5">
        <f>Sheet1!M564 &amp; "," &amp; TEXT(Sheet1!N564,"dd/mm/yy")</f>
        <v/>
      </c>
      <c r="K564" s="5" t="inlineStr">
        <is>
          <t>PRINTED</t>
        </is>
      </c>
      <c r="L564" s="30" t="inlineStr">
        <is>
          <t>25/03/2026</t>
        </is>
      </c>
      <c r="M564" s="30" t="inlineStr">
        <is>
          <t>MANISH KATARIA, VICE CONSUL</t>
        </is>
      </c>
      <c r="N564" s="30" t="inlineStr">
        <is>
          <t>26/02/2026</t>
        </is>
      </c>
    </row>
    <row r="565">
      <c r="A565" s="4">
        <f>Sheet1!A565 &amp; "/" &amp; "2025"</f>
        <v/>
      </c>
      <c r="B565" s="5">
        <f>Sheet1!E565</f>
        <v/>
      </c>
      <c r="C565" s="6">
        <f>UPPER(Sheet1!B565)</f>
        <v/>
      </c>
      <c r="D565" s="7">
        <f>IF(Sheet1!F565="F","FEMALE","MALE")</f>
        <v/>
      </c>
      <c r="E565" s="6">
        <f>UPPER(Sheet1!G565)</f>
        <v/>
      </c>
      <c r="F565" s="6">
        <f>UPPER(Sheet1!H565)</f>
        <v/>
      </c>
      <c r="G565" s="5">
        <f>TEXT(Sheet1!C565,"dd/mm/yyyy") &amp; "," &amp; Sheet1!D565</f>
        <v/>
      </c>
      <c r="H565" s="38">
        <f>UPPER(Sheet1!J565 &amp; "," &amp; Sheet1!K565 &amp; "," &amp; Sheet1!L565)</f>
        <v/>
      </c>
      <c r="I565" s="45">
        <f>Sheet1!I565</f>
        <v/>
      </c>
      <c r="J565" s="5">
        <f>Sheet1!M565 &amp; "," &amp; TEXT(Sheet1!N565,"dd/mm/yy")</f>
        <v/>
      </c>
      <c r="K565" s="5" t="inlineStr">
        <is>
          <t>PRINTED</t>
        </is>
      </c>
      <c r="L565" s="30" t="inlineStr">
        <is>
          <t>25/03/2026</t>
        </is>
      </c>
      <c r="M565" s="30" t="inlineStr">
        <is>
          <t>MANISH KATARIA, VICE CONSUL</t>
        </is>
      </c>
      <c r="N565" s="30" t="inlineStr">
        <is>
          <t>26/02/2026</t>
        </is>
      </c>
    </row>
    <row r="566">
      <c r="A566" s="4">
        <f>Sheet1!A566 &amp; "/" &amp; "2025"</f>
        <v/>
      </c>
      <c r="B566" s="5">
        <f>Sheet1!E566</f>
        <v/>
      </c>
      <c r="C566" s="6">
        <f>UPPER(Sheet1!B566)</f>
        <v/>
      </c>
      <c r="D566" s="7">
        <f>IF(Sheet1!F566="F","FEMALE","MALE")</f>
        <v/>
      </c>
      <c r="E566" s="6">
        <f>UPPER(Sheet1!G566)</f>
        <v/>
      </c>
      <c r="F566" s="6">
        <f>UPPER(Sheet1!H566)</f>
        <v/>
      </c>
      <c r="G566" s="5">
        <f>TEXT(Sheet1!C566,"dd/mm/yyyy") &amp; "," &amp; Sheet1!D566</f>
        <v/>
      </c>
      <c r="H566" s="38">
        <f>UPPER(Sheet1!J566 &amp; "," &amp; Sheet1!K566 &amp; "," &amp; Sheet1!L566)</f>
        <v/>
      </c>
      <c r="I566" s="45">
        <f>Sheet1!I566</f>
        <v/>
      </c>
      <c r="J566" s="5">
        <f>Sheet1!M566 &amp; "," &amp; TEXT(Sheet1!N566,"dd/mm/yy")</f>
        <v/>
      </c>
      <c r="K566" s="5" t="inlineStr">
        <is>
          <t>PRINTED</t>
        </is>
      </c>
      <c r="L566" s="30" t="inlineStr">
        <is>
          <t>25/03/2026</t>
        </is>
      </c>
      <c r="M566" s="30" t="inlineStr">
        <is>
          <t>MANISH KATARIA, VICE CONSUL</t>
        </is>
      </c>
      <c r="N566" s="30" t="inlineStr">
        <is>
          <t>26/02/2026</t>
        </is>
      </c>
    </row>
    <row r="567">
      <c r="A567" s="4">
        <f>Sheet1!A567 &amp; "/" &amp; "2025"</f>
        <v/>
      </c>
      <c r="B567" s="5">
        <f>Sheet1!E567</f>
        <v/>
      </c>
      <c r="C567" s="6">
        <f>UPPER(Sheet1!B567)</f>
        <v/>
      </c>
      <c r="D567" s="7">
        <f>IF(Sheet1!F567="F","FEMALE","MALE")</f>
        <v/>
      </c>
      <c r="E567" s="6">
        <f>UPPER(Sheet1!G567)</f>
        <v/>
      </c>
      <c r="F567" s="6">
        <f>UPPER(Sheet1!H567)</f>
        <v/>
      </c>
      <c r="G567" s="5">
        <f>TEXT(Sheet1!C567,"dd/mm/yyyy") &amp; "," &amp; Sheet1!D567</f>
        <v/>
      </c>
      <c r="H567" s="38">
        <f>UPPER(Sheet1!J567 &amp; "," &amp; Sheet1!K567 &amp; "," &amp; Sheet1!L567)</f>
        <v/>
      </c>
      <c r="I567" s="45">
        <f>Sheet1!I567</f>
        <v/>
      </c>
      <c r="J567" s="5">
        <f>Sheet1!M567 &amp; "," &amp; TEXT(Sheet1!N567,"dd/mm/yy")</f>
        <v/>
      </c>
      <c r="K567" s="5" t="inlineStr">
        <is>
          <t>PRINTED</t>
        </is>
      </c>
      <c r="L567" s="30" t="inlineStr">
        <is>
          <t>25/03/2026</t>
        </is>
      </c>
      <c r="M567" s="30" t="inlineStr">
        <is>
          <t>MANISH KATARIA, VICE CONSUL</t>
        </is>
      </c>
      <c r="N567" s="30" t="inlineStr">
        <is>
          <t>26/02/2026</t>
        </is>
      </c>
    </row>
    <row r="568">
      <c r="A568" s="4">
        <f>Sheet1!A568 &amp; "/" &amp; "2025"</f>
        <v/>
      </c>
      <c r="B568" s="5">
        <f>Sheet1!E568</f>
        <v/>
      </c>
      <c r="C568" s="6">
        <f>UPPER(Sheet1!B568)</f>
        <v/>
      </c>
      <c r="D568" s="7">
        <f>IF(Sheet1!F568="F","FEMALE","MALE")</f>
        <v/>
      </c>
      <c r="E568" s="6">
        <f>UPPER(Sheet1!G568)</f>
        <v/>
      </c>
      <c r="F568" s="6">
        <f>UPPER(Sheet1!H568)</f>
        <v/>
      </c>
      <c r="G568" s="5">
        <f>TEXT(Sheet1!C568,"dd/mm/yyyy") &amp; "," &amp; Sheet1!D568</f>
        <v/>
      </c>
      <c r="H568" s="38">
        <f>UPPER(Sheet1!J568 &amp; "," &amp; Sheet1!K568 &amp; "," &amp; Sheet1!L568)</f>
        <v/>
      </c>
      <c r="I568" s="45">
        <f>Sheet1!I568</f>
        <v/>
      </c>
      <c r="J568" s="5">
        <f>Sheet1!M568 &amp; "," &amp; TEXT(Sheet1!N568,"dd/mm/yy")</f>
        <v/>
      </c>
      <c r="K568" s="5" t="inlineStr">
        <is>
          <t>PRINTED</t>
        </is>
      </c>
      <c r="L568" s="30" t="inlineStr">
        <is>
          <t>25/03/2026</t>
        </is>
      </c>
      <c r="M568" s="30" t="inlineStr">
        <is>
          <t>MANISH KATARIA, VICE CONSUL</t>
        </is>
      </c>
      <c r="N568" s="30" t="inlineStr">
        <is>
          <t>26/02/2026</t>
        </is>
      </c>
    </row>
    <row r="569">
      <c r="A569" s="4">
        <f>Sheet1!A569 &amp; "/" &amp; "2025"</f>
        <v/>
      </c>
      <c r="B569" s="5">
        <f>Sheet1!E569</f>
        <v/>
      </c>
      <c r="C569" s="6">
        <f>UPPER(Sheet1!B569)</f>
        <v/>
      </c>
      <c r="D569" s="7">
        <f>IF(Sheet1!F569="F","FEMALE","MALE")</f>
        <v/>
      </c>
      <c r="E569" s="6">
        <f>UPPER(Sheet1!G569)</f>
        <v/>
      </c>
      <c r="F569" s="6">
        <f>UPPER(Sheet1!H569)</f>
        <v/>
      </c>
      <c r="G569" s="5">
        <f>TEXT(Sheet1!C569,"dd/mm/yyyy") &amp; "," &amp; Sheet1!D569</f>
        <v/>
      </c>
      <c r="H569" s="38">
        <f>UPPER(Sheet1!J569 &amp; "," &amp; Sheet1!K569 &amp; "," &amp; Sheet1!L569)</f>
        <v/>
      </c>
      <c r="I569" s="45">
        <f>Sheet1!I569</f>
        <v/>
      </c>
      <c r="J569" s="5">
        <f>Sheet1!M569 &amp; "," &amp; TEXT(Sheet1!N569,"dd/mm/yy")</f>
        <v/>
      </c>
      <c r="K569" s="5" t="inlineStr">
        <is>
          <t>PRINTED</t>
        </is>
      </c>
      <c r="L569" s="30" t="inlineStr">
        <is>
          <t>25/03/2026</t>
        </is>
      </c>
      <c r="M569" s="30" t="inlineStr">
        <is>
          <t>MANISH KATARIA, VICE CONSUL</t>
        </is>
      </c>
      <c r="N569" s="30" t="inlineStr">
        <is>
          <t>26/02/2026</t>
        </is>
      </c>
    </row>
    <row r="570">
      <c r="A570" s="4">
        <f>Sheet1!A570 &amp; "/" &amp; "2025"</f>
        <v/>
      </c>
      <c r="B570" s="5">
        <f>Sheet1!E570</f>
        <v/>
      </c>
      <c r="C570" s="6">
        <f>UPPER(Sheet1!B570)</f>
        <v/>
      </c>
      <c r="D570" s="7">
        <f>IF(Sheet1!F570="F","FEMALE","MALE")</f>
        <v/>
      </c>
      <c r="E570" s="6">
        <f>UPPER(Sheet1!G570)</f>
        <v/>
      </c>
      <c r="F570" s="6">
        <f>UPPER(Sheet1!H570)</f>
        <v/>
      </c>
      <c r="G570" s="5">
        <f>TEXT(Sheet1!C570,"dd/mm/yyyy") &amp; "," &amp; Sheet1!D570</f>
        <v/>
      </c>
      <c r="H570" s="38">
        <f>UPPER(Sheet1!J570 &amp; "," &amp; Sheet1!K570 &amp; "," &amp; Sheet1!L570)</f>
        <v/>
      </c>
      <c r="I570" s="45">
        <f>Sheet1!I570</f>
        <v/>
      </c>
      <c r="J570" s="5">
        <f>Sheet1!M570 &amp; "," &amp; TEXT(Sheet1!N570,"dd/mm/yy")</f>
        <v/>
      </c>
      <c r="K570" s="5" t="inlineStr">
        <is>
          <t>PRINTED</t>
        </is>
      </c>
      <c r="L570" s="30" t="inlineStr">
        <is>
          <t>25/03/2026</t>
        </is>
      </c>
      <c r="M570" s="30" t="inlineStr">
        <is>
          <t>MANISH KATARIA, VICE CONSUL</t>
        </is>
      </c>
      <c r="N570" s="30" t="inlineStr">
        <is>
          <t>26/02/2026</t>
        </is>
      </c>
    </row>
    <row r="571">
      <c r="A571" s="4">
        <f>Sheet1!A571 &amp; "/" &amp; "2025"</f>
        <v/>
      </c>
      <c r="B571" s="5">
        <f>Sheet1!E571</f>
        <v/>
      </c>
      <c r="C571" s="6">
        <f>UPPER(Sheet1!B571)</f>
        <v/>
      </c>
      <c r="D571" s="7">
        <f>IF(Sheet1!F571="F","FEMALE","MALE")</f>
        <v/>
      </c>
      <c r="E571" s="6">
        <f>UPPER(Sheet1!G571)</f>
        <v/>
      </c>
      <c r="F571" s="6">
        <f>UPPER(Sheet1!H571)</f>
        <v/>
      </c>
      <c r="G571" s="5">
        <f>TEXT(Sheet1!C571,"dd/mm/yyyy") &amp; "," &amp; Sheet1!D571</f>
        <v/>
      </c>
      <c r="H571" s="38">
        <f>UPPER(Sheet1!J571 &amp; "," &amp; Sheet1!K571 &amp; "," &amp; Sheet1!L571)</f>
        <v/>
      </c>
      <c r="I571" s="45">
        <f>Sheet1!I571</f>
        <v/>
      </c>
      <c r="J571" s="5">
        <f>Sheet1!M571 &amp; "," &amp; TEXT(Sheet1!N571,"dd/mm/yy")</f>
        <v/>
      </c>
      <c r="K571" s="5" t="inlineStr">
        <is>
          <t>PRINTED</t>
        </is>
      </c>
      <c r="L571" s="30" t="inlineStr">
        <is>
          <t>25/03/2026</t>
        </is>
      </c>
      <c r="M571" s="30" t="inlineStr">
        <is>
          <t>MANISH KATARIA, VICE CONSUL</t>
        </is>
      </c>
      <c r="N571" s="30" t="inlineStr">
        <is>
          <t>26/02/2026</t>
        </is>
      </c>
    </row>
    <row r="572" ht="30" customHeight="1">
      <c r="A572" s="4">
        <f>Sheet1!A572 &amp; "/" &amp; "2025"</f>
        <v/>
      </c>
      <c r="B572" s="5">
        <f>Sheet1!E572</f>
        <v/>
      </c>
      <c r="C572" s="6">
        <f>UPPER(Sheet1!B572)</f>
        <v/>
      </c>
      <c r="D572" s="7">
        <f>IF(Sheet1!F572="F","FEMALE","MALE")</f>
        <v/>
      </c>
      <c r="E572" s="6">
        <f>UPPER(Sheet1!G572)</f>
        <v/>
      </c>
      <c r="F572" s="6">
        <f>UPPER(Sheet1!H572)</f>
        <v/>
      </c>
      <c r="G572" s="5">
        <f>TEXT(Sheet1!C572,"dd/mm/yyyy") &amp; "," &amp; Sheet1!D572</f>
        <v/>
      </c>
      <c r="H572" s="38">
        <f>UPPER(Sheet1!J572 &amp; "," &amp; Sheet1!K572 &amp; "," &amp; Sheet1!L572)</f>
        <v/>
      </c>
      <c r="I572" s="45">
        <f>Sheet1!I572</f>
        <v/>
      </c>
      <c r="J572" s="5">
        <f>Sheet1!M572 &amp; "," &amp; TEXT(Sheet1!N572,"dd/mm/yy")</f>
        <v/>
      </c>
      <c r="K572" s="5" t="inlineStr">
        <is>
          <t>PRINTED</t>
        </is>
      </c>
      <c r="L572" s="30" t="inlineStr">
        <is>
          <t>25/03/2026</t>
        </is>
      </c>
      <c r="M572" s="30" t="inlineStr">
        <is>
          <t>MANISH KATARIA, VICE CONSUL</t>
        </is>
      </c>
      <c r="N572" s="30" t="inlineStr">
        <is>
          <t>26/02/2026</t>
        </is>
      </c>
    </row>
    <row r="573">
      <c r="A573" s="4">
        <f>Sheet1!A573 &amp; "/" &amp; "2025"</f>
        <v/>
      </c>
      <c r="B573" s="5">
        <f>Sheet1!E573</f>
        <v/>
      </c>
      <c r="C573" s="6">
        <f>UPPER(Sheet1!B573)</f>
        <v/>
      </c>
      <c r="D573" s="7">
        <f>IF(Sheet1!F573="F","FEMALE","MALE")</f>
        <v/>
      </c>
      <c r="E573" s="6">
        <f>UPPER(Sheet1!G573)</f>
        <v/>
      </c>
      <c r="F573" s="6">
        <f>UPPER(Sheet1!H573)</f>
        <v/>
      </c>
      <c r="G573" s="5">
        <f>TEXT(Sheet1!C573,"dd/mm/yyyy") &amp; "," &amp; Sheet1!D573</f>
        <v/>
      </c>
      <c r="H573" s="38">
        <f>UPPER(Sheet1!J573 &amp; "," &amp; Sheet1!K573 &amp; "," &amp; Sheet1!L573)</f>
        <v/>
      </c>
      <c r="I573" s="45">
        <f>Sheet1!I573</f>
        <v/>
      </c>
      <c r="J573" s="5">
        <f>Sheet1!M573 &amp; "," &amp; TEXT(Sheet1!N573,"dd/mm/yy")</f>
        <v/>
      </c>
      <c r="K573" s="5" t="inlineStr">
        <is>
          <t>PRINTED</t>
        </is>
      </c>
      <c r="L573" s="30" t="inlineStr">
        <is>
          <t>25/03/2026</t>
        </is>
      </c>
      <c r="M573" s="30" t="inlineStr">
        <is>
          <t>MANISH KATARIA, VICE CONSUL</t>
        </is>
      </c>
      <c r="N573" s="30" t="inlineStr">
        <is>
          <t>26/02/2026</t>
        </is>
      </c>
    </row>
    <row r="574">
      <c r="A574" s="4">
        <f>Sheet1!A574 &amp; "/" &amp; "2025"</f>
        <v/>
      </c>
      <c r="B574" s="5">
        <f>Sheet1!E574</f>
        <v/>
      </c>
      <c r="C574" s="6">
        <f>UPPER(Sheet1!B574)</f>
        <v/>
      </c>
      <c r="D574" s="7">
        <f>IF(Sheet1!F574="F","FEMALE","MALE")</f>
        <v/>
      </c>
      <c r="E574" s="6">
        <f>UPPER(Sheet1!G574)</f>
        <v/>
      </c>
      <c r="F574" s="6">
        <f>UPPER(Sheet1!H574)</f>
        <v/>
      </c>
      <c r="G574" s="5">
        <f>TEXT(Sheet1!C574,"dd/mm/yyyy") &amp; "," &amp; Sheet1!D574</f>
        <v/>
      </c>
      <c r="H574" s="38">
        <f>UPPER(Sheet1!J574 &amp; "," &amp; Sheet1!K574 &amp; "," &amp; Sheet1!L574)</f>
        <v/>
      </c>
      <c r="I574" s="45">
        <f>Sheet1!I574</f>
        <v/>
      </c>
      <c r="J574" s="5">
        <f>Sheet1!M574 &amp; "," &amp; TEXT(Sheet1!N574,"dd/mm/yy")</f>
        <v/>
      </c>
      <c r="K574" s="5" t="inlineStr">
        <is>
          <t>PRINTED</t>
        </is>
      </c>
      <c r="L574" s="30" t="inlineStr">
        <is>
          <t>25/03/2026</t>
        </is>
      </c>
      <c r="M574" s="30" t="inlineStr">
        <is>
          <t>MANISH KATARIA, VICE CONSUL</t>
        </is>
      </c>
      <c r="N574" s="30" t="inlineStr">
        <is>
          <t>26/02/2026</t>
        </is>
      </c>
    </row>
    <row r="575">
      <c r="A575" s="4">
        <f>Sheet1!A575 &amp; "/" &amp; "2025"</f>
        <v/>
      </c>
      <c r="B575" s="5">
        <f>Sheet1!E575</f>
        <v/>
      </c>
      <c r="C575" s="6">
        <f>UPPER(Sheet1!B575)</f>
        <v/>
      </c>
      <c r="D575" s="7">
        <f>IF(Sheet1!F575="F","FEMALE","MALE")</f>
        <v/>
      </c>
      <c r="E575" s="6">
        <f>UPPER(Sheet1!G575)</f>
        <v/>
      </c>
      <c r="F575" s="6">
        <f>UPPER(Sheet1!H575)</f>
        <v/>
      </c>
      <c r="G575" s="5">
        <f>TEXT(Sheet1!C575,"dd/mm/yyyy") &amp; "," &amp; Sheet1!D575</f>
        <v/>
      </c>
      <c r="H575" s="38">
        <f>UPPER(Sheet1!J575 &amp; "," &amp; Sheet1!K575 &amp; "," &amp; Sheet1!L575)</f>
        <v/>
      </c>
      <c r="I575" s="45">
        <f>Sheet1!I575</f>
        <v/>
      </c>
      <c r="J575" s="5">
        <f>Sheet1!M575 &amp; "," &amp; TEXT(Sheet1!N575,"dd/mm/yy")</f>
        <v/>
      </c>
      <c r="K575" s="5" t="inlineStr">
        <is>
          <t>PRINTED</t>
        </is>
      </c>
      <c r="L575" s="30" t="inlineStr">
        <is>
          <t>25/03/2026</t>
        </is>
      </c>
      <c r="M575" s="30" t="inlineStr">
        <is>
          <t>MANISH KATARIA, VICE CONSUL</t>
        </is>
      </c>
      <c r="N575" s="30" t="inlineStr">
        <is>
          <t>26/02/2026</t>
        </is>
      </c>
    </row>
    <row r="576">
      <c r="A576" s="4">
        <f>Sheet1!A576 &amp; "/" &amp; "2025"</f>
        <v/>
      </c>
      <c r="B576" s="5">
        <f>Sheet1!E576</f>
        <v/>
      </c>
      <c r="C576" s="6">
        <f>UPPER(Sheet1!B576)</f>
        <v/>
      </c>
      <c r="D576" s="7">
        <f>IF(Sheet1!F576="F","FEMALE","MALE")</f>
        <v/>
      </c>
      <c r="E576" s="6">
        <f>UPPER(Sheet1!G576)</f>
        <v/>
      </c>
      <c r="F576" s="6">
        <f>UPPER(Sheet1!H576)</f>
        <v/>
      </c>
      <c r="G576" s="5">
        <f>TEXT(Sheet1!C576,"dd/mm/yyyy") &amp; "," &amp; Sheet1!D576</f>
        <v/>
      </c>
      <c r="H576" s="38">
        <f>UPPER(Sheet1!J576 &amp; "," &amp; Sheet1!K576 &amp; "," &amp; Sheet1!L576)</f>
        <v/>
      </c>
      <c r="I576" s="45">
        <f>Sheet1!I576</f>
        <v/>
      </c>
      <c r="J576" s="5">
        <f>Sheet1!M576 &amp; "," &amp; TEXT(Sheet1!N576,"dd/mm/yy")</f>
        <v/>
      </c>
      <c r="K576" s="5" t="inlineStr">
        <is>
          <t>PRINTED</t>
        </is>
      </c>
      <c r="L576" s="30" t="inlineStr">
        <is>
          <t>25/03/2026</t>
        </is>
      </c>
      <c r="M576" s="30" t="inlineStr">
        <is>
          <t>MANISH KATARIA, VICE CONSUL</t>
        </is>
      </c>
      <c r="N576" s="30" t="inlineStr">
        <is>
          <t>26/02/2026</t>
        </is>
      </c>
    </row>
    <row r="577">
      <c r="A577" s="4">
        <f>Sheet1!A577 &amp; "/" &amp; "2025"</f>
        <v/>
      </c>
      <c r="B577" s="5">
        <f>Sheet1!E577</f>
        <v/>
      </c>
      <c r="C577" s="6">
        <f>UPPER(Sheet1!B577)</f>
        <v/>
      </c>
      <c r="D577" s="7">
        <f>IF(Sheet1!F577="F","FEMALE","MALE")</f>
        <v/>
      </c>
      <c r="E577" s="6">
        <f>UPPER(Sheet1!G577)</f>
        <v/>
      </c>
      <c r="F577" s="6">
        <f>UPPER(Sheet1!H577)</f>
        <v/>
      </c>
      <c r="G577" s="5">
        <f>TEXT(Sheet1!C577,"dd/mm/yyyy") &amp; "," &amp; Sheet1!D577</f>
        <v/>
      </c>
      <c r="H577" s="38">
        <f>UPPER(Sheet1!J577 &amp; "," &amp; Sheet1!K577 &amp; "," &amp; Sheet1!L577)</f>
        <v/>
      </c>
      <c r="I577" s="45">
        <f>Sheet1!I577</f>
        <v/>
      </c>
      <c r="J577" s="5">
        <f>Sheet1!M577 &amp; "," &amp; TEXT(Sheet1!N577,"dd/mm/yy")</f>
        <v/>
      </c>
      <c r="K577" s="5" t="inlineStr">
        <is>
          <t>PRINTED</t>
        </is>
      </c>
      <c r="L577" s="30" t="inlineStr">
        <is>
          <t>25/03/2026</t>
        </is>
      </c>
      <c r="M577" s="30" t="inlineStr">
        <is>
          <t>MANISH KATARIA, VICE CONSUL</t>
        </is>
      </c>
      <c r="N577" s="30" t="inlineStr">
        <is>
          <t>26/02/2026</t>
        </is>
      </c>
    </row>
    <row r="578">
      <c r="A578" s="4">
        <f>Sheet1!A578 &amp; "/" &amp; "2025"</f>
        <v/>
      </c>
      <c r="B578" s="5">
        <f>Sheet1!E578</f>
        <v/>
      </c>
      <c r="C578" s="6">
        <f>UPPER(Sheet1!B578)</f>
        <v/>
      </c>
      <c r="D578" s="7">
        <f>IF(Sheet1!F578="F","FEMALE","MALE")</f>
        <v/>
      </c>
      <c r="E578" s="6">
        <f>UPPER(Sheet1!G578)</f>
        <v/>
      </c>
      <c r="F578" s="6">
        <f>UPPER(Sheet1!H578)</f>
        <v/>
      </c>
      <c r="G578" s="5">
        <f>TEXT(Sheet1!C578,"dd/mm/yyyy") &amp; "," &amp; Sheet1!D578</f>
        <v/>
      </c>
      <c r="H578" s="38">
        <f>UPPER(Sheet1!J578 &amp; "," &amp; Sheet1!K578 &amp; "," &amp; Sheet1!L578)</f>
        <v/>
      </c>
      <c r="I578" s="45">
        <f>Sheet1!I578</f>
        <v/>
      </c>
      <c r="J578" s="5">
        <f>Sheet1!M578 &amp; "," &amp; TEXT(Sheet1!N578,"dd/mm/yy")</f>
        <v/>
      </c>
      <c r="K578" s="5" t="inlineStr">
        <is>
          <t>PRINTED</t>
        </is>
      </c>
      <c r="L578" s="30" t="inlineStr">
        <is>
          <t>25/03/2026</t>
        </is>
      </c>
      <c r="M578" s="30" t="inlineStr">
        <is>
          <t>MANISH KATARIA, VICE CONSUL</t>
        </is>
      </c>
      <c r="N578" s="30" t="inlineStr">
        <is>
          <t>26/02/2026</t>
        </is>
      </c>
    </row>
    <row r="579">
      <c r="A579" s="4">
        <f>Sheet1!A579 &amp; "/" &amp; "2025"</f>
        <v/>
      </c>
      <c r="B579" s="5">
        <f>Sheet1!E579</f>
        <v/>
      </c>
      <c r="C579" s="6">
        <f>UPPER(Sheet1!B579)</f>
        <v/>
      </c>
      <c r="D579" s="7">
        <f>IF(Sheet1!F579="F","FEMALE","MALE")</f>
        <v/>
      </c>
      <c r="E579" s="6">
        <f>UPPER(Sheet1!G579)</f>
        <v/>
      </c>
      <c r="F579" s="6">
        <f>UPPER(Sheet1!H579)</f>
        <v/>
      </c>
      <c r="G579" s="5">
        <f>TEXT(Sheet1!C579,"dd/mm/yyyy") &amp; "," &amp; Sheet1!D579</f>
        <v/>
      </c>
      <c r="H579" s="38">
        <f>UPPER(Sheet1!J579 &amp; "," &amp; Sheet1!K579 &amp; "," &amp; Sheet1!L579)</f>
        <v/>
      </c>
      <c r="I579" s="45">
        <f>Sheet1!I579</f>
        <v/>
      </c>
      <c r="J579" s="5">
        <f>Sheet1!M579 &amp; "," &amp; TEXT(Sheet1!N579,"dd/mm/yy")</f>
        <v/>
      </c>
      <c r="K579" s="5" t="inlineStr">
        <is>
          <t>PRINTED</t>
        </is>
      </c>
      <c r="L579" s="30" t="inlineStr">
        <is>
          <t>25/03/2026</t>
        </is>
      </c>
      <c r="M579" s="30" t="inlineStr">
        <is>
          <t>MANISH KATARIA, VICE CONSUL</t>
        </is>
      </c>
      <c r="N579" s="30" t="inlineStr">
        <is>
          <t>26/02/2026</t>
        </is>
      </c>
    </row>
    <row r="580">
      <c r="A580" s="4">
        <f>Sheet1!A580 &amp; "/" &amp; "2025"</f>
        <v/>
      </c>
      <c r="B580" s="5">
        <f>Sheet1!E580</f>
        <v/>
      </c>
      <c r="C580" s="6">
        <f>UPPER(Sheet1!B580)</f>
        <v/>
      </c>
      <c r="D580" s="7">
        <f>IF(Sheet1!F580="F","FEMALE","MALE")</f>
        <v/>
      </c>
      <c r="E580" s="6">
        <f>UPPER(Sheet1!G580)</f>
        <v/>
      </c>
      <c r="F580" s="6">
        <f>UPPER(Sheet1!H580)</f>
        <v/>
      </c>
      <c r="G580" s="5">
        <f>TEXT(Sheet1!C580,"dd/mm/yyyy") &amp; "," &amp; Sheet1!D580</f>
        <v/>
      </c>
      <c r="H580" s="38">
        <f>UPPER(Sheet1!J580 &amp; "," &amp; Sheet1!K580 &amp; "," &amp; Sheet1!L580)</f>
        <v/>
      </c>
      <c r="I580" s="45">
        <f>Sheet1!I580</f>
        <v/>
      </c>
      <c r="J580" s="5">
        <f>Sheet1!M580 &amp; "," &amp; TEXT(Sheet1!N580,"dd/mm/yy")</f>
        <v/>
      </c>
      <c r="K580" s="5" t="inlineStr">
        <is>
          <t>PRINTED</t>
        </is>
      </c>
      <c r="L580" s="30" t="inlineStr">
        <is>
          <t>25/03/2026</t>
        </is>
      </c>
      <c r="M580" s="30" t="inlineStr">
        <is>
          <t>MANISH KATARIA, VICE CONSUL</t>
        </is>
      </c>
      <c r="N580" s="30" t="inlineStr">
        <is>
          <t>26/02/2026</t>
        </is>
      </c>
    </row>
    <row r="581">
      <c r="A581" s="4">
        <f>Sheet1!A581 &amp; "/" &amp; "2025"</f>
        <v/>
      </c>
      <c r="B581" s="5">
        <f>Sheet1!E581</f>
        <v/>
      </c>
      <c r="C581" s="6">
        <f>UPPER(Sheet1!B581)</f>
        <v/>
      </c>
      <c r="D581" s="7">
        <f>IF(Sheet1!F581="F","FEMALE","MALE")</f>
        <v/>
      </c>
      <c r="E581" s="6">
        <f>UPPER(Sheet1!G581)</f>
        <v/>
      </c>
      <c r="F581" s="6">
        <f>UPPER(Sheet1!H581)</f>
        <v/>
      </c>
      <c r="G581" s="5">
        <f>TEXT(Sheet1!C581,"dd/mm/yyyy") &amp; "," &amp; Sheet1!D581</f>
        <v/>
      </c>
      <c r="H581" s="38">
        <f>UPPER(Sheet1!J581 &amp; "," &amp; Sheet1!K581 &amp; "," &amp; Sheet1!L581)</f>
        <v/>
      </c>
      <c r="I581" s="45">
        <f>Sheet1!I581</f>
        <v/>
      </c>
      <c r="J581" s="5">
        <f>Sheet1!M581 &amp; "," &amp; TEXT(Sheet1!N581,"dd/mm/yy")</f>
        <v/>
      </c>
      <c r="K581" s="5" t="inlineStr">
        <is>
          <t>PRINTED</t>
        </is>
      </c>
      <c r="L581" s="30" t="inlineStr">
        <is>
          <t>25/03/2026</t>
        </is>
      </c>
      <c r="M581" s="30" t="inlineStr">
        <is>
          <t>MANISH KATARIA, VICE CONSUL</t>
        </is>
      </c>
      <c r="N581" s="30" t="inlineStr">
        <is>
          <t>26/02/2026</t>
        </is>
      </c>
    </row>
    <row r="582">
      <c r="A582" s="4">
        <f>Sheet1!A582 &amp; "/" &amp; "2025"</f>
        <v/>
      </c>
      <c r="B582" s="5">
        <f>Sheet1!E582</f>
        <v/>
      </c>
      <c r="C582" s="6">
        <f>UPPER(Sheet1!B582)</f>
        <v/>
      </c>
      <c r="D582" s="7">
        <f>IF(Sheet1!F582="F","FEMALE","MALE")</f>
        <v/>
      </c>
      <c r="E582" s="6">
        <f>UPPER(Sheet1!G582)</f>
        <v/>
      </c>
      <c r="F582" s="6">
        <f>UPPER(Sheet1!H582)</f>
        <v/>
      </c>
      <c r="G582" s="5">
        <f>TEXT(Sheet1!C582,"dd/mm/yyyy") &amp; "," &amp; Sheet1!D582</f>
        <v/>
      </c>
      <c r="H582" s="38">
        <f>UPPER(Sheet1!J582 &amp; "," &amp; Sheet1!K582 &amp; "," &amp; Sheet1!L582)</f>
        <v/>
      </c>
      <c r="I582" s="45">
        <f>Sheet1!I582</f>
        <v/>
      </c>
      <c r="J582" s="5">
        <f>Sheet1!M582 &amp; "," &amp; TEXT(Sheet1!N582,"dd/mm/yy")</f>
        <v/>
      </c>
      <c r="K582" s="5" t="inlineStr">
        <is>
          <t>PRINTED</t>
        </is>
      </c>
      <c r="L582" s="30" t="inlineStr">
        <is>
          <t>25/03/2026</t>
        </is>
      </c>
      <c r="M582" s="30" t="inlineStr">
        <is>
          <t>MANISH KATARIA, VICE CONSUL</t>
        </is>
      </c>
      <c r="N582" s="30" t="inlineStr">
        <is>
          <t>26/02/2026</t>
        </is>
      </c>
    </row>
    <row r="583">
      <c r="A583" s="4">
        <f>Sheet1!A583 &amp; "/" &amp; "2025"</f>
        <v/>
      </c>
      <c r="B583" s="5">
        <f>Sheet1!E583</f>
        <v/>
      </c>
      <c r="C583" s="6">
        <f>UPPER(Sheet1!B583)</f>
        <v/>
      </c>
      <c r="D583" s="7">
        <f>IF(Sheet1!F583="F","FEMALE","MALE")</f>
        <v/>
      </c>
      <c r="E583" s="6">
        <f>UPPER(Sheet1!G583)</f>
        <v/>
      </c>
      <c r="F583" s="6">
        <f>UPPER(Sheet1!H583)</f>
        <v/>
      </c>
      <c r="G583" s="5">
        <f>TEXT(Sheet1!C583,"dd/mm/yyyy") &amp; "," &amp; Sheet1!D583</f>
        <v/>
      </c>
      <c r="H583" s="38">
        <f>UPPER(Sheet1!J583 &amp; "," &amp; Sheet1!K583 &amp; "," &amp; Sheet1!L583)</f>
        <v/>
      </c>
      <c r="I583" s="45">
        <f>Sheet1!I583</f>
        <v/>
      </c>
      <c r="J583" s="5">
        <f>Sheet1!M583 &amp; "," &amp; TEXT(Sheet1!N583,"dd/mm/yy")</f>
        <v/>
      </c>
      <c r="K583" s="5" t="inlineStr">
        <is>
          <t>PRINTED</t>
        </is>
      </c>
      <c r="L583" s="30" t="inlineStr">
        <is>
          <t>25/03/2026</t>
        </is>
      </c>
      <c r="M583" s="30" t="inlineStr">
        <is>
          <t>MANISH KATARIA, VICE CONSUL</t>
        </is>
      </c>
      <c r="N583" s="30" t="inlineStr">
        <is>
          <t>26/02/2026</t>
        </is>
      </c>
    </row>
    <row r="584">
      <c r="A584" s="4">
        <f>Sheet1!A584 &amp; "/" &amp; "2025"</f>
        <v/>
      </c>
      <c r="B584" s="5">
        <f>Sheet1!E584</f>
        <v/>
      </c>
      <c r="C584" s="6">
        <f>UPPER(Sheet1!B584)</f>
        <v/>
      </c>
      <c r="D584" s="7">
        <f>IF(Sheet1!F584="F","FEMALE","MALE")</f>
        <v/>
      </c>
      <c r="E584" s="6">
        <f>UPPER(Sheet1!G584)</f>
        <v/>
      </c>
      <c r="F584" s="6">
        <f>UPPER(Sheet1!H584)</f>
        <v/>
      </c>
      <c r="G584" s="5">
        <f>TEXT(Sheet1!C584,"dd/mm/yyyy") &amp; "," &amp; Sheet1!D584</f>
        <v/>
      </c>
      <c r="H584" s="38">
        <f>UPPER(Sheet1!J584 &amp; "," &amp; Sheet1!K584 &amp; "," &amp; Sheet1!L584)</f>
        <v/>
      </c>
      <c r="I584" s="45">
        <f>Sheet1!I584</f>
        <v/>
      </c>
      <c r="J584" s="5">
        <f>Sheet1!M584 &amp; "," &amp; TEXT(Sheet1!N584,"dd/mm/yy")</f>
        <v/>
      </c>
      <c r="K584" s="5" t="inlineStr">
        <is>
          <t>PRINTED</t>
        </is>
      </c>
      <c r="L584" s="30" t="inlineStr">
        <is>
          <t>25/03/2026</t>
        </is>
      </c>
      <c r="M584" s="30" t="inlineStr">
        <is>
          <t>MANISH KATARIA, VICE CONSUL</t>
        </is>
      </c>
      <c r="N584" s="30" t="inlineStr">
        <is>
          <t>26/02/2026</t>
        </is>
      </c>
    </row>
    <row r="585">
      <c r="A585" s="4">
        <f>Sheet1!A585 &amp; "/" &amp; "2025"</f>
        <v/>
      </c>
      <c r="B585" s="5">
        <f>Sheet1!E585</f>
        <v/>
      </c>
      <c r="C585" s="6">
        <f>UPPER(Sheet1!B585)</f>
        <v/>
      </c>
      <c r="D585" s="7">
        <f>IF(Sheet1!F585="F","FEMALE","MALE")</f>
        <v/>
      </c>
      <c r="E585" s="6">
        <f>UPPER(Sheet1!G585)</f>
        <v/>
      </c>
      <c r="F585" s="6">
        <f>UPPER(Sheet1!H585)</f>
        <v/>
      </c>
      <c r="G585" s="5">
        <f>TEXT(Sheet1!C585,"dd/mm/yyyy") &amp; "," &amp; Sheet1!D585</f>
        <v/>
      </c>
      <c r="H585" s="38">
        <f>UPPER(Sheet1!J585 &amp; "," &amp; Sheet1!K585 &amp; "," &amp; Sheet1!L585)</f>
        <v/>
      </c>
      <c r="I585" s="45">
        <f>Sheet1!I585</f>
        <v/>
      </c>
      <c r="J585" s="5">
        <f>Sheet1!M585 &amp; "," &amp; TEXT(Sheet1!N585,"dd/mm/yy")</f>
        <v/>
      </c>
      <c r="K585" s="5" t="inlineStr">
        <is>
          <t>PRINTED</t>
        </is>
      </c>
      <c r="L585" s="30" t="inlineStr">
        <is>
          <t>25/03/2026</t>
        </is>
      </c>
      <c r="M585" s="30" t="inlineStr">
        <is>
          <t>MANISH KATARIA, VICE CONSUL</t>
        </is>
      </c>
      <c r="N585" s="30" t="inlineStr">
        <is>
          <t>26/02/2026</t>
        </is>
      </c>
    </row>
    <row r="586">
      <c r="A586" s="4">
        <f>Sheet1!A586 &amp; "/" &amp; "2025"</f>
        <v/>
      </c>
      <c r="B586" s="5">
        <f>Sheet1!E586</f>
        <v/>
      </c>
      <c r="C586" s="6">
        <f>UPPER(Sheet1!B586)</f>
        <v/>
      </c>
      <c r="D586" s="7">
        <f>IF(Sheet1!F586="F","FEMALE","MALE")</f>
        <v/>
      </c>
      <c r="E586" s="6">
        <f>UPPER(Sheet1!G586)</f>
        <v/>
      </c>
      <c r="F586" s="6">
        <f>UPPER(Sheet1!H586)</f>
        <v/>
      </c>
      <c r="G586" s="5">
        <f>TEXT(Sheet1!C586,"dd/mm/yyyy") &amp; "," &amp; Sheet1!D586</f>
        <v/>
      </c>
      <c r="H586" s="38">
        <f>UPPER(Sheet1!J586 &amp; "," &amp; Sheet1!K586 &amp; "," &amp; Sheet1!L586)</f>
        <v/>
      </c>
      <c r="I586" s="45">
        <f>Sheet1!I586</f>
        <v/>
      </c>
      <c r="J586" s="5">
        <f>Sheet1!M586 &amp; "," &amp; TEXT(Sheet1!N586,"dd/mm/yy")</f>
        <v/>
      </c>
      <c r="K586" s="5" t="inlineStr">
        <is>
          <t>PRINTED</t>
        </is>
      </c>
      <c r="L586" s="30" t="inlineStr">
        <is>
          <t>25/03/2026</t>
        </is>
      </c>
      <c r="M586" s="30" t="inlineStr">
        <is>
          <t>MANISH KATARIA, VICE CONSUL</t>
        </is>
      </c>
      <c r="N586" s="30" t="inlineStr">
        <is>
          <t>26/02/2026</t>
        </is>
      </c>
    </row>
    <row r="587">
      <c r="A587" s="4">
        <f>Sheet1!A587 &amp; "/" &amp; "2025"</f>
        <v/>
      </c>
      <c r="B587" s="5">
        <f>Sheet1!E587</f>
        <v/>
      </c>
      <c r="C587" s="6">
        <f>UPPER(Sheet1!B587)</f>
        <v/>
      </c>
      <c r="D587" s="7">
        <f>IF(Sheet1!F587="F","FEMALE","MALE")</f>
        <v/>
      </c>
      <c r="E587" s="6">
        <f>UPPER(Sheet1!G587)</f>
        <v/>
      </c>
      <c r="F587" s="6">
        <f>UPPER(Sheet1!H587)</f>
        <v/>
      </c>
      <c r="G587" s="5">
        <f>TEXT(Sheet1!C587,"dd/mm/yyyy") &amp; "," &amp; Sheet1!D587</f>
        <v/>
      </c>
      <c r="H587" s="38">
        <f>UPPER(Sheet1!J587 &amp; "," &amp; Sheet1!K587 &amp; "," &amp; Sheet1!L587)</f>
        <v/>
      </c>
      <c r="I587" s="45">
        <f>Sheet1!I587</f>
        <v/>
      </c>
      <c r="J587" s="5">
        <f>Sheet1!M587 &amp; "," &amp; TEXT(Sheet1!N587,"dd/mm/yy")</f>
        <v/>
      </c>
      <c r="K587" s="5" t="inlineStr">
        <is>
          <t>PRINTED</t>
        </is>
      </c>
      <c r="L587" s="30" t="inlineStr">
        <is>
          <t>25/03/2026</t>
        </is>
      </c>
      <c r="M587" s="30" t="inlineStr">
        <is>
          <t>MANISH KATARIA, VICE CONSUL</t>
        </is>
      </c>
      <c r="N587" s="30" t="inlineStr">
        <is>
          <t>26/02/2026</t>
        </is>
      </c>
    </row>
    <row r="588">
      <c r="A588" s="4">
        <f>Sheet1!A588 &amp; "/" &amp; "2025"</f>
        <v/>
      </c>
      <c r="B588" s="5">
        <f>Sheet1!E588</f>
        <v/>
      </c>
      <c r="C588" s="6">
        <f>UPPER(Sheet1!B588)</f>
        <v/>
      </c>
      <c r="D588" s="7">
        <f>IF(Sheet1!F588="F","FEMALE","MALE")</f>
        <v/>
      </c>
      <c r="E588" s="6">
        <f>UPPER(Sheet1!G588)</f>
        <v/>
      </c>
      <c r="F588" s="6">
        <f>UPPER(Sheet1!H588)</f>
        <v/>
      </c>
      <c r="G588" s="5">
        <f>TEXT(Sheet1!C588,"dd/mm/yyyy") &amp; "," &amp; Sheet1!D588</f>
        <v/>
      </c>
      <c r="H588" s="38">
        <f>UPPER(Sheet1!J588 &amp; "," &amp; Sheet1!K588 &amp; "," &amp; Sheet1!L588)</f>
        <v/>
      </c>
      <c r="I588" s="45">
        <f>Sheet1!I588</f>
        <v/>
      </c>
      <c r="J588" s="5">
        <f>Sheet1!M588 &amp; "," &amp; TEXT(Sheet1!N588,"dd/mm/yy")</f>
        <v/>
      </c>
      <c r="K588" s="5" t="inlineStr">
        <is>
          <t>PRINTED</t>
        </is>
      </c>
      <c r="L588" s="30" t="inlineStr">
        <is>
          <t>25/03/2026</t>
        </is>
      </c>
      <c r="M588" s="30" t="inlineStr">
        <is>
          <t>MANISH KATARIA, VICE CONSUL</t>
        </is>
      </c>
      <c r="N588" s="30" t="inlineStr">
        <is>
          <t>26/02/2026</t>
        </is>
      </c>
    </row>
    <row r="589">
      <c r="A589" s="4">
        <f>Sheet1!A589 &amp; "/" &amp; "2025"</f>
        <v/>
      </c>
      <c r="B589" s="5">
        <f>Sheet1!E589</f>
        <v/>
      </c>
      <c r="C589" s="6">
        <f>UPPER(Sheet1!B589)</f>
        <v/>
      </c>
      <c r="D589" s="7">
        <f>IF(Sheet1!F589="F","FEMALE","MALE")</f>
        <v/>
      </c>
      <c r="E589" s="6">
        <f>UPPER(Sheet1!G589)</f>
        <v/>
      </c>
      <c r="F589" s="6">
        <f>UPPER(Sheet1!H589)</f>
        <v/>
      </c>
      <c r="G589" s="5">
        <f>TEXT(Sheet1!C589,"dd/mm/yyyy") &amp; "," &amp; Sheet1!D589</f>
        <v/>
      </c>
      <c r="H589" s="38">
        <f>UPPER(Sheet1!J589 &amp; "," &amp; Sheet1!K589 &amp; "," &amp; Sheet1!L589)</f>
        <v/>
      </c>
      <c r="I589" s="45">
        <f>Sheet1!I589</f>
        <v/>
      </c>
      <c r="J589" s="5">
        <f>Sheet1!M589 &amp; "," &amp; TEXT(Sheet1!N589,"dd/mm/yy")</f>
        <v/>
      </c>
      <c r="K589" s="5" t="inlineStr">
        <is>
          <t>PRINTED</t>
        </is>
      </c>
      <c r="L589" s="30" t="inlineStr">
        <is>
          <t>25/03/2026</t>
        </is>
      </c>
      <c r="M589" s="30" t="inlineStr">
        <is>
          <t>MANISH KATARIA, VICE CONSUL</t>
        </is>
      </c>
      <c r="N589" s="30" t="inlineStr">
        <is>
          <t>26/02/2026</t>
        </is>
      </c>
    </row>
    <row r="590">
      <c r="A590" s="4">
        <f>Sheet1!A590 &amp; "/" &amp; "2025"</f>
        <v/>
      </c>
      <c r="B590" s="5">
        <f>Sheet1!E590</f>
        <v/>
      </c>
      <c r="C590" s="6">
        <f>UPPER(Sheet1!B590)</f>
        <v/>
      </c>
      <c r="D590" s="7">
        <f>IF(Sheet1!F590="F","FEMALE","MALE")</f>
        <v/>
      </c>
      <c r="E590" s="6">
        <f>UPPER(Sheet1!G590)</f>
        <v/>
      </c>
      <c r="F590" s="6">
        <f>UPPER(Sheet1!H590)</f>
        <v/>
      </c>
      <c r="G590" s="5">
        <f>TEXT(Sheet1!C590,"dd/mm/yyyy") &amp; "," &amp; Sheet1!D590</f>
        <v/>
      </c>
      <c r="H590" s="38">
        <f>UPPER(Sheet1!J590 &amp; "," &amp; Sheet1!K590 &amp; "," &amp; Sheet1!L590)</f>
        <v/>
      </c>
      <c r="I590" s="45">
        <f>Sheet1!I590</f>
        <v/>
      </c>
      <c r="J590" s="5">
        <f>Sheet1!M590 &amp; "," &amp; TEXT(Sheet1!N590,"dd/mm/yy")</f>
        <v/>
      </c>
      <c r="K590" s="5" t="inlineStr">
        <is>
          <t>PRINTED</t>
        </is>
      </c>
      <c r="L590" s="30" t="inlineStr">
        <is>
          <t>25/03/2026</t>
        </is>
      </c>
      <c r="M590" s="30" t="inlineStr">
        <is>
          <t>MANISH KATARIA, VICE CONSUL</t>
        </is>
      </c>
      <c r="N590" s="30" t="inlineStr">
        <is>
          <t>26/02/2026</t>
        </is>
      </c>
    </row>
    <row r="591">
      <c r="A591" s="4">
        <f>Sheet1!A591 &amp; "/" &amp; "2025"</f>
        <v/>
      </c>
      <c r="B591" s="5">
        <f>Sheet1!E591</f>
        <v/>
      </c>
      <c r="C591" s="6">
        <f>UPPER(Sheet1!B591)</f>
        <v/>
      </c>
      <c r="D591" s="7">
        <f>IF(Sheet1!F591="F","FEMALE","MALE")</f>
        <v/>
      </c>
      <c r="E591" s="6">
        <f>UPPER(Sheet1!G591)</f>
        <v/>
      </c>
      <c r="F591" s="6">
        <f>UPPER(Sheet1!H591)</f>
        <v/>
      </c>
      <c r="G591" s="5">
        <f>TEXT(Sheet1!C591,"dd/mm/yyyy") &amp; "," &amp; Sheet1!D591</f>
        <v/>
      </c>
      <c r="H591" s="38">
        <f>UPPER(Sheet1!J591 &amp; "," &amp; Sheet1!K591 &amp; "," &amp; Sheet1!L591)</f>
        <v/>
      </c>
      <c r="I591" s="45">
        <f>Sheet1!I591</f>
        <v/>
      </c>
      <c r="J591" s="5">
        <f>Sheet1!M591 &amp; "," &amp; TEXT(Sheet1!N591,"dd/mm/yy")</f>
        <v/>
      </c>
      <c r="K591" s="5" t="inlineStr">
        <is>
          <t>PRINTED</t>
        </is>
      </c>
      <c r="L591" s="30" t="inlineStr">
        <is>
          <t>25/03/2026</t>
        </is>
      </c>
      <c r="M591" s="30" t="inlineStr">
        <is>
          <t>MANISH KATARIA, VICE CONSUL</t>
        </is>
      </c>
      <c r="N591" s="30" t="inlineStr">
        <is>
          <t>26/02/2026</t>
        </is>
      </c>
    </row>
    <row r="592">
      <c r="A592" s="4">
        <f>Sheet1!A592 &amp; "/" &amp; "2025"</f>
        <v/>
      </c>
      <c r="B592" s="5">
        <f>Sheet1!E592</f>
        <v/>
      </c>
      <c r="C592" s="6">
        <f>UPPER(Sheet1!B592)</f>
        <v/>
      </c>
      <c r="D592" s="7">
        <f>IF(Sheet1!F592="F","FEMALE","MALE")</f>
        <v/>
      </c>
      <c r="E592" s="6">
        <f>UPPER(Sheet1!G592)</f>
        <v/>
      </c>
      <c r="F592" s="6">
        <f>UPPER(Sheet1!H592)</f>
        <v/>
      </c>
      <c r="G592" s="5">
        <f>TEXT(Sheet1!C592,"dd/mm/yyyy") &amp; "," &amp; Sheet1!D592</f>
        <v/>
      </c>
      <c r="H592" s="38">
        <f>UPPER(Sheet1!J592 &amp; "," &amp; Sheet1!K592 &amp; "," &amp; Sheet1!L592)</f>
        <v/>
      </c>
      <c r="I592" s="45">
        <f>Sheet1!I592</f>
        <v/>
      </c>
      <c r="J592" s="5">
        <f>Sheet1!M592 &amp; "," &amp; TEXT(Sheet1!N592,"dd/mm/yy")</f>
        <v/>
      </c>
      <c r="K592" s="5" t="inlineStr">
        <is>
          <t>PRINTED</t>
        </is>
      </c>
      <c r="L592" s="30" t="inlineStr">
        <is>
          <t>25/03/2026</t>
        </is>
      </c>
      <c r="M592" s="30" t="inlineStr">
        <is>
          <t>MANISH KATARIA, VICE CONSUL</t>
        </is>
      </c>
      <c r="N592" s="30" t="inlineStr">
        <is>
          <t>26/02/2026</t>
        </is>
      </c>
    </row>
    <row r="593">
      <c r="A593" s="4">
        <f>Sheet1!A593 &amp; "/" &amp; "2025"</f>
        <v/>
      </c>
      <c r="B593" s="5">
        <f>Sheet1!E593</f>
        <v/>
      </c>
      <c r="C593" s="6">
        <f>UPPER(Sheet1!B593)</f>
        <v/>
      </c>
      <c r="D593" s="7">
        <f>IF(Sheet1!F593="F","FEMALE","MALE")</f>
        <v/>
      </c>
      <c r="E593" s="6">
        <f>UPPER(Sheet1!G593)</f>
        <v/>
      </c>
      <c r="F593" s="6">
        <f>UPPER(Sheet1!H593)</f>
        <v/>
      </c>
      <c r="G593" s="5">
        <f>TEXT(Sheet1!C593,"dd/mm/yyyy") &amp; "," &amp; Sheet1!D593</f>
        <v/>
      </c>
      <c r="H593" s="38">
        <f>UPPER(Sheet1!J593 &amp; "," &amp; Sheet1!K593 &amp; "," &amp; Sheet1!L593)</f>
        <v/>
      </c>
      <c r="I593" s="45">
        <f>Sheet1!I593</f>
        <v/>
      </c>
      <c r="J593" s="5">
        <f>Sheet1!M593 &amp; "," &amp; TEXT(Sheet1!N593,"dd/mm/yy")</f>
        <v/>
      </c>
      <c r="K593" s="5" t="inlineStr">
        <is>
          <t>PRINTED</t>
        </is>
      </c>
      <c r="L593" s="30" t="inlineStr">
        <is>
          <t>25/03/2026</t>
        </is>
      </c>
      <c r="M593" s="30" t="inlineStr">
        <is>
          <t>MANISH KATARIA, VICE CONSUL</t>
        </is>
      </c>
      <c r="N593" s="30" t="inlineStr">
        <is>
          <t>26/02/2026</t>
        </is>
      </c>
    </row>
    <row r="594">
      <c r="A594" s="4">
        <f>Sheet1!A594 &amp; "/" &amp; "2025"</f>
        <v/>
      </c>
      <c r="B594" s="5">
        <f>Sheet1!E594</f>
        <v/>
      </c>
      <c r="C594" s="6">
        <f>UPPER(Sheet1!B594)</f>
        <v/>
      </c>
      <c r="D594" s="7">
        <f>IF(Sheet1!F594="F","FEMALE","MALE")</f>
        <v/>
      </c>
      <c r="E594" s="6">
        <f>UPPER(Sheet1!G594)</f>
        <v/>
      </c>
      <c r="F594" s="6">
        <f>UPPER(Sheet1!H594)</f>
        <v/>
      </c>
      <c r="G594" s="5">
        <f>TEXT(Sheet1!C594,"dd/mm/yyyy") &amp; "," &amp; Sheet1!D594</f>
        <v/>
      </c>
      <c r="H594" s="38">
        <f>UPPER(Sheet1!J594 &amp; "," &amp; Sheet1!K594 &amp; "," &amp; Sheet1!L594)</f>
        <v/>
      </c>
      <c r="I594" s="45">
        <f>Sheet1!I594</f>
        <v/>
      </c>
      <c r="J594" s="5">
        <f>Sheet1!M594 &amp; "," &amp; TEXT(Sheet1!N594,"dd/mm/yy")</f>
        <v/>
      </c>
      <c r="K594" s="5" t="inlineStr">
        <is>
          <t>PRINTED</t>
        </is>
      </c>
      <c r="L594" s="30" t="inlineStr">
        <is>
          <t>25/03/2026</t>
        </is>
      </c>
      <c r="M594" s="30" t="inlineStr">
        <is>
          <t>MANISH KATARIA, VICE CONSUL</t>
        </is>
      </c>
      <c r="N594" s="30" t="inlineStr">
        <is>
          <t>26/02/2026</t>
        </is>
      </c>
    </row>
    <row r="595">
      <c r="A595" s="4">
        <f>Sheet1!A595 &amp; "/" &amp; "2025"</f>
        <v/>
      </c>
      <c r="B595" s="5">
        <f>Sheet1!E595</f>
        <v/>
      </c>
      <c r="C595" s="6">
        <f>UPPER(Sheet1!B595)</f>
        <v/>
      </c>
      <c r="D595" s="7">
        <f>IF(Sheet1!F595="F","FEMALE","MALE")</f>
        <v/>
      </c>
      <c r="E595" s="6">
        <f>UPPER(Sheet1!G595)</f>
        <v/>
      </c>
      <c r="F595" s="6">
        <f>UPPER(Sheet1!H595)</f>
        <v/>
      </c>
      <c r="G595" s="5">
        <f>TEXT(Sheet1!C595,"dd/mm/yyyy") &amp; "," &amp; Sheet1!D595</f>
        <v/>
      </c>
      <c r="H595" s="38">
        <f>UPPER(Sheet1!J595 &amp; "," &amp; Sheet1!K595 &amp; "," &amp; Sheet1!L595)</f>
        <v/>
      </c>
      <c r="I595" s="45">
        <f>Sheet1!I595</f>
        <v/>
      </c>
      <c r="J595" s="5">
        <f>Sheet1!M595 &amp; "," &amp; TEXT(Sheet1!N595,"dd/mm/yy")</f>
        <v/>
      </c>
      <c r="K595" s="5" t="inlineStr">
        <is>
          <t>PRINTED</t>
        </is>
      </c>
      <c r="L595" s="30" t="inlineStr">
        <is>
          <t>25/03/2026</t>
        </is>
      </c>
      <c r="M595" s="30" t="inlineStr">
        <is>
          <t>MANISH KATARIA, VICE CONSUL</t>
        </is>
      </c>
      <c r="N595" s="30" t="inlineStr">
        <is>
          <t>26/02/2026</t>
        </is>
      </c>
    </row>
    <row r="596">
      <c r="A596" s="4">
        <f>Sheet1!A596 &amp; "/" &amp; "2025"</f>
        <v/>
      </c>
      <c r="B596" s="5">
        <f>Sheet1!E596</f>
        <v/>
      </c>
      <c r="C596" s="6">
        <f>UPPER(Sheet1!B596)</f>
        <v/>
      </c>
      <c r="D596" s="7">
        <f>IF(Sheet1!F596="F","FEMALE","MALE")</f>
        <v/>
      </c>
      <c r="E596" s="6">
        <f>UPPER(Sheet1!G596)</f>
        <v/>
      </c>
      <c r="F596" s="6">
        <f>UPPER(Sheet1!H596)</f>
        <v/>
      </c>
      <c r="G596" s="5">
        <f>TEXT(Sheet1!C596,"dd/mm/yyyy") &amp; "," &amp; Sheet1!D596</f>
        <v/>
      </c>
      <c r="H596" s="38">
        <f>UPPER(Sheet1!J596 &amp; "," &amp; Sheet1!K596 &amp; "," &amp; Sheet1!L596)</f>
        <v/>
      </c>
      <c r="I596" s="45">
        <f>Sheet1!I596</f>
        <v/>
      </c>
      <c r="J596" s="5">
        <f>Sheet1!M596 &amp; "," &amp; TEXT(Sheet1!N596,"dd/mm/yy")</f>
        <v/>
      </c>
      <c r="K596" s="5" t="inlineStr">
        <is>
          <t>PRINTED</t>
        </is>
      </c>
      <c r="L596" s="30" t="inlineStr">
        <is>
          <t>25/03/2026</t>
        </is>
      </c>
      <c r="M596" s="30" t="inlineStr">
        <is>
          <t>MANISH KATARIA, VICE CONSUL</t>
        </is>
      </c>
      <c r="N596" s="30" t="inlineStr">
        <is>
          <t>26/02/2026</t>
        </is>
      </c>
    </row>
    <row r="597">
      <c r="A597" s="4">
        <f>Sheet1!A597 &amp; "/" &amp; "2025"</f>
        <v/>
      </c>
      <c r="B597" s="5">
        <f>Sheet1!E597</f>
        <v/>
      </c>
      <c r="C597" s="6">
        <f>UPPER(Sheet1!B597)</f>
        <v/>
      </c>
      <c r="D597" s="7">
        <f>IF(Sheet1!F597="F","FEMALE","MALE")</f>
        <v/>
      </c>
      <c r="E597" s="6">
        <f>UPPER(Sheet1!G597)</f>
        <v/>
      </c>
      <c r="F597" s="6">
        <f>UPPER(Sheet1!H597)</f>
        <v/>
      </c>
      <c r="G597" s="5">
        <f>TEXT(Sheet1!C597,"dd/mm/yyyy") &amp; "," &amp; Sheet1!D597</f>
        <v/>
      </c>
      <c r="H597" s="38">
        <f>UPPER(Sheet1!J597 &amp; "," &amp; Sheet1!K597 &amp; "," &amp; Sheet1!L597)</f>
        <v/>
      </c>
      <c r="I597" s="45">
        <f>Sheet1!I597</f>
        <v/>
      </c>
      <c r="J597" s="5">
        <f>Sheet1!M597 &amp; "," &amp; TEXT(Sheet1!N597,"dd/mm/yy")</f>
        <v/>
      </c>
      <c r="K597" s="5" t="inlineStr">
        <is>
          <t>PRINTED</t>
        </is>
      </c>
      <c r="L597" s="30" t="inlineStr">
        <is>
          <t>25/03/2026</t>
        </is>
      </c>
      <c r="M597" s="30" t="inlineStr">
        <is>
          <t>MANISH KATARIA, VICE CONSUL</t>
        </is>
      </c>
      <c r="N597" s="30" t="inlineStr">
        <is>
          <t>26/02/2026</t>
        </is>
      </c>
    </row>
    <row r="598">
      <c r="A598" s="4">
        <f>Sheet1!A598 &amp; "/" &amp; "2025"</f>
        <v/>
      </c>
      <c r="B598" s="5">
        <f>Sheet1!E598</f>
        <v/>
      </c>
      <c r="C598" s="6">
        <f>UPPER(Sheet1!B598)</f>
        <v/>
      </c>
      <c r="D598" s="7">
        <f>IF(Sheet1!F598="F","FEMALE","MALE")</f>
        <v/>
      </c>
      <c r="E598" s="6">
        <f>UPPER(Sheet1!G598)</f>
        <v/>
      </c>
      <c r="F598" s="6">
        <f>UPPER(Sheet1!H598)</f>
        <v/>
      </c>
      <c r="G598" s="5">
        <f>TEXT(Sheet1!C598,"dd/mm/yyyy") &amp; "," &amp; Sheet1!D598</f>
        <v/>
      </c>
      <c r="H598" s="38">
        <f>UPPER(Sheet1!J598 &amp; "," &amp; Sheet1!K598 &amp; "," &amp; Sheet1!L598)</f>
        <v/>
      </c>
      <c r="I598" s="45">
        <f>Sheet1!I598</f>
        <v/>
      </c>
      <c r="J598" s="5">
        <f>Sheet1!M598 &amp; "," &amp; TEXT(Sheet1!N598,"dd/mm/yy")</f>
        <v/>
      </c>
      <c r="K598" s="5" t="inlineStr">
        <is>
          <t>PRINTED</t>
        </is>
      </c>
      <c r="L598" s="30" t="inlineStr">
        <is>
          <t>25/03/2026</t>
        </is>
      </c>
      <c r="M598" s="30" t="inlineStr">
        <is>
          <t>MANISH KATARIA, VICE CONSUL</t>
        </is>
      </c>
      <c r="N598" s="30" t="inlineStr">
        <is>
          <t>26/02/2026</t>
        </is>
      </c>
    </row>
    <row r="599">
      <c r="A599" s="4">
        <f>Sheet1!A599 &amp; "/" &amp; "2025"</f>
        <v/>
      </c>
      <c r="B599" s="5">
        <f>Sheet1!E599</f>
        <v/>
      </c>
      <c r="C599" s="6">
        <f>UPPER(Sheet1!B599)</f>
        <v/>
      </c>
      <c r="D599" s="7">
        <f>IF(Sheet1!F599="F","FEMALE","MALE")</f>
        <v/>
      </c>
      <c r="E599" s="6">
        <f>UPPER(Sheet1!G599)</f>
        <v/>
      </c>
      <c r="F599" s="6">
        <f>UPPER(Sheet1!H599)</f>
        <v/>
      </c>
      <c r="G599" s="5">
        <f>TEXT(Sheet1!C599,"dd/mm/yyyy") &amp; "," &amp; Sheet1!D599</f>
        <v/>
      </c>
      <c r="H599" s="38">
        <f>UPPER(Sheet1!J599 &amp; "," &amp; Sheet1!K599 &amp; "," &amp; Sheet1!L599)</f>
        <v/>
      </c>
      <c r="I599" s="45">
        <f>Sheet1!I599</f>
        <v/>
      </c>
      <c r="J599" s="5">
        <f>Sheet1!M599 &amp; "," &amp; TEXT(Sheet1!N599,"dd/mm/yy")</f>
        <v/>
      </c>
      <c r="K599" s="5" t="inlineStr">
        <is>
          <t>PRINTED</t>
        </is>
      </c>
      <c r="L599" s="30" t="inlineStr">
        <is>
          <t>25/03/2026</t>
        </is>
      </c>
      <c r="M599" s="30" t="inlineStr">
        <is>
          <t>MANISH KATARIA, VICE CONSUL</t>
        </is>
      </c>
      <c r="N599" s="30" t="inlineStr">
        <is>
          <t>26/02/2026</t>
        </is>
      </c>
    </row>
    <row r="600">
      <c r="A600" s="4">
        <f>Sheet1!A600 &amp; "/" &amp; "2025"</f>
        <v/>
      </c>
      <c r="B600" s="5">
        <f>Sheet1!E600</f>
        <v/>
      </c>
      <c r="C600" s="6">
        <f>UPPER(Sheet1!B600)</f>
        <v/>
      </c>
      <c r="D600" s="7">
        <f>IF(Sheet1!F600="F","FEMALE","MALE")</f>
        <v/>
      </c>
      <c r="E600" s="6">
        <f>UPPER(Sheet1!G600)</f>
        <v/>
      </c>
      <c r="F600" s="6">
        <f>UPPER(Sheet1!H600)</f>
        <v/>
      </c>
      <c r="G600" s="5">
        <f>TEXT(Sheet1!C600,"dd/mm/yyyy") &amp; "," &amp; Sheet1!D600</f>
        <v/>
      </c>
      <c r="H600" s="38">
        <f>UPPER(Sheet1!J600 &amp; "," &amp; Sheet1!K600 &amp; "," &amp; Sheet1!L600)</f>
        <v/>
      </c>
      <c r="I600" s="45">
        <f>Sheet1!I600</f>
        <v/>
      </c>
      <c r="J600" s="5">
        <f>Sheet1!M600 &amp; "," &amp; TEXT(Sheet1!N600,"dd/mm/yy")</f>
        <v/>
      </c>
      <c r="K600" s="5" t="inlineStr">
        <is>
          <t>PRINTED</t>
        </is>
      </c>
      <c r="L600" s="30" t="inlineStr">
        <is>
          <t>25/03/2026</t>
        </is>
      </c>
      <c r="M600" s="30" t="inlineStr">
        <is>
          <t>MANISH KATARIA, VICE CONSUL</t>
        </is>
      </c>
      <c r="N600" s="30" t="inlineStr">
        <is>
          <t>26/02/2026</t>
        </is>
      </c>
    </row>
    <row r="601">
      <c r="A601" s="4">
        <f>Sheet1!A601 &amp; "/" &amp; "2025"</f>
        <v/>
      </c>
      <c r="B601" s="5">
        <f>Sheet1!E601</f>
        <v/>
      </c>
      <c r="C601" s="6">
        <f>UPPER(Sheet1!B601)</f>
        <v/>
      </c>
      <c r="D601" s="7">
        <f>IF(Sheet1!F601="F","FEMALE","MALE")</f>
        <v/>
      </c>
      <c r="E601" s="6">
        <f>UPPER(Sheet1!G601)</f>
        <v/>
      </c>
      <c r="F601" s="6">
        <f>UPPER(Sheet1!H601)</f>
        <v/>
      </c>
      <c r="G601" s="5">
        <f>TEXT(Sheet1!C601,"dd/mm/yyyy") &amp; "," &amp; Sheet1!D601</f>
        <v/>
      </c>
      <c r="H601" s="38">
        <f>UPPER(Sheet1!J601 &amp; "," &amp; Sheet1!K601 &amp; "," &amp; Sheet1!L601)</f>
        <v/>
      </c>
      <c r="I601" s="45">
        <f>Sheet1!I601</f>
        <v/>
      </c>
      <c r="J601" s="5">
        <f>Sheet1!M601 &amp; "," &amp; TEXT(Sheet1!N601,"dd/mm/yy")</f>
        <v/>
      </c>
      <c r="K601" s="5" t="inlineStr">
        <is>
          <t>PRINTED</t>
        </is>
      </c>
      <c r="L601" s="30" t="inlineStr">
        <is>
          <t>25/03/2026</t>
        </is>
      </c>
      <c r="M601" s="30" t="inlineStr">
        <is>
          <t>MANISH KATARIA, VICE CONSUL</t>
        </is>
      </c>
      <c r="N601" s="30" t="inlineStr">
        <is>
          <t>26/02/2026</t>
        </is>
      </c>
    </row>
    <row r="602">
      <c r="A602" s="4">
        <f>Sheet1!A602 &amp; "/" &amp; "2025"</f>
        <v/>
      </c>
      <c r="B602" s="5">
        <f>Sheet1!E602</f>
        <v/>
      </c>
      <c r="C602" s="6">
        <f>UPPER(Sheet1!B602)</f>
        <v/>
      </c>
      <c r="D602" s="7">
        <f>IF(Sheet1!F602="F","FEMALE","MALE")</f>
        <v/>
      </c>
      <c r="E602" s="6">
        <f>UPPER(Sheet1!G602)</f>
        <v/>
      </c>
      <c r="F602" s="6">
        <f>UPPER(Sheet1!H602)</f>
        <v/>
      </c>
      <c r="G602" s="5">
        <f>TEXT(Sheet1!C602,"dd/mm/yyyy") &amp; "," &amp; Sheet1!D602</f>
        <v/>
      </c>
      <c r="H602" s="38">
        <f>UPPER(Sheet1!J602 &amp; "," &amp; Sheet1!K602 &amp; "," &amp; Sheet1!L602)</f>
        <v/>
      </c>
      <c r="I602" s="45">
        <f>Sheet1!I602</f>
        <v/>
      </c>
      <c r="J602" s="5">
        <f>Sheet1!M602 &amp; "," &amp; TEXT(Sheet1!N602,"dd/mm/yy")</f>
        <v/>
      </c>
      <c r="K602" s="5" t="inlineStr">
        <is>
          <t>PRINTED</t>
        </is>
      </c>
      <c r="L602" s="30" t="inlineStr">
        <is>
          <t>25/03/2026</t>
        </is>
      </c>
      <c r="M602" s="30" t="inlineStr">
        <is>
          <t>MANISH KATARIA, VICE CONSUL</t>
        </is>
      </c>
      <c r="N602" s="30" t="inlineStr">
        <is>
          <t>26/02/2026</t>
        </is>
      </c>
    </row>
    <row r="603" ht="30" customHeight="1">
      <c r="A603" s="4">
        <f>Sheet1!A603 &amp; "/" &amp; "2025"</f>
        <v/>
      </c>
      <c r="B603" s="5">
        <f>Sheet1!E603</f>
        <v/>
      </c>
      <c r="C603" s="6">
        <f>UPPER(Sheet1!B603)</f>
        <v/>
      </c>
      <c r="D603" s="7">
        <f>IF(Sheet1!F603="F","FEMALE","MALE")</f>
        <v/>
      </c>
      <c r="E603" s="6">
        <f>UPPER(Sheet1!G603)</f>
        <v/>
      </c>
      <c r="F603" s="6">
        <f>UPPER(Sheet1!H603)</f>
        <v/>
      </c>
      <c r="G603" s="5">
        <f>TEXT(Sheet1!C603,"dd/mm/yyyy") &amp; "," &amp; Sheet1!D603</f>
        <v/>
      </c>
      <c r="H603" s="38">
        <f>UPPER(Sheet1!J603 &amp; "," &amp; Sheet1!K603 &amp; "," &amp; Sheet1!L603)</f>
        <v/>
      </c>
      <c r="I603" s="45">
        <f>Sheet1!I603</f>
        <v/>
      </c>
      <c r="J603" s="5">
        <f>Sheet1!M603 &amp; "," &amp; TEXT(Sheet1!N603,"dd/mm/yy")</f>
        <v/>
      </c>
      <c r="K603" s="5" t="inlineStr">
        <is>
          <t>PRINTED</t>
        </is>
      </c>
      <c r="L603" s="30" t="inlineStr">
        <is>
          <t>25/03/2026</t>
        </is>
      </c>
      <c r="M603" s="30" t="inlineStr">
        <is>
          <t>MANISH KATARIA, VICE CONSUL</t>
        </is>
      </c>
      <c r="N603" s="30" t="inlineStr">
        <is>
          <t>26/02/2026</t>
        </is>
      </c>
    </row>
    <row r="604">
      <c r="A604" s="4">
        <f>Sheet1!A604 &amp; "/" &amp; "2025"</f>
        <v/>
      </c>
      <c r="B604" s="5">
        <f>Sheet1!E604</f>
        <v/>
      </c>
      <c r="C604" s="6">
        <f>UPPER(Sheet1!B604)</f>
        <v/>
      </c>
      <c r="D604" s="7">
        <f>IF(Sheet1!F604="F","FEMALE","MALE")</f>
        <v/>
      </c>
      <c r="E604" s="6">
        <f>UPPER(Sheet1!G604)</f>
        <v/>
      </c>
      <c r="F604" s="6">
        <f>UPPER(Sheet1!H604)</f>
        <v/>
      </c>
      <c r="G604" s="5">
        <f>TEXT(Sheet1!C604,"dd/mm/yyyy") &amp; "," &amp; Sheet1!D604</f>
        <v/>
      </c>
      <c r="H604" s="38">
        <f>UPPER(Sheet1!J604 &amp; "," &amp; Sheet1!K604 &amp; "," &amp; Sheet1!L604)</f>
        <v/>
      </c>
      <c r="I604" s="45">
        <f>Sheet1!I604</f>
        <v/>
      </c>
      <c r="J604" s="5">
        <f>Sheet1!M604 &amp; "," &amp; TEXT(Sheet1!N604,"dd/mm/yy")</f>
        <v/>
      </c>
      <c r="K604" s="5" t="inlineStr">
        <is>
          <t>PRINTED</t>
        </is>
      </c>
      <c r="L604" s="30" t="inlineStr">
        <is>
          <t>25/03/2026</t>
        </is>
      </c>
      <c r="M604" s="30" t="inlineStr">
        <is>
          <t>MANISH KATARIA, VICE CONSUL</t>
        </is>
      </c>
      <c r="N604" s="30" t="inlineStr">
        <is>
          <t>26/02/2026</t>
        </is>
      </c>
    </row>
    <row r="605">
      <c r="A605" s="4">
        <f>Sheet1!A605 &amp; "/" &amp; "2025"</f>
        <v/>
      </c>
      <c r="B605" s="5">
        <f>Sheet1!E605</f>
        <v/>
      </c>
      <c r="C605" s="6">
        <f>UPPER(Sheet1!B605)</f>
        <v/>
      </c>
      <c r="D605" s="7">
        <f>IF(Sheet1!F605="F","FEMALE","MALE")</f>
        <v/>
      </c>
      <c r="E605" s="6">
        <f>UPPER(Sheet1!G605)</f>
        <v/>
      </c>
      <c r="F605" s="6">
        <f>UPPER(Sheet1!H605)</f>
        <v/>
      </c>
      <c r="G605" s="5">
        <f>TEXT(Sheet1!C605,"dd/mm/yyyy") &amp; "," &amp; Sheet1!D605</f>
        <v/>
      </c>
      <c r="H605" s="38">
        <f>UPPER(Sheet1!J605 &amp; "," &amp; Sheet1!K605 &amp; "," &amp; Sheet1!L605)</f>
        <v/>
      </c>
      <c r="I605" s="45">
        <f>Sheet1!I605</f>
        <v/>
      </c>
      <c r="J605" s="5">
        <f>Sheet1!M605 &amp; "," &amp; TEXT(Sheet1!N605,"dd/mm/yy")</f>
        <v/>
      </c>
      <c r="K605" s="5" t="inlineStr">
        <is>
          <t>PRINTED</t>
        </is>
      </c>
      <c r="L605" s="30" t="inlineStr">
        <is>
          <t>25/03/2026</t>
        </is>
      </c>
      <c r="M605" s="30" t="inlineStr">
        <is>
          <t>MANISH KATARIA, VICE CONSUL</t>
        </is>
      </c>
      <c r="N605" s="30" t="inlineStr">
        <is>
          <t>26/02/2026</t>
        </is>
      </c>
    </row>
    <row r="606">
      <c r="A606" s="4">
        <f>Sheet1!A606 &amp; "/" &amp; "2025"</f>
        <v/>
      </c>
      <c r="B606" s="5">
        <f>Sheet1!E606</f>
        <v/>
      </c>
      <c r="C606" s="6">
        <f>UPPER(Sheet1!B606)</f>
        <v/>
      </c>
      <c r="D606" s="7">
        <f>IF(Sheet1!F606="F","FEMALE","MALE")</f>
        <v/>
      </c>
      <c r="E606" s="6">
        <f>UPPER(Sheet1!G606)</f>
        <v/>
      </c>
      <c r="F606" s="6">
        <f>UPPER(Sheet1!H606)</f>
        <v/>
      </c>
      <c r="G606" s="5">
        <f>TEXT(Sheet1!C606,"dd/mm/yyyy") &amp; "," &amp; Sheet1!D606</f>
        <v/>
      </c>
      <c r="H606" s="38">
        <f>UPPER(Sheet1!J606 &amp; "," &amp; Sheet1!K606 &amp; "," &amp; Sheet1!L606)</f>
        <v/>
      </c>
      <c r="I606" s="45">
        <f>Sheet1!I606</f>
        <v/>
      </c>
      <c r="J606" s="5">
        <f>Sheet1!M606 &amp; "," &amp; TEXT(Sheet1!N606,"dd/mm/yy")</f>
        <v/>
      </c>
      <c r="K606" s="5" t="inlineStr">
        <is>
          <t>PRINTED</t>
        </is>
      </c>
      <c r="L606" s="30" t="inlineStr">
        <is>
          <t>25/03/2026</t>
        </is>
      </c>
      <c r="M606" s="30" t="inlineStr">
        <is>
          <t>MANISH KATARIA, VICE CONSUL</t>
        </is>
      </c>
      <c r="N606" s="30" t="inlineStr">
        <is>
          <t>26/02/2026</t>
        </is>
      </c>
    </row>
    <row r="607">
      <c r="A607" s="4">
        <f>Sheet1!A607 &amp; "/" &amp; "2025"</f>
        <v/>
      </c>
      <c r="B607" s="5">
        <f>Sheet1!E607</f>
        <v/>
      </c>
      <c r="C607" s="6">
        <f>UPPER(Sheet1!B607)</f>
        <v/>
      </c>
      <c r="D607" s="7">
        <f>IF(Sheet1!F607="F","FEMALE","MALE")</f>
        <v/>
      </c>
      <c r="E607" s="6">
        <f>UPPER(Sheet1!G607)</f>
        <v/>
      </c>
      <c r="F607" s="6">
        <f>UPPER(Sheet1!H607)</f>
        <v/>
      </c>
      <c r="G607" s="5">
        <f>TEXT(Sheet1!C607,"dd/mm/yyyy") &amp; "," &amp; Sheet1!D607</f>
        <v/>
      </c>
      <c r="H607" s="38">
        <f>UPPER(Sheet1!J607 &amp; "," &amp; Sheet1!K607 &amp; "," &amp; Sheet1!L607)</f>
        <v/>
      </c>
      <c r="I607" s="45">
        <f>Sheet1!I607</f>
        <v/>
      </c>
      <c r="J607" s="5">
        <f>Sheet1!M607 &amp; "," &amp; TEXT(Sheet1!N607,"dd/mm/yy")</f>
        <v/>
      </c>
      <c r="K607" s="5" t="inlineStr">
        <is>
          <t>PRINTED</t>
        </is>
      </c>
      <c r="L607" s="30" t="inlineStr">
        <is>
          <t>25/03/2026</t>
        </is>
      </c>
      <c r="M607" s="30" t="inlineStr">
        <is>
          <t>MANISH KATARIA, VICE CONSUL</t>
        </is>
      </c>
      <c r="N607" s="30" t="inlineStr">
        <is>
          <t>26/02/2026</t>
        </is>
      </c>
    </row>
    <row r="608">
      <c r="A608" s="4">
        <f>Sheet1!A608 &amp; "/" &amp; "2025"</f>
        <v/>
      </c>
      <c r="B608" s="5">
        <f>Sheet1!E608</f>
        <v/>
      </c>
      <c r="C608" s="6">
        <f>UPPER(Sheet1!B608)</f>
        <v/>
      </c>
      <c r="D608" s="7">
        <f>IF(Sheet1!F608="F","FEMALE","MALE")</f>
        <v/>
      </c>
      <c r="E608" s="6">
        <f>UPPER(Sheet1!G608)</f>
        <v/>
      </c>
      <c r="F608" s="6">
        <f>UPPER(Sheet1!H608)</f>
        <v/>
      </c>
      <c r="G608" s="5">
        <f>TEXT(Sheet1!C608,"dd/mm/yyyy") &amp; "," &amp; Sheet1!D608</f>
        <v/>
      </c>
      <c r="H608" s="38">
        <f>UPPER(Sheet1!J608 &amp; "," &amp; Sheet1!K608 &amp; "," &amp; Sheet1!L608)</f>
        <v/>
      </c>
      <c r="I608" s="45">
        <f>Sheet1!I608</f>
        <v/>
      </c>
      <c r="J608" s="5">
        <f>Sheet1!M608 &amp; "," &amp; TEXT(Sheet1!N608,"dd/mm/yy")</f>
        <v/>
      </c>
      <c r="K608" s="5" t="inlineStr">
        <is>
          <t>PRINTED</t>
        </is>
      </c>
      <c r="L608" s="30" t="inlineStr">
        <is>
          <t>25/03/2026</t>
        </is>
      </c>
      <c r="M608" s="30" t="inlineStr">
        <is>
          <t>MANISH KATARIA, VICE CONSUL</t>
        </is>
      </c>
      <c r="N608" s="30" t="inlineStr">
        <is>
          <t>26/02/2026</t>
        </is>
      </c>
    </row>
    <row r="609">
      <c r="A609" s="4">
        <f>Sheet1!A609 &amp; "/" &amp; "2025"</f>
        <v/>
      </c>
      <c r="B609" s="5">
        <f>Sheet1!E609</f>
        <v/>
      </c>
      <c r="C609" s="6">
        <f>UPPER(Sheet1!B609)</f>
        <v/>
      </c>
      <c r="D609" s="7">
        <f>IF(Sheet1!F609="F","FEMALE","MALE")</f>
        <v/>
      </c>
      <c r="E609" s="6">
        <f>UPPER(Sheet1!G609)</f>
        <v/>
      </c>
      <c r="F609" s="6">
        <f>UPPER(Sheet1!H609)</f>
        <v/>
      </c>
      <c r="G609" s="5">
        <f>TEXT(Sheet1!C609,"dd/mm/yyyy") &amp; "," &amp; Sheet1!D609</f>
        <v/>
      </c>
      <c r="H609" s="38">
        <f>UPPER(Sheet1!J609 &amp; "," &amp; Sheet1!K609 &amp; "," &amp; Sheet1!L609)</f>
        <v/>
      </c>
      <c r="I609" s="45">
        <f>Sheet1!I609</f>
        <v/>
      </c>
      <c r="J609" s="5">
        <f>Sheet1!M609 &amp; "," &amp; TEXT(Sheet1!N609,"dd/mm/yy")</f>
        <v/>
      </c>
      <c r="K609" s="5" t="inlineStr">
        <is>
          <t>PRINTED</t>
        </is>
      </c>
      <c r="L609" s="30" t="inlineStr">
        <is>
          <t>25/03/2026</t>
        </is>
      </c>
      <c r="M609" s="30" t="inlineStr">
        <is>
          <t>MANISH KATARIA, VICE CONSUL</t>
        </is>
      </c>
      <c r="N609" s="30" t="inlineStr">
        <is>
          <t>26/02/2026</t>
        </is>
      </c>
    </row>
    <row r="610">
      <c r="A610" s="4">
        <f>Sheet1!A610 &amp; "/" &amp; "2025"</f>
        <v/>
      </c>
      <c r="B610" s="5">
        <f>Sheet1!E610</f>
        <v/>
      </c>
      <c r="C610" s="6">
        <f>UPPER(Sheet1!B610)</f>
        <v/>
      </c>
      <c r="D610" s="7">
        <f>IF(Sheet1!F610="F","FEMALE","MALE")</f>
        <v/>
      </c>
      <c r="E610" s="6">
        <f>UPPER(Sheet1!G610)</f>
        <v/>
      </c>
      <c r="F610" s="6">
        <f>UPPER(Sheet1!H610)</f>
        <v/>
      </c>
      <c r="G610" s="5">
        <f>TEXT(Sheet1!C610,"dd/mm/yyyy") &amp; "," &amp; Sheet1!D610</f>
        <v/>
      </c>
      <c r="H610" s="38">
        <f>UPPER(Sheet1!J610 &amp; "," &amp; Sheet1!K610 &amp; "," &amp; Sheet1!L610)</f>
        <v/>
      </c>
      <c r="I610" s="45">
        <f>Sheet1!I610</f>
        <v/>
      </c>
      <c r="J610" s="5">
        <f>Sheet1!M610 &amp; "," &amp; TEXT(Sheet1!N610,"dd/mm/yy")</f>
        <v/>
      </c>
      <c r="K610" s="5" t="inlineStr">
        <is>
          <t>PRINTED</t>
        </is>
      </c>
      <c r="L610" s="30" t="inlineStr">
        <is>
          <t>25/03/2026</t>
        </is>
      </c>
      <c r="M610" s="30" t="inlineStr">
        <is>
          <t>MANISH KATARIA, VICE CONSUL</t>
        </is>
      </c>
      <c r="N610" s="30" t="inlineStr">
        <is>
          <t>26/02/2026</t>
        </is>
      </c>
    </row>
    <row r="611">
      <c r="A611" s="4">
        <f>Sheet1!A611 &amp; "/" &amp; "2025"</f>
        <v/>
      </c>
      <c r="B611" s="5">
        <f>Sheet1!E611</f>
        <v/>
      </c>
      <c r="C611" s="6">
        <f>UPPER(Sheet1!B611)</f>
        <v/>
      </c>
      <c r="D611" s="7">
        <f>IF(Sheet1!F611="F","FEMALE","MALE")</f>
        <v/>
      </c>
      <c r="E611" s="6">
        <f>UPPER(Sheet1!G611)</f>
        <v/>
      </c>
      <c r="F611" s="6">
        <f>UPPER(Sheet1!H611)</f>
        <v/>
      </c>
      <c r="G611" s="5">
        <f>TEXT(Sheet1!C611,"dd/mm/yyyy") &amp; "," &amp; Sheet1!D611</f>
        <v/>
      </c>
      <c r="H611" s="38">
        <f>UPPER(Sheet1!J611 &amp; "," &amp; Sheet1!K611 &amp; "," &amp; Sheet1!L611)</f>
        <v/>
      </c>
      <c r="I611" s="45">
        <f>Sheet1!I611</f>
        <v/>
      </c>
      <c r="J611" s="5">
        <f>Sheet1!M611 &amp; "," &amp; TEXT(Sheet1!N611,"dd/mm/yy")</f>
        <v/>
      </c>
      <c r="K611" s="5" t="inlineStr">
        <is>
          <t>PRINTED</t>
        </is>
      </c>
      <c r="L611" s="30" t="inlineStr">
        <is>
          <t>25/03/2026</t>
        </is>
      </c>
      <c r="M611" s="30" t="inlineStr">
        <is>
          <t>MANISH KATARIA, VICE CONSUL</t>
        </is>
      </c>
      <c r="N611" s="30" t="inlineStr">
        <is>
          <t>26/02/2026</t>
        </is>
      </c>
    </row>
    <row r="612">
      <c r="A612" s="4">
        <f>Sheet1!A612 &amp; "/" &amp; "2025"</f>
        <v/>
      </c>
      <c r="B612" s="5">
        <f>Sheet1!E612</f>
        <v/>
      </c>
      <c r="C612" s="6">
        <f>UPPER(Sheet1!B612)</f>
        <v/>
      </c>
      <c r="D612" s="7">
        <f>IF(Sheet1!F612="F","FEMALE","MALE")</f>
        <v/>
      </c>
      <c r="E612" s="6">
        <f>UPPER(Sheet1!G612)</f>
        <v/>
      </c>
      <c r="F612" s="6">
        <f>UPPER(Sheet1!H612)</f>
        <v/>
      </c>
      <c r="G612" s="5">
        <f>TEXT(Sheet1!C612,"dd/mm/yyyy") &amp; "," &amp; Sheet1!D612</f>
        <v/>
      </c>
      <c r="H612" s="38">
        <f>UPPER(Sheet1!J612 &amp; "," &amp; Sheet1!K612 &amp; "," &amp; Sheet1!L612)</f>
        <v/>
      </c>
      <c r="I612" s="45">
        <f>Sheet1!I612</f>
        <v/>
      </c>
      <c r="J612" s="5">
        <f>Sheet1!M612 &amp; "," &amp; TEXT(Sheet1!N612,"dd/mm/yy")</f>
        <v/>
      </c>
      <c r="K612" s="5" t="inlineStr">
        <is>
          <t>PRINTED</t>
        </is>
      </c>
      <c r="L612" s="30" t="inlineStr">
        <is>
          <t>25/03/2026</t>
        </is>
      </c>
      <c r="M612" s="30" t="inlineStr">
        <is>
          <t>MANISH KATARIA, VICE CONSUL</t>
        </is>
      </c>
      <c r="N612" s="30" t="inlineStr">
        <is>
          <t>26/02/2026</t>
        </is>
      </c>
    </row>
    <row r="613">
      <c r="A613" s="4">
        <f>Sheet1!A613 &amp; "/" &amp; "2025"</f>
        <v/>
      </c>
      <c r="B613" s="5">
        <f>Sheet1!E613</f>
        <v/>
      </c>
      <c r="C613" s="6">
        <f>UPPER(Sheet1!B613)</f>
        <v/>
      </c>
      <c r="D613" s="7">
        <f>IF(Sheet1!F613="F","FEMALE","MALE")</f>
        <v/>
      </c>
      <c r="E613" s="6">
        <f>UPPER(Sheet1!G613)</f>
        <v/>
      </c>
      <c r="F613" s="6">
        <f>UPPER(Sheet1!H613)</f>
        <v/>
      </c>
      <c r="G613" s="5">
        <f>TEXT(Sheet1!C613,"dd/mm/yyyy") &amp; "," &amp; Sheet1!D613</f>
        <v/>
      </c>
      <c r="H613" s="38">
        <f>UPPER(Sheet1!J613 &amp; "," &amp; Sheet1!K613 &amp; "," &amp; Sheet1!L613)</f>
        <v/>
      </c>
      <c r="I613" s="45">
        <f>Sheet1!I613</f>
        <v/>
      </c>
      <c r="J613" s="5">
        <f>Sheet1!M613 &amp; "," &amp; TEXT(Sheet1!N613,"dd/mm/yy")</f>
        <v/>
      </c>
      <c r="K613" s="5" t="inlineStr">
        <is>
          <t>PRINTED</t>
        </is>
      </c>
      <c r="L613" s="30" t="inlineStr">
        <is>
          <t>25/03/2026</t>
        </is>
      </c>
      <c r="M613" s="30" t="inlineStr">
        <is>
          <t>MANISH KATARIA, VICE CONSUL</t>
        </is>
      </c>
      <c r="N613" s="30" t="inlineStr">
        <is>
          <t>26/02/2026</t>
        </is>
      </c>
    </row>
    <row r="614">
      <c r="A614" s="4">
        <f>Sheet1!A614 &amp; "/" &amp; "2025"</f>
        <v/>
      </c>
      <c r="B614" s="5">
        <f>Sheet1!E614</f>
        <v/>
      </c>
      <c r="C614" s="6">
        <f>UPPER(Sheet1!B614)</f>
        <v/>
      </c>
      <c r="D614" s="7">
        <f>IF(Sheet1!F614="F","FEMALE","MALE")</f>
        <v/>
      </c>
      <c r="E614" s="6">
        <f>UPPER(Sheet1!G614)</f>
        <v/>
      </c>
      <c r="F614" s="6">
        <f>UPPER(Sheet1!H614)</f>
        <v/>
      </c>
      <c r="G614" s="5">
        <f>TEXT(Sheet1!C614,"dd/mm/yyyy") &amp; "," &amp; Sheet1!D614</f>
        <v/>
      </c>
      <c r="H614" s="38">
        <f>UPPER(Sheet1!J614 &amp; "," &amp; Sheet1!K614 &amp; "," &amp; Sheet1!L614)</f>
        <v/>
      </c>
      <c r="I614" s="45">
        <f>Sheet1!I614</f>
        <v/>
      </c>
      <c r="J614" s="5">
        <f>Sheet1!M614 &amp; "," &amp; TEXT(Sheet1!N614,"dd/mm/yy")</f>
        <v/>
      </c>
      <c r="K614" s="5" t="inlineStr">
        <is>
          <t>PRINTED</t>
        </is>
      </c>
      <c r="L614" s="30" t="inlineStr">
        <is>
          <t>25/03/2026</t>
        </is>
      </c>
      <c r="M614" s="30" t="inlineStr">
        <is>
          <t>MANISH KATARIA, VICE CONSUL</t>
        </is>
      </c>
      <c r="N614" s="30" t="inlineStr">
        <is>
          <t>26/02/2026</t>
        </is>
      </c>
    </row>
    <row r="615">
      <c r="A615" s="4">
        <f>Sheet1!A615 &amp; "/" &amp; "2025"</f>
        <v/>
      </c>
      <c r="B615" s="5">
        <f>Sheet1!E615</f>
        <v/>
      </c>
      <c r="C615" s="6">
        <f>UPPER(Sheet1!B615)</f>
        <v/>
      </c>
      <c r="D615" s="7">
        <f>IF(Sheet1!F615="F","FEMALE","MALE")</f>
        <v/>
      </c>
      <c r="E615" s="6">
        <f>UPPER(Sheet1!G615)</f>
        <v/>
      </c>
      <c r="F615" s="6">
        <f>UPPER(Sheet1!H615)</f>
        <v/>
      </c>
      <c r="G615" s="5">
        <f>TEXT(Sheet1!C615,"dd/mm/yyyy") &amp; "," &amp; Sheet1!D615</f>
        <v/>
      </c>
      <c r="H615" s="38">
        <f>UPPER(Sheet1!J615 &amp; "," &amp; Sheet1!K615 &amp; "," &amp; Sheet1!L615)</f>
        <v/>
      </c>
      <c r="I615" s="45">
        <f>Sheet1!I615</f>
        <v/>
      </c>
      <c r="J615" s="5">
        <f>Sheet1!M615 &amp; "," &amp; TEXT(Sheet1!N615,"dd/mm/yy")</f>
        <v/>
      </c>
      <c r="K615" s="5" t="inlineStr">
        <is>
          <t>PRINTED</t>
        </is>
      </c>
      <c r="L615" s="30" t="inlineStr">
        <is>
          <t>25/03/2026</t>
        </is>
      </c>
      <c r="M615" s="30" t="inlineStr">
        <is>
          <t>MANISH KATARIA, VICE CONSUL</t>
        </is>
      </c>
      <c r="N615" s="30" t="inlineStr">
        <is>
          <t>26/02/2026</t>
        </is>
      </c>
    </row>
    <row r="616">
      <c r="A616" s="4">
        <f>Sheet1!A616 &amp; "/" &amp; "2025"</f>
        <v/>
      </c>
      <c r="B616" s="5">
        <f>Sheet1!E616</f>
        <v/>
      </c>
      <c r="C616" s="6">
        <f>UPPER(Sheet1!B616)</f>
        <v/>
      </c>
      <c r="D616" s="7">
        <f>IF(Sheet1!F616="F","FEMALE","MALE")</f>
        <v/>
      </c>
      <c r="E616" s="6">
        <f>UPPER(Sheet1!G616)</f>
        <v/>
      </c>
      <c r="F616" s="6">
        <f>UPPER(Sheet1!H616)</f>
        <v/>
      </c>
      <c r="G616" s="5">
        <f>TEXT(Sheet1!C616,"dd/mm/yyyy") &amp; "," &amp; Sheet1!D616</f>
        <v/>
      </c>
      <c r="H616" s="38">
        <f>UPPER(Sheet1!J616 &amp; "," &amp; Sheet1!K616 &amp; "," &amp; Sheet1!L616)</f>
        <v/>
      </c>
      <c r="I616" s="45">
        <f>Sheet1!I616</f>
        <v/>
      </c>
      <c r="J616" s="5">
        <f>Sheet1!M616 &amp; "," &amp; TEXT(Sheet1!N616,"dd/mm/yy")</f>
        <v/>
      </c>
      <c r="K616" s="5" t="inlineStr">
        <is>
          <t>PRINTED</t>
        </is>
      </c>
      <c r="L616" s="30" t="inlineStr">
        <is>
          <t>25/03/2026</t>
        </is>
      </c>
      <c r="M616" s="30" t="inlineStr">
        <is>
          <t>MANISH KATARIA, VICE CONSUL</t>
        </is>
      </c>
      <c r="N616" s="30" t="inlineStr">
        <is>
          <t>26/02/2026</t>
        </is>
      </c>
    </row>
    <row r="617">
      <c r="A617" s="4">
        <f>Sheet1!A617 &amp; "/" &amp; "2025"</f>
        <v/>
      </c>
      <c r="B617" s="5">
        <f>Sheet1!E617</f>
        <v/>
      </c>
      <c r="C617" s="6">
        <f>UPPER(Sheet1!B617)</f>
        <v/>
      </c>
      <c r="D617" s="7">
        <f>IF(Sheet1!F617="F","FEMALE","MALE")</f>
        <v/>
      </c>
      <c r="E617" s="6">
        <f>UPPER(Sheet1!G617)</f>
        <v/>
      </c>
      <c r="F617" s="6">
        <f>UPPER(Sheet1!H617)</f>
        <v/>
      </c>
      <c r="G617" s="5">
        <f>TEXT(Sheet1!C617,"dd/mm/yyyy") &amp; "," &amp; Sheet1!D617</f>
        <v/>
      </c>
      <c r="H617" s="38">
        <f>UPPER(Sheet1!J617 &amp; "," &amp; Sheet1!K617 &amp; "," &amp; Sheet1!L617)</f>
        <v/>
      </c>
      <c r="I617" s="45">
        <f>Sheet1!I617</f>
        <v/>
      </c>
      <c r="J617" s="5">
        <f>Sheet1!M617 &amp; "," &amp; TEXT(Sheet1!N617,"dd/mm/yy")</f>
        <v/>
      </c>
      <c r="K617" s="5" t="inlineStr">
        <is>
          <t>PRINTED</t>
        </is>
      </c>
      <c r="L617" s="30" t="inlineStr">
        <is>
          <t>25/03/2026</t>
        </is>
      </c>
      <c r="M617" s="30" t="inlineStr">
        <is>
          <t>MANISH KATARIA, VICE CONSUL</t>
        </is>
      </c>
      <c r="N617" s="30" t="inlineStr">
        <is>
          <t>26/02/2026</t>
        </is>
      </c>
    </row>
    <row r="618">
      <c r="A618" s="4">
        <f>Sheet1!A618 &amp; "/" &amp; "2025"</f>
        <v/>
      </c>
      <c r="B618" s="5">
        <f>Sheet1!E618</f>
        <v/>
      </c>
      <c r="C618" s="6">
        <f>UPPER(Sheet1!B618)</f>
        <v/>
      </c>
      <c r="D618" s="7">
        <f>IF(Sheet1!F618="F","FEMALE","MALE")</f>
        <v/>
      </c>
      <c r="E618" s="6">
        <f>UPPER(Sheet1!G618)</f>
        <v/>
      </c>
      <c r="F618" s="6">
        <f>UPPER(Sheet1!H618)</f>
        <v/>
      </c>
      <c r="G618" s="5">
        <f>TEXT(Sheet1!C618,"dd/mm/yyyy") &amp; "," &amp; Sheet1!D618</f>
        <v/>
      </c>
      <c r="H618" s="38">
        <f>UPPER(Sheet1!J618 &amp; "," &amp; Sheet1!K618 &amp; "," &amp; Sheet1!L618)</f>
        <v/>
      </c>
      <c r="I618" s="45">
        <f>Sheet1!I618</f>
        <v/>
      </c>
      <c r="J618" s="5">
        <f>Sheet1!M618 &amp; "," &amp; TEXT(Sheet1!N618,"dd/mm/yy")</f>
        <v/>
      </c>
      <c r="K618" s="5" t="inlineStr">
        <is>
          <t>PRINTED</t>
        </is>
      </c>
      <c r="L618" s="30" t="inlineStr">
        <is>
          <t>25/03/2026</t>
        </is>
      </c>
      <c r="M618" s="30" t="inlineStr">
        <is>
          <t>MANISH KATARIA, VICE CONSUL</t>
        </is>
      </c>
      <c r="N618" s="30" t="inlineStr">
        <is>
          <t>26/02/2026</t>
        </is>
      </c>
    </row>
    <row r="619">
      <c r="A619" s="4">
        <f>Sheet1!A619 &amp; "/" &amp; "2025"</f>
        <v/>
      </c>
      <c r="B619" s="5">
        <f>Sheet1!E619</f>
        <v/>
      </c>
      <c r="C619" s="6">
        <f>UPPER(Sheet1!B619)</f>
        <v/>
      </c>
      <c r="D619" s="7">
        <f>IF(Sheet1!F619="F","FEMALE","MALE")</f>
        <v/>
      </c>
      <c r="E619" s="6">
        <f>UPPER(Sheet1!G619)</f>
        <v/>
      </c>
      <c r="F619" s="6">
        <f>UPPER(Sheet1!H619)</f>
        <v/>
      </c>
      <c r="G619" s="5">
        <f>TEXT(Sheet1!C619,"dd/mm/yyyy") &amp; "," &amp; Sheet1!D619</f>
        <v/>
      </c>
      <c r="H619" s="38">
        <f>UPPER(Sheet1!J619 &amp; "," &amp; Sheet1!K619 &amp; "," &amp; Sheet1!L619)</f>
        <v/>
      </c>
      <c r="I619" s="45">
        <f>Sheet1!I619</f>
        <v/>
      </c>
      <c r="J619" s="5">
        <f>Sheet1!M619 &amp; "," &amp; TEXT(Sheet1!N619,"dd/mm/yy")</f>
        <v/>
      </c>
      <c r="K619" s="5" t="inlineStr">
        <is>
          <t>PRINTED</t>
        </is>
      </c>
      <c r="L619" s="30" t="inlineStr">
        <is>
          <t>25/03/2026</t>
        </is>
      </c>
      <c r="M619" s="30" t="inlineStr">
        <is>
          <t>MANISH KATARIA, VICE CONSUL</t>
        </is>
      </c>
      <c r="N619" s="30" t="inlineStr">
        <is>
          <t>26/02/2026</t>
        </is>
      </c>
    </row>
    <row r="620">
      <c r="A620" s="4">
        <f>Sheet1!A620 &amp; "/" &amp; "2025"</f>
        <v/>
      </c>
      <c r="B620" s="5">
        <f>Sheet1!E620</f>
        <v/>
      </c>
      <c r="C620" s="6">
        <f>UPPER(Sheet1!B620)</f>
        <v/>
      </c>
      <c r="D620" s="7">
        <f>IF(Sheet1!F620="F","FEMALE","MALE")</f>
        <v/>
      </c>
      <c r="E620" s="6">
        <f>UPPER(Sheet1!G620)</f>
        <v/>
      </c>
      <c r="F620" s="6">
        <f>UPPER(Sheet1!H620)</f>
        <v/>
      </c>
      <c r="G620" s="5">
        <f>TEXT(Sheet1!C620,"dd/mm/yyyy") &amp; "," &amp; Sheet1!D620</f>
        <v/>
      </c>
      <c r="H620" s="38">
        <f>UPPER(Sheet1!J620 &amp; "," &amp; Sheet1!K620 &amp; "," &amp; Sheet1!L620)</f>
        <v/>
      </c>
      <c r="I620" s="45">
        <f>Sheet1!I620</f>
        <v/>
      </c>
      <c r="J620" s="5">
        <f>Sheet1!M620 &amp; "," &amp; TEXT(Sheet1!N620,"dd/mm/yy")</f>
        <v/>
      </c>
      <c r="K620" s="5" t="inlineStr">
        <is>
          <t>PRINTED</t>
        </is>
      </c>
      <c r="L620" s="30" t="inlineStr">
        <is>
          <t>25/03/2026</t>
        </is>
      </c>
      <c r="M620" s="30" t="inlineStr">
        <is>
          <t>MANISH KATARIA, VICE CONSUL</t>
        </is>
      </c>
      <c r="N620" s="30" t="inlineStr">
        <is>
          <t>26/02/2026</t>
        </is>
      </c>
    </row>
    <row r="621">
      <c r="A621" s="4">
        <f>Sheet1!A621 &amp; "/" &amp; "2025"</f>
        <v/>
      </c>
      <c r="B621" s="5">
        <f>Sheet1!E621</f>
        <v/>
      </c>
      <c r="C621" s="6">
        <f>UPPER(Sheet1!B621)</f>
        <v/>
      </c>
      <c r="D621" s="7">
        <f>IF(Sheet1!F621="F","FEMALE","MALE")</f>
        <v/>
      </c>
      <c r="E621" s="6">
        <f>UPPER(Sheet1!G621)</f>
        <v/>
      </c>
      <c r="F621" s="6">
        <f>UPPER(Sheet1!H621)</f>
        <v/>
      </c>
      <c r="G621" s="5">
        <f>TEXT(Sheet1!C621,"dd/mm/yyyy") &amp; "," &amp; Sheet1!D621</f>
        <v/>
      </c>
      <c r="H621" s="38">
        <f>UPPER(Sheet1!J621 &amp; "," &amp; Sheet1!K621 &amp; "," &amp; Sheet1!L621)</f>
        <v/>
      </c>
      <c r="I621" s="45">
        <f>Sheet1!I621</f>
        <v/>
      </c>
      <c r="J621" s="5">
        <f>Sheet1!M621 &amp; "," &amp; TEXT(Sheet1!N621,"dd/mm/yy")</f>
        <v/>
      </c>
      <c r="K621" s="5" t="inlineStr">
        <is>
          <t>PRINTED</t>
        </is>
      </c>
      <c r="L621" s="30" t="inlineStr">
        <is>
          <t>25/03/2026</t>
        </is>
      </c>
      <c r="M621" s="30" t="inlineStr">
        <is>
          <t>MANISH KATARIA, VICE CONSUL</t>
        </is>
      </c>
      <c r="N621" s="30" t="inlineStr">
        <is>
          <t>26/02/2026</t>
        </is>
      </c>
    </row>
    <row r="622">
      <c r="A622" s="4">
        <f>Sheet1!A622 &amp; "/" &amp; "2025"</f>
        <v/>
      </c>
      <c r="B622" s="5">
        <f>Sheet1!E622</f>
        <v/>
      </c>
      <c r="C622" s="6">
        <f>UPPER(Sheet1!B622)</f>
        <v/>
      </c>
      <c r="D622" s="7">
        <f>IF(Sheet1!F622="F","FEMALE","MALE")</f>
        <v/>
      </c>
      <c r="E622" s="6">
        <f>UPPER(Sheet1!G622)</f>
        <v/>
      </c>
      <c r="F622" s="6">
        <f>UPPER(Sheet1!H622)</f>
        <v/>
      </c>
      <c r="G622" s="5">
        <f>TEXT(Sheet1!C622,"dd/mm/yyyy") &amp; "," &amp; Sheet1!D622</f>
        <v/>
      </c>
      <c r="H622" s="38">
        <f>UPPER(Sheet1!J622 &amp; "," &amp; Sheet1!K622 &amp; "," &amp; Sheet1!L622)</f>
        <v/>
      </c>
      <c r="I622" s="45">
        <f>Sheet1!I622</f>
        <v/>
      </c>
      <c r="J622" s="5">
        <f>Sheet1!M622 &amp; "," &amp; TEXT(Sheet1!N622,"dd/mm/yy")</f>
        <v/>
      </c>
      <c r="K622" s="5" t="inlineStr">
        <is>
          <t>PRINTED</t>
        </is>
      </c>
      <c r="L622" s="30" t="inlineStr">
        <is>
          <t>25/03/2026</t>
        </is>
      </c>
      <c r="M622" s="30" t="inlineStr">
        <is>
          <t>MANISH KATARIA, VICE CONSUL</t>
        </is>
      </c>
      <c r="N622" s="30" t="inlineStr">
        <is>
          <t>26/02/2026</t>
        </is>
      </c>
    </row>
    <row r="623">
      <c r="A623" s="4">
        <f>Sheet1!A623 &amp; "/" &amp; "2025"</f>
        <v/>
      </c>
      <c r="B623" s="5">
        <f>Sheet1!E623</f>
        <v/>
      </c>
      <c r="C623" s="6">
        <f>UPPER(Sheet1!B623)</f>
        <v/>
      </c>
      <c r="D623" s="7">
        <f>IF(Sheet1!F623="F","FEMALE","MALE")</f>
        <v/>
      </c>
      <c r="E623" s="6">
        <f>UPPER(Sheet1!G623)</f>
        <v/>
      </c>
      <c r="F623" s="6">
        <f>UPPER(Sheet1!H623)</f>
        <v/>
      </c>
      <c r="G623" s="5">
        <f>TEXT(Sheet1!C623,"dd/mm/yyyy") &amp; "," &amp; Sheet1!D623</f>
        <v/>
      </c>
      <c r="H623" s="38">
        <f>UPPER(Sheet1!J623 &amp; "," &amp; Sheet1!K623 &amp; "," &amp; Sheet1!L623)</f>
        <v/>
      </c>
      <c r="I623" s="45">
        <f>Sheet1!I623</f>
        <v/>
      </c>
      <c r="J623" s="5">
        <f>Sheet1!M623 &amp; "," &amp; TEXT(Sheet1!N623,"dd/mm/yy")</f>
        <v/>
      </c>
      <c r="K623" s="5" t="inlineStr">
        <is>
          <t>PRINTED</t>
        </is>
      </c>
      <c r="L623" s="30" t="inlineStr">
        <is>
          <t>25/03/2026</t>
        </is>
      </c>
      <c r="M623" s="30" t="inlineStr">
        <is>
          <t>MANISH KATARIA, VICE CONSUL</t>
        </is>
      </c>
      <c r="N623" s="30" t="inlineStr">
        <is>
          <t>26/02/2026</t>
        </is>
      </c>
    </row>
    <row r="624">
      <c r="A624" s="4">
        <f>Sheet1!A624 &amp; "/" &amp; "2025"</f>
        <v/>
      </c>
      <c r="B624" s="5">
        <f>Sheet1!E624</f>
        <v/>
      </c>
      <c r="C624" s="6">
        <f>UPPER(Sheet1!B624)</f>
        <v/>
      </c>
      <c r="D624" s="7">
        <f>IF(Sheet1!F624="F","FEMALE","MALE")</f>
        <v/>
      </c>
      <c r="E624" s="6">
        <f>UPPER(Sheet1!G624)</f>
        <v/>
      </c>
      <c r="F624" s="6">
        <f>UPPER(Sheet1!H624)</f>
        <v/>
      </c>
      <c r="G624" s="5">
        <f>TEXT(Sheet1!C624,"dd/mm/yyyy") &amp; "," &amp; Sheet1!D624</f>
        <v/>
      </c>
      <c r="H624" s="38">
        <f>UPPER(Sheet1!J624 &amp; "," &amp; Sheet1!K624 &amp; "," &amp; Sheet1!L624)</f>
        <v/>
      </c>
      <c r="I624" s="45">
        <f>Sheet1!I624</f>
        <v/>
      </c>
      <c r="J624" s="5">
        <f>Sheet1!M624 &amp; "," &amp; TEXT(Sheet1!N624,"dd/mm/yy")</f>
        <v/>
      </c>
      <c r="K624" s="5" t="inlineStr">
        <is>
          <t>PRINTED</t>
        </is>
      </c>
      <c r="L624" s="30" t="inlineStr">
        <is>
          <t>25/03/2026</t>
        </is>
      </c>
      <c r="M624" s="30" t="inlineStr">
        <is>
          <t>MANISH KATARIA, VICE CONSUL</t>
        </is>
      </c>
      <c r="N624" s="30" t="inlineStr">
        <is>
          <t>26/02/2026</t>
        </is>
      </c>
    </row>
    <row r="625">
      <c r="A625" s="4">
        <f>Sheet1!A625 &amp; "/" &amp; "2025"</f>
        <v/>
      </c>
      <c r="B625" s="5">
        <f>Sheet1!E625</f>
        <v/>
      </c>
      <c r="C625" s="6">
        <f>UPPER(Sheet1!B625)</f>
        <v/>
      </c>
      <c r="D625" s="7">
        <f>IF(Sheet1!F625="F","FEMALE","MALE")</f>
        <v/>
      </c>
      <c r="E625" s="6">
        <f>UPPER(Sheet1!G625)</f>
        <v/>
      </c>
      <c r="F625" s="6">
        <f>UPPER(Sheet1!H625)</f>
        <v/>
      </c>
      <c r="G625" s="5">
        <f>TEXT(Sheet1!C625,"dd/mm/yyyy") &amp; "," &amp; Sheet1!D625</f>
        <v/>
      </c>
      <c r="H625" s="38">
        <f>UPPER(Sheet1!J625 &amp; "," &amp; Sheet1!K625 &amp; "," &amp; Sheet1!L625)</f>
        <v/>
      </c>
      <c r="I625" s="45">
        <f>Sheet1!I625</f>
        <v/>
      </c>
      <c r="J625" s="5">
        <f>Sheet1!M625 &amp; "," &amp; TEXT(Sheet1!N625,"dd/mm/yy")</f>
        <v/>
      </c>
      <c r="K625" s="5" t="inlineStr">
        <is>
          <t>PRINTED</t>
        </is>
      </c>
      <c r="L625" s="30" t="inlineStr">
        <is>
          <t>25/03/2026</t>
        </is>
      </c>
      <c r="M625" s="30" t="inlineStr">
        <is>
          <t>MANISH KATARIA, VICE CONSUL</t>
        </is>
      </c>
      <c r="N625" s="30" t="inlineStr">
        <is>
          <t>26/02/2026</t>
        </is>
      </c>
    </row>
    <row r="626">
      <c r="A626" s="4">
        <f>Sheet1!A626 &amp; "/" &amp; "2025"</f>
        <v/>
      </c>
      <c r="B626" s="5">
        <f>Sheet1!E626</f>
        <v/>
      </c>
      <c r="C626" s="6">
        <f>UPPER(Sheet1!B626)</f>
        <v/>
      </c>
      <c r="D626" s="7">
        <f>IF(Sheet1!F626="F","FEMALE","MALE")</f>
        <v/>
      </c>
      <c r="E626" s="6">
        <f>UPPER(Sheet1!G626)</f>
        <v/>
      </c>
      <c r="F626" s="6">
        <f>UPPER(Sheet1!H626)</f>
        <v/>
      </c>
      <c r="G626" s="5">
        <f>TEXT(Sheet1!C626,"dd/mm/yyyy") &amp; "," &amp; Sheet1!D626</f>
        <v/>
      </c>
      <c r="H626" s="38">
        <f>UPPER(Sheet1!J626 &amp; "," &amp; Sheet1!K626 &amp; "," &amp; Sheet1!L626)</f>
        <v/>
      </c>
      <c r="I626" s="45">
        <f>Sheet1!I626</f>
        <v/>
      </c>
      <c r="J626" s="5">
        <f>Sheet1!M626 &amp; "," &amp; TEXT(Sheet1!N626,"dd/mm/yy")</f>
        <v/>
      </c>
      <c r="K626" s="5" t="inlineStr">
        <is>
          <t>PRINTED</t>
        </is>
      </c>
      <c r="L626" s="30" t="inlineStr">
        <is>
          <t>25/03/2026</t>
        </is>
      </c>
      <c r="M626" s="30" t="inlineStr">
        <is>
          <t>MANISH KATARIA, VICE CONSUL</t>
        </is>
      </c>
      <c r="N626" s="30" t="inlineStr">
        <is>
          <t>26/02/2026</t>
        </is>
      </c>
    </row>
    <row r="627">
      <c r="A627" s="4">
        <f>Sheet1!A627 &amp; "/" &amp; "2025"</f>
        <v/>
      </c>
      <c r="B627" s="5">
        <f>Sheet1!E627</f>
        <v/>
      </c>
      <c r="C627" s="6">
        <f>UPPER(Sheet1!B627)</f>
        <v/>
      </c>
      <c r="D627" s="7">
        <f>IF(Sheet1!F627="F","FEMALE","MALE")</f>
        <v/>
      </c>
      <c r="E627" s="6">
        <f>UPPER(Sheet1!G627)</f>
        <v/>
      </c>
      <c r="F627" s="6">
        <f>UPPER(Sheet1!H627)</f>
        <v/>
      </c>
      <c r="G627" s="5">
        <f>TEXT(Sheet1!C627,"dd/mm/yyyy") &amp; "," &amp; Sheet1!D627</f>
        <v/>
      </c>
      <c r="H627" s="38">
        <f>UPPER(Sheet1!J627 &amp; "," &amp; Sheet1!K627 &amp; "," &amp; Sheet1!L627)</f>
        <v/>
      </c>
      <c r="I627" s="45">
        <f>Sheet1!I627</f>
        <v/>
      </c>
      <c r="J627" s="5">
        <f>Sheet1!M627 &amp; "," &amp; TEXT(Sheet1!N627,"dd/mm/yy")</f>
        <v/>
      </c>
      <c r="K627" s="5" t="inlineStr">
        <is>
          <t>PRINTED</t>
        </is>
      </c>
      <c r="L627" s="30" t="inlineStr">
        <is>
          <t>25/03/2026</t>
        </is>
      </c>
      <c r="M627" s="30" t="inlineStr">
        <is>
          <t>MANISH KATARIA, VICE CONSUL</t>
        </is>
      </c>
      <c r="N627" s="30" t="inlineStr">
        <is>
          <t>26/02/2026</t>
        </is>
      </c>
    </row>
    <row r="628" ht="30" customHeight="1">
      <c r="A628" s="4">
        <f>Sheet1!A628 &amp; "/" &amp; "2025"</f>
        <v/>
      </c>
      <c r="B628" s="5">
        <f>Sheet1!E628</f>
        <v/>
      </c>
      <c r="C628" s="6">
        <f>UPPER(Sheet1!B628)</f>
        <v/>
      </c>
      <c r="D628" s="7">
        <f>IF(Sheet1!F628="F","FEMALE","MALE")</f>
        <v/>
      </c>
      <c r="E628" s="6">
        <f>UPPER(Sheet1!G628)</f>
        <v/>
      </c>
      <c r="F628" s="6">
        <f>UPPER(Sheet1!H628)</f>
        <v/>
      </c>
      <c r="G628" s="5">
        <f>TEXT(Sheet1!C628,"dd/mm/yyyy") &amp; "," &amp; Sheet1!D628</f>
        <v/>
      </c>
      <c r="H628" s="38">
        <f>UPPER(Sheet1!J628 &amp; "," &amp; Sheet1!K628 &amp; "," &amp; Sheet1!L628)</f>
        <v/>
      </c>
      <c r="I628" s="45">
        <f>Sheet1!I628</f>
        <v/>
      </c>
      <c r="J628" s="5">
        <f>Sheet1!M628 &amp; "," &amp; TEXT(Sheet1!N628,"dd/mm/yy")</f>
        <v/>
      </c>
      <c r="K628" s="5" t="inlineStr">
        <is>
          <t>PRINTED</t>
        </is>
      </c>
      <c r="L628" s="30" t="inlineStr">
        <is>
          <t>25/03/2026</t>
        </is>
      </c>
      <c r="M628" s="30" t="inlineStr">
        <is>
          <t>MANISH KATARIA, VICE CONSUL</t>
        </is>
      </c>
      <c r="N628" s="30" t="inlineStr">
        <is>
          <t>26/02/2026</t>
        </is>
      </c>
    </row>
    <row r="629">
      <c r="A629" s="4">
        <f>Sheet1!A629 &amp; "/" &amp; "2025"</f>
        <v/>
      </c>
      <c r="B629" s="5">
        <f>Sheet1!E629</f>
        <v/>
      </c>
      <c r="C629" s="6">
        <f>UPPER(Sheet1!B629)</f>
        <v/>
      </c>
      <c r="D629" s="7">
        <f>IF(Sheet1!F629="F","FEMALE","MALE")</f>
        <v/>
      </c>
      <c r="E629" s="6">
        <f>UPPER(Sheet1!G629)</f>
        <v/>
      </c>
      <c r="F629" s="6">
        <f>UPPER(Sheet1!H629)</f>
        <v/>
      </c>
      <c r="G629" s="5">
        <f>TEXT(Sheet1!C629,"dd/mm/yyyy") &amp; "," &amp; Sheet1!D629</f>
        <v/>
      </c>
      <c r="H629" s="38">
        <f>UPPER(Sheet1!J629 &amp; "," &amp; Sheet1!K629 &amp; "," &amp; Sheet1!L629)</f>
        <v/>
      </c>
      <c r="I629" s="45">
        <f>Sheet1!I629</f>
        <v/>
      </c>
      <c r="J629" s="5">
        <f>Sheet1!M629 &amp; "," &amp; TEXT(Sheet1!N629,"dd/mm/yy")</f>
        <v/>
      </c>
      <c r="K629" s="5" t="inlineStr">
        <is>
          <t>PRINTED</t>
        </is>
      </c>
      <c r="L629" s="30" t="inlineStr">
        <is>
          <t>25/03/2026</t>
        </is>
      </c>
      <c r="M629" s="30" t="inlineStr">
        <is>
          <t>MANISH KATARIA, VICE CONSUL</t>
        </is>
      </c>
      <c r="N629" s="30" t="inlineStr">
        <is>
          <t>26/02/2026</t>
        </is>
      </c>
    </row>
    <row r="630">
      <c r="A630" s="4">
        <f>Sheet1!A630 &amp; "/" &amp; "2025"</f>
        <v/>
      </c>
      <c r="B630" s="5">
        <f>Sheet1!E630</f>
        <v/>
      </c>
      <c r="C630" s="6">
        <f>UPPER(Sheet1!B630)</f>
        <v/>
      </c>
      <c r="D630" s="7">
        <f>IF(Sheet1!F630="F","FEMALE","MALE")</f>
        <v/>
      </c>
      <c r="E630" s="6">
        <f>UPPER(Sheet1!G630)</f>
        <v/>
      </c>
      <c r="F630" s="6">
        <f>UPPER(Sheet1!H630)</f>
        <v/>
      </c>
      <c r="G630" s="5">
        <f>TEXT(Sheet1!C630,"dd/mm/yyyy") &amp; "," &amp; Sheet1!D630</f>
        <v/>
      </c>
      <c r="H630" s="38">
        <f>UPPER(Sheet1!J630 &amp; "," &amp; Sheet1!K630 &amp; "," &amp; Sheet1!L630)</f>
        <v/>
      </c>
      <c r="I630" s="45">
        <f>Sheet1!I630</f>
        <v/>
      </c>
      <c r="J630" s="5">
        <f>Sheet1!M630 &amp; "," &amp; TEXT(Sheet1!N630,"dd/mm/yy")</f>
        <v/>
      </c>
      <c r="K630" s="5" t="inlineStr">
        <is>
          <t>PRINTED</t>
        </is>
      </c>
      <c r="L630" s="30" t="inlineStr">
        <is>
          <t>25/03/2026</t>
        </is>
      </c>
      <c r="M630" s="30" t="inlineStr">
        <is>
          <t>MANISH KATARIA, VICE CONSUL</t>
        </is>
      </c>
      <c r="N630" s="30" t="inlineStr">
        <is>
          <t>26/02/2026</t>
        </is>
      </c>
    </row>
    <row r="631">
      <c r="A631" s="4">
        <f>Sheet1!A631 &amp; "/" &amp; "2025"</f>
        <v/>
      </c>
      <c r="B631" s="5">
        <f>Sheet1!E631</f>
        <v/>
      </c>
      <c r="C631" s="6">
        <f>UPPER(Sheet1!B631)</f>
        <v/>
      </c>
      <c r="D631" s="7">
        <f>IF(Sheet1!F631="F","FEMALE","MALE")</f>
        <v/>
      </c>
      <c r="E631" s="6">
        <f>UPPER(Sheet1!G631)</f>
        <v/>
      </c>
      <c r="F631" s="6">
        <f>UPPER(Sheet1!H631)</f>
        <v/>
      </c>
      <c r="G631" s="5">
        <f>TEXT(Sheet1!C631,"dd/mm/yyyy") &amp; "," &amp; Sheet1!D631</f>
        <v/>
      </c>
      <c r="H631" s="38">
        <f>UPPER(Sheet1!J631 &amp; "," &amp; Sheet1!K631 &amp; "," &amp; Sheet1!L631)</f>
        <v/>
      </c>
      <c r="I631" s="45">
        <f>Sheet1!I631</f>
        <v/>
      </c>
      <c r="J631" s="5">
        <f>Sheet1!M631 &amp; "," &amp; TEXT(Sheet1!N631,"dd/mm/yy")</f>
        <v/>
      </c>
      <c r="K631" s="5" t="inlineStr">
        <is>
          <t>PRINTED</t>
        </is>
      </c>
      <c r="L631" s="30" t="inlineStr">
        <is>
          <t>25/03/2026</t>
        </is>
      </c>
      <c r="M631" s="30" t="inlineStr">
        <is>
          <t>MANISH KATARIA, VICE CONSUL</t>
        </is>
      </c>
      <c r="N631" s="30" t="inlineStr">
        <is>
          <t>26/02/2026</t>
        </is>
      </c>
    </row>
    <row r="632">
      <c r="A632" s="4">
        <f>Sheet1!A632 &amp; "/" &amp; "2025"</f>
        <v/>
      </c>
      <c r="B632" s="5">
        <f>Sheet1!E632</f>
        <v/>
      </c>
      <c r="C632" s="6">
        <f>UPPER(Sheet1!B632)</f>
        <v/>
      </c>
      <c r="D632" s="7">
        <f>IF(Sheet1!F632="F","FEMALE","MALE")</f>
        <v/>
      </c>
      <c r="E632" s="6">
        <f>UPPER(Sheet1!G632)</f>
        <v/>
      </c>
      <c r="F632" s="6">
        <f>UPPER(Sheet1!H632)</f>
        <v/>
      </c>
      <c r="G632" s="5">
        <f>TEXT(Sheet1!C632,"dd/mm/yyyy") &amp; "," &amp; Sheet1!D632</f>
        <v/>
      </c>
      <c r="H632" s="38">
        <f>UPPER(Sheet1!J632 &amp; "," &amp; Sheet1!K632 &amp; "," &amp; Sheet1!L632)</f>
        <v/>
      </c>
      <c r="I632" s="45">
        <f>Sheet1!I632</f>
        <v/>
      </c>
      <c r="J632" s="5">
        <f>Sheet1!M632 &amp; "," &amp; TEXT(Sheet1!N632,"dd/mm/yy")</f>
        <v/>
      </c>
      <c r="K632" s="5" t="inlineStr">
        <is>
          <t>PRINTED</t>
        </is>
      </c>
      <c r="L632" s="30" t="inlineStr">
        <is>
          <t>25/03/2026</t>
        </is>
      </c>
      <c r="M632" s="30" t="inlineStr">
        <is>
          <t>MANISH KATARIA, VICE CONSUL</t>
        </is>
      </c>
      <c r="N632" s="30" t="inlineStr">
        <is>
          <t>26/02/2026</t>
        </is>
      </c>
    </row>
    <row r="633">
      <c r="A633" s="4">
        <f>Sheet1!A633 &amp; "/" &amp; "2025"</f>
        <v/>
      </c>
      <c r="B633" s="5">
        <f>Sheet1!E633</f>
        <v/>
      </c>
      <c r="C633" s="6">
        <f>UPPER(Sheet1!B633)</f>
        <v/>
      </c>
      <c r="D633" s="7">
        <f>IF(Sheet1!F633="F","FEMALE","MALE")</f>
        <v/>
      </c>
      <c r="E633" s="6">
        <f>UPPER(Sheet1!G633)</f>
        <v/>
      </c>
      <c r="F633" s="6">
        <f>UPPER(Sheet1!H633)</f>
        <v/>
      </c>
      <c r="G633" s="5">
        <f>TEXT(Sheet1!C633,"dd/mm/yyyy") &amp; "," &amp; Sheet1!D633</f>
        <v/>
      </c>
      <c r="H633" s="38">
        <f>UPPER(Sheet1!J633 &amp; "," &amp; Sheet1!K633 &amp; "," &amp; Sheet1!L633)</f>
        <v/>
      </c>
      <c r="I633" s="45">
        <f>Sheet1!I633</f>
        <v/>
      </c>
      <c r="J633" s="5">
        <f>Sheet1!M633 &amp; "," &amp; TEXT(Sheet1!N633,"dd/mm/yy")</f>
        <v/>
      </c>
      <c r="K633" s="5" t="inlineStr">
        <is>
          <t>PRINTED</t>
        </is>
      </c>
      <c r="L633" s="30" t="inlineStr">
        <is>
          <t>25/03/2026</t>
        </is>
      </c>
      <c r="M633" s="30" t="inlineStr">
        <is>
          <t>MANISH KATARIA, VICE CONSUL</t>
        </is>
      </c>
      <c r="N633" s="30" t="inlineStr">
        <is>
          <t>26/02/2026</t>
        </is>
      </c>
    </row>
    <row r="634">
      <c r="A634" s="4">
        <f>Sheet1!A634 &amp; "/" &amp; "2025"</f>
        <v/>
      </c>
      <c r="B634" s="5">
        <f>Sheet1!E634</f>
        <v/>
      </c>
      <c r="C634" s="6">
        <f>UPPER(Sheet1!B634)</f>
        <v/>
      </c>
      <c r="D634" s="7">
        <f>IF(Sheet1!F634="F","FEMALE","MALE")</f>
        <v/>
      </c>
      <c r="E634" s="6">
        <f>UPPER(Sheet1!G634)</f>
        <v/>
      </c>
      <c r="F634" s="6">
        <f>UPPER(Sheet1!H634)</f>
        <v/>
      </c>
      <c r="G634" s="5">
        <f>TEXT(Sheet1!C634,"dd/mm/yyyy") &amp; "," &amp; Sheet1!D634</f>
        <v/>
      </c>
      <c r="H634" s="38">
        <f>UPPER(Sheet1!J634 &amp; "," &amp; Sheet1!K634 &amp; "," &amp; Sheet1!L634)</f>
        <v/>
      </c>
      <c r="I634" s="45">
        <f>Sheet1!I634</f>
        <v/>
      </c>
      <c r="J634" s="5">
        <f>Sheet1!M634 &amp; "," &amp; TEXT(Sheet1!N634,"dd/mm/yy")</f>
        <v/>
      </c>
      <c r="K634" s="5" t="inlineStr">
        <is>
          <t>PRINTED</t>
        </is>
      </c>
      <c r="L634" s="30" t="inlineStr">
        <is>
          <t>25/03/2026</t>
        </is>
      </c>
      <c r="M634" s="30" t="inlineStr">
        <is>
          <t>MANISH KATARIA, VICE CONSUL</t>
        </is>
      </c>
      <c r="N634" s="30" t="inlineStr">
        <is>
          <t>26/02/2026</t>
        </is>
      </c>
    </row>
    <row r="635">
      <c r="A635" s="4">
        <f>Sheet1!A635 &amp; "/" &amp; "2025"</f>
        <v/>
      </c>
      <c r="B635" s="5">
        <f>Sheet1!E635</f>
        <v/>
      </c>
      <c r="C635" s="6">
        <f>UPPER(Sheet1!B635)</f>
        <v/>
      </c>
      <c r="D635" s="7">
        <f>IF(Sheet1!F635="F","FEMALE","MALE")</f>
        <v/>
      </c>
      <c r="E635" s="6">
        <f>UPPER(Sheet1!G635)</f>
        <v/>
      </c>
      <c r="F635" s="6">
        <f>UPPER(Sheet1!H635)</f>
        <v/>
      </c>
      <c r="G635" s="5">
        <f>TEXT(Sheet1!C635,"dd/mm/yyyy") &amp; "," &amp; Sheet1!D635</f>
        <v/>
      </c>
      <c r="H635" s="38">
        <f>UPPER(Sheet1!J635 &amp; "," &amp; Sheet1!K635 &amp; "," &amp; Sheet1!L635)</f>
        <v/>
      </c>
      <c r="I635" s="45">
        <f>Sheet1!I635</f>
        <v/>
      </c>
      <c r="J635" s="5">
        <f>Sheet1!M635 &amp; "," &amp; TEXT(Sheet1!N635,"dd/mm/yy")</f>
        <v/>
      </c>
      <c r="K635" s="5" t="inlineStr">
        <is>
          <t>PRINTED</t>
        </is>
      </c>
      <c r="L635" s="30" t="inlineStr">
        <is>
          <t>25/03/2026</t>
        </is>
      </c>
      <c r="M635" s="30" t="inlineStr">
        <is>
          <t>MANISH KATARIA, VICE CONSUL</t>
        </is>
      </c>
      <c r="N635" s="30" t="inlineStr">
        <is>
          <t>26/02/2026</t>
        </is>
      </c>
    </row>
    <row r="636">
      <c r="A636" s="4">
        <f>Sheet1!A636 &amp; "/" &amp; "2025"</f>
        <v/>
      </c>
      <c r="B636" s="5">
        <f>Sheet1!E636</f>
        <v/>
      </c>
      <c r="C636" s="6">
        <f>UPPER(Sheet1!B636)</f>
        <v/>
      </c>
      <c r="D636" s="7">
        <f>IF(Sheet1!F636="F","FEMALE","MALE")</f>
        <v/>
      </c>
      <c r="E636" s="6">
        <f>UPPER(Sheet1!G636)</f>
        <v/>
      </c>
      <c r="F636" s="6">
        <f>UPPER(Sheet1!H636)</f>
        <v/>
      </c>
      <c r="G636" s="5">
        <f>TEXT(Sheet1!C636,"dd/mm/yyyy") &amp; "," &amp; Sheet1!D636</f>
        <v/>
      </c>
      <c r="H636" s="38">
        <f>UPPER(Sheet1!J636 &amp; "," &amp; Sheet1!K636 &amp; "," &amp; Sheet1!L636)</f>
        <v/>
      </c>
      <c r="I636" s="45">
        <f>Sheet1!I636</f>
        <v/>
      </c>
      <c r="J636" s="5">
        <f>Sheet1!M636 &amp; "," &amp; TEXT(Sheet1!N636,"dd/mm/yy")</f>
        <v/>
      </c>
      <c r="K636" s="5" t="inlineStr">
        <is>
          <t>PRINTED</t>
        </is>
      </c>
      <c r="L636" s="30" t="inlineStr">
        <is>
          <t>25/03/2026</t>
        </is>
      </c>
      <c r="M636" s="30" t="inlineStr">
        <is>
          <t>MANISH KATARIA, VICE CONSUL</t>
        </is>
      </c>
      <c r="N636" s="30" t="inlineStr">
        <is>
          <t>26/02/2026</t>
        </is>
      </c>
    </row>
    <row r="637">
      <c r="A637" s="4">
        <f>Sheet1!A637 &amp; "/" &amp; "2025"</f>
        <v/>
      </c>
      <c r="B637" s="5">
        <f>Sheet1!E637</f>
        <v/>
      </c>
      <c r="C637" s="6">
        <f>UPPER(Sheet1!B637)</f>
        <v/>
      </c>
      <c r="D637" s="7">
        <f>IF(Sheet1!F637="F","FEMALE","MALE")</f>
        <v/>
      </c>
      <c r="E637" s="6">
        <f>UPPER(Sheet1!G637)</f>
        <v/>
      </c>
      <c r="F637" s="6">
        <f>UPPER(Sheet1!H637)</f>
        <v/>
      </c>
      <c r="G637" s="5">
        <f>TEXT(Sheet1!C637,"dd/mm/yyyy") &amp; "," &amp; Sheet1!D637</f>
        <v/>
      </c>
      <c r="H637" s="38">
        <f>UPPER(Sheet1!J637 &amp; "," &amp; Sheet1!K637 &amp; "," &amp; Sheet1!L637)</f>
        <v/>
      </c>
      <c r="I637" s="45">
        <f>Sheet1!I637</f>
        <v/>
      </c>
      <c r="J637" s="5">
        <f>Sheet1!M637 &amp; "," &amp; TEXT(Sheet1!N637,"dd/mm/yy")</f>
        <v/>
      </c>
      <c r="K637" s="5" t="inlineStr">
        <is>
          <t>PRINTED</t>
        </is>
      </c>
      <c r="L637" s="30" t="inlineStr">
        <is>
          <t>25/03/2026</t>
        </is>
      </c>
      <c r="M637" s="30" t="inlineStr">
        <is>
          <t>MANISH KATARIA, VICE CONSUL</t>
        </is>
      </c>
      <c r="N637" s="30" t="inlineStr">
        <is>
          <t>26/02/2026</t>
        </is>
      </c>
    </row>
    <row r="638">
      <c r="A638" s="4">
        <f>Sheet1!A638 &amp; "/" &amp; "2025"</f>
        <v/>
      </c>
      <c r="B638" s="5">
        <f>Sheet1!E638</f>
        <v/>
      </c>
      <c r="C638" s="6">
        <f>UPPER(Sheet1!B638)</f>
        <v/>
      </c>
      <c r="D638" s="7">
        <f>IF(Sheet1!F638="F","FEMALE","MALE")</f>
        <v/>
      </c>
      <c r="E638" s="6">
        <f>UPPER(Sheet1!G638)</f>
        <v/>
      </c>
      <c r="F638" s="6">
        <f>UPPER(Sheet1!H638)</f>
        <v/>
      </c>
      <c r="G638" s="5">
        <f>TEXT(Sheet1!C638,"dd/mm/yyyy") &amp; "," &amp; Sheet1!D638</f>
        <v/>
      </c>
      <c r="H638" s="38">
        <f>UPPER(Sheet1!J638 &amp; "," &amp; Sheet1!K638 &amp; "," &amp; Sheet1!L638)</f>
        <v/>
      </c>
      <c r="I638" s="45">
        <f>Sheet1!I638</f>
        <v/>
      </c>
      <c r="J638" s="5">
        <f>Sheet1!M638 &amp; "," &amp; TEXT(Sheet1!N638,"dd/mm/yy")</f>
        <v/>
      </c>
      <c r="K638" s="5" t="inlineStr">
        <is>
          <t>PRINTED</t>
        </is>
      </c>
      <c r="L638" s="30" t="inlineStr">
        <is>
          <t>25/03/2026</t>
        </is>
      </c>
      <c r="M638" s="30" t="inlineStr">
        <is>
          <t>MANISH KATARIA, VICE CONSUL</t>
        </is>
      </c>
      <c r="N638" s="30" t="inlineStr">
        <is>
          <t>26/02/2026</t>
        </is>
      </c>
    </row>
    <row r="639">
      <c r="A639" s="4">
        <f>Sheet1!A639 &amp; "/" &amp; "2025"</f>
        <v/>
      </c>
      <c r="B639" s="5">
        <f>Sheet1!E639</f>
        <v/>
      </c>
      <c r="C639" s="6">
        <f>UPPER(Sheet1!B639)</f>
        <v/>
      </c>
      <c r="D639" s="7">
        <f>IF(Sheet1!F639="F","FEMALE","MALE")</f>
        <v/>
      </c>
      <c r="E639" s="6">
        <f>UPPER(Sheet1!G639)</f>
        <v/>
      </c>
      <c r="F639" s="6">
        <f>UPPER(Sheet1!H639)</f>
        <v/>
      </c>
      <c r="G639" s="5">
        <f>TEXT(Sheet1!C639,"dd/mm/yyyy") &amp; "," &amp; Sheet1!D639</f>
        <v/>
      </c>
      <c r="H639" s="38">
        <f>UPPER(Sheet1!J639 &amp; "," &amp; Sheet1!K639 &amp; "," &amp; Sheet1!L639)</f>
        <v/>
      </c>
      <c r="I639" s="45">
        <f>Sheet1!I639</f>
        <v/>
      </c>
      <c r="J639" s="5">
        <f>Sheet1!M639 &amp; "," &amp; TEXT(Sheet1!N639,"dd/mm/yy")</f>
        <v/>
      </c>
      <c r="K639" s="5" t="inlineStr">
        <is>
          <t>PRINTED</t>
        </is>
      </c>
      <c r="L639" s="30" t="inlineStr">
        <is>
          <t>25/03/2026</t>
        </is>
      </c>
      <c r="M639" s="30" t="inlineStr">
        <is>
          <t>MANISH KATARIA, VICE CONSUL</t>
        </is>
      </c>
      <c r="N639" s="30" t="inlineStr">
        <is>
          <t>26/02/2026</t>
        </is>
      </c>
    </row>
    <row r="640">
      <c r="A640" s="4">
        <f>Sheet1!A640 &amp; "/" &amp; "2025"</f>
        <v/>
      </c>
      <c r="B640" s="5">
        <f>Sheet1!E640</f>
        <v/>
      </c>
      <c r="C640" s="6">
        <f>UPPER(Sheet1!B640)</f>
        <v/>
      </c>
      <c r="D640" s="7">
        <f>IF(Sheet1!F640="F","FEMALE","MALE")</f>
        <v/>
      </c>
      <c r="E640" s="6">
        <f>UPPER(Sheet1!G640)</f>
        <v/>
      </c>
      <c r="F640" s="6">
        <f>UPPER(Sheet1!H640)</f>
        <v/>
      </c>
      <c r="G640" s="5">
        <f>TEXT(Sheet1!C640,"dd/mm/yyyy") &amp; "," &amp; Sheet1!D640</f>
        <v/>
      </c>
      <c r="H640" s="38">
        <f>UPPER(Sheet1!J640 &amp; "," &amp; Sheet1!K640 &amp; "," &amp; Sheet1!L640)</f>
        <v/>
      </c>
      <c r="I640" s="45">
        <f>Sheet1!I640</f>
        <v/>
      </c>
      <c r="J640" s="5">
        <f>Sheet1!M640 &amp; "," &amp; TEXT(Sheet1!N640,"dd/mm/yy")</f>
        <v/>
      </c>
      <c r="K640" s="5" t="inlineStr">
        <is>
          <t>PRINTED</t>
        </is>
      </c>
      <c r="L640" s="30" t="inlineStr">
        <is>
          <t>25/03/2026</t>
        </is>
      </c>
      <c r="M640" s="30" t="inlineStr">
        <is>
          <t>MANISH KATARIA, VICE CONSUL</t>
        </is>
      </c>
      <c r="N640" s="30" t="inlineStr">
        <is>
          <t>26/02/2026</t>
        </is>
      </c>
    </row>
    <row r="641">
      <c r="A641" s="4">
        <f>Sheet1!A641 &amp; "/" &amp; "2025"</f>
        <v/>
      </c>
      <c r="B641" s="5">
        <f>Sheet1!E641</f>
        <v/>
      </c>
      <c r="C641" s="6">
        <f>UPPER(Sheet1!B641)</f>
        <v/>
      </c>
      <c r="D641" s="7">
        <f>IF(Sheet1!F641="F","FEMALE","MALE")</f>
        <v/>
      </c>
      <c r="E641" s="6">
        <f>UPPER(Sheet1!G641)</f>
        <v/>
      </c>
      <c r="F641" s="6">
        <f>UPPER(Sheet1!H641)</f>
        <v/>
      </c>
      <c r="G641" s="5">
        <f>TEXT(Sheet1!C641,"dd/mm/yyyy") &amp; "," &amp; Sheet1!D641</f>
        <v/>
      </c>
      <c r="H641" s="38">
        <f>UPPER(Sheet1!J641 &amp; "," &amp; Sheet1!K641 &amp; "," &amp; Sheet1!L641)</f>
        <v/>
      </c>
      <c r="I641" s="45">
        <f>Sheet1!I641</f>
        <v/>
      </c>
      <c r="J641" s="5">
        <f>Sheet1!M641 &amp; "," &amp; TEXT(Sheet1!N641,"dd/mm/yy")</f>
        <v/>
      </c>
      <c r="K641" s="5" t="inlineStr">
        <is>
          <t>PRINTED</t>
        </is>
      </c>
      <c r="L641" s="30" t="inlineStr">
        <is>
          <t>25/03/2026</t>
        </is>
      </c>
      <c r="M641" s="30" t="inlineStr">
        <is>
          <t>MANISH KATARIA, VICE CONSUL</t>
        </is>
      </c>
      <c r="N641" s="30" t="inlineStr">
        <is>
          <t>26/02/2026</t>
        </is>
      </c>
    </row>
    <row r="642">
      <c r="A642" s="4">
        <f>Sheet1!A642 &amp; "/" &amp; "2025"</f>
        <v/>
      </c>
      <c r="B642" s="5">
        <f>Sheet1!E642</f>
        <v/>
      </c>
      <c r="C642" s="6">
        <f>UPPER(Sheet1!B642)</f>
        <v/>
      </c>
      <c r="D642" s="7">
        <f>IF(Sheet1!F642="F","FEMALE","MALE")</f>
        <v/>
      </c>
      <c r="E642" s="6">
        <f>UPPER(Sheet1!G642)</f>
        <v/>
      </c>
      <c r="F642" s="6">
        <f>UPPER(Sheet1!H642)</f>
        <v/>
      </c>
      <c r="G642" s="5">
        <f>TEXT(Sheet1!C642,"dd/mm/yyyy") &amp; "," &amp; Sheet1!D642</f>
        <v/>
      </c>
      <c r="H642" s="38">
        <f>UPPER(Sheet1!J642 &amp; "," &amp; Sheet1!K642 &amp; "," &amp; Sheet1!L642)</f>
        <v/>
      </c>
      <c r="I642" s="45">
        <f>Sheet1!I642</f>
        <v/>
      </c>
      <c r="J642" s="5">
        <f>Sheet1!M642 &amp; "," &amp; TEXT(Sheet1!N642,"dd/mm/yy")</f>
        <v/>
      </c>
      <c r="K642" s="5" t="inlineStr">
        <is>
          <t>PRINTED</t>
        </is>
      </c>
      <c r="L642" s="30" t="inlineStr">
        <is>
          <t>25/03/2026</t>
        </is>
      </c>
      <c r="M642" s="30" t="inlineStr">
        <is>
          <t>MANISH KATARIA, VICE CONSUL</t>
        </is>
      </c>
      <c r="N642" s="30" t="inlineStr">
        <is>
          <t>26/02/2026</t>
        </is>
      </c>
    </row>
    <row r="643">
      <c r="A643" s="4">
        <f>Sheet1!A643 &amp; "/" &amp; "2025"</f>
        <v/>
      </c>
      <c r="B643" s="5">
        <f>Sheet1!E643</f>
        <v/>
      </c>
      <c r="C643" s="6">
        <f>UPPER(Sheet1!B643)</f>
        <v/>
      </c>
      <c r="D643" s="7">
        <f>IF(Sheet1!F643="F","FEMALE","MALE")</f>
        <v/>
      </c>
      <c r="E643" s="6">
        <f>UPPER(Sheet1!G643)</f>
        <v/>
      </c>
      <c r="F643" s="6">
        <f>UPPER(Sheet1!H643)</f>
        <v/>
      </c>
      <c r="G643" s="5">
        <f>TEXT(Sheet1!C643,"dd/mm/yyyy") &amp; "," &amp; Sheet1!D643</f>
        <v/>
      </c>
      <c r="H643" s="38">
        <f>UPPER(Sheet1!J643 &amp; "," &amp; Sheet1!K643 &amp; "," &amp; Sheet1!L643)</f>
        <v/>
      </c>
      <c r="I643" s="45">
        <f>Sheet1!I643</f>
        <v/>
      </c>
      <c r="J643" s="5">
        <f>Sheet1!M643 &amp; "," &amp; TEXT(Sheet1!N643,"dd/mm/yy")</f>
        <v/>
      </c>
      <c r="K643" s="5" t="inlineStr">
        <is>
          <t>PRINTED</t>
        </is>
      </c>
      <c r="L643" s="30" t="inlineStr">
        <is>
          <t>25/03/2026</t>
        </is>
      </c>
      <c r="M643" s="30" t="inlineStr">
        <is>
          <t>MANISH KATARIA, VICE CONSUL</t>
        </is>
      </c>
      <c r="N643" s="30" t="inlineStr">
        <is>
          <t>26/02/2026</t>
        </is>
      </c>
    </row>
    <row r="644">
      <c r="A644" s="4">
        <f>Sheet1!A644 &amp; "/" &amp; "2025"</f>
        <v/>
      </c>
      <c r="B644" s="5">
        <f>Sheet1!E644</f>
        <v/>
      </c>
      <c r="C644" s="6">
        <f>UPPER(Sheet1!B644)</f>
        <v/>
      </c>
      <c r="D644" s="7">
        <f>IF(Sheet1!F644="F","FEMALE","MALE")</f>
        <v/>
      </c>
      <c r="E644" s="6">
        <f>UPPER(Sheet1!G644)</f>
        <v/>
      </c>
      <c r="F644" s="6">
        <f>UPPER(Sheet1!H644)</f>
        <v/>
      </c>
      <c r="G644" s="5">
        <f>TEXT(Sheet1!C644,"dd/mm/yyyy") &amp; "," &amp; Sheet1!D644</f>
        <v/>
      </c>
      <c r="H644" s="38">
        <f>UPPER(Sheet1!J644 &amp; "," &amp; Sheet1!K644 &amp; "," &amp; Sheet1!L644)</f>
        <v/>
      </c>
      <c r="I644" s="45">
        <f>Sheet1!I644</f>
        <v/>
      </c>
      <c r="J644" s="5">
        <f>Sheet1!M644 &amp; "," &amp; TEXT(Sheet1!N644,"dd/mm/yy")</f>
        <v/>
      </c>
      <c r="K644" s="5" t="inlineStr">
        <is>
          <t>PRINTED</t>
        </is>
      </c>
      <c r="L644" s="30" t="inlineStr">
        <is>
          <t>25/03/2026</t>
        </is>
      </c>
      <c r="M644" s="30" t="inlineStr">
        <is>
          <t>MANISH KATARIA, VICE CONSUL</t>
        </is>
      </c>
      <c r="N644" s="30" t="inlineStr">
        <is>
          <t>26/02/2026</t>
        </is>
      </c>
    </row>
    <row r="645">
      <c r="A645" s="4">
        <f>Sheet1!A645 &amp; "/" &amp; "2025"</f>
        <v/>
      </c>
      <c r="B645" s="5">
        <f>Sheet1!E645</f>
        <v/>
      </c>
      <c r="C645" s="6">
        <f>UPPER(Sheet1!B645)</f>
        <v/>
      </c>
      <c r="D645" s="7">
        <f>IF(Sheet1!F645="F","FEMALE","MALE")</f>
        <v/>
      </c>
      <c r="E645" s="6">
        <f>UPPER(Sheet1!G645)</f>
        <v/>
      </c>
      <c r="F645" s="6">
        <f>UPPER(Sheet1!H645)</f>
        <v/>
      </c>
      <c r="G645" s="5">
        <f>TEXT(Sheet1!C645,"dd/mm/yyyy") &amp; "," &amp; Sheet1!D645</f>
        <v/>
      </c>
      <c r="H645" s="38">
        <f>UPPER(Sheet1!J645 &amp; "," &amp; Sheet1!K645 &amp; "," &amp; Sheet1!L645)</f>
        <v/>
      </c>
      <c r="I645" s="45">
        <f>Sheet1!I645</f>
        <v/>
      </c>
      <c r="J645" s="5">
        <f>Sheet1!M645 &amp; "," &amp; TEXT(Sheet1!N645,"dd/mm/yy")</f>
        <v/>
      </c>
      <c r="K645" s="5" t="inlineStr">
        <is>
          <t>PRINTED</t>
        </is>
      </c>
      <c r="L645" s="30" t="inlineStr">
        <is>
          <t>25/03/2026</t>
        </is>
      </c>
      <c r="M645" s="30" t="inlineStr">
        <is>
          <t>MANISH KATARIA, VICE CONSUL</t>
        </is>
      </c>
      <c r="N645" s="30" t="inlineStr">
        <is>
          <t>26/02/2026</t>
        </is>
      </c>
    </row>
    <row r="646">
      <c r="A646" s="4">
        <f>Sheet1!A646 &amp; "/" &amp; "2025"</f>
        <v/>
      </c>
      <c r="B646" s="5">
        <f>Sheet1!E646</f>
        <v/>
      </c>
      <c r="C646" s="6">
        <f>UPPER(Sheet1!B646)</f>
        <v/>
      </c>
      <c r="D646" s="7">
        <f>IF(Sheet1!F646="F","FEMALE","MALE")</f>
        <v/>
      </c>
      <c r="E646" s="6">
        <f>UPPER(Sheet1!G646)</f>
        <v/>
      </c>
      <c r="F646" s="6">
        <f>UPPER(Sheet1!H646)</f>
        <v/>
      </c>
      <c r="G646" s="5">
        <f>TEXT(Sheet1!C646,"dd/mm/yyyy") &amp; "," &amp; Sheet1!D646</f>
        <v/>
      </c>
      <c r="H646" s="38">
        <f>UPPER(Sheet1!J646 &amp; "," &amp; Sheet1!K646 &amp; "," &amp; Sheet1!L646)</f>
        <v/>
      </c>
      <c r="I646" s="45">
        <f>Sheet1!I646</f>
        <v/>
      </c>
      <c r="J646" s="5">
        <f>Sheet1!M646 &amp; "," &amp; TEXT(Sheet1!N646,"dd/mm/yy")</f>
        <v/>
      </c>
      <c r="K646" s="5" t="inlineStr">
        <is>
          <t>PRINTED</t>
        </is>
      </c>
      <c r="L646" s="30" t="inlineStr">
        <is>
          <t>25/03/2026</t>
        </is>
      </c>
      <c r="M646" s="30" t="inlineStr">
        <is>
          <t>MANISH KATARIA, VICE CONSUL</t>
        </is>
      </c>
      <c r="N646" s="30" t="inlineStr">
        <is>
          <t>26/02/2026</t>
        </is>
      </c>
    </row>
    <row r="647">
      <c r="A647" s="4">
        <f>Sheet1!A647 &amp; "/" &amp; "2025"</f>
        <v/>
      </c>
      <c r="B647" s="5">
        <f>Sheet1!E647</f>
        <v/>
      </c>
      <c r="C647" s="6">
        <f>UPPER(Sheet1!B647)</f>
        <v/>
      </c>
      <c r="D647" s="7">
        <f>IF(Sheet1!F647="F","FEMALE","MALE")</f>
        <v/>
      </c>
      <c r="E647" s="6">
        <f>UPPER(Sheet1!G647)</f>
        <v/>
      </c>
      <c r="F647" s="6">
        <f>UPPER(Sheet1!H647)</f>
        <v/>
      </c>
      <c r="G647" s="5">
        <f>TEXT(Sheet1!C647,"dd/mm/yyyy") &amp; "," &amp; Sheet1!D647</f>
        <v/>
      </c>
      <c r="H647" s="38">
        <f>UPPER(Sheet1!J647 &amp; "," &amp; Sheet1!K647 &amp; "," &amp; Sheet1!L647)</f>
        <v/>
      </c>
      <c r="I647" s="45">
        <f>Sheet1!I647</f>
        <v/>
      </c>
      <c r="J647" s="5">
        <f>Sheet1!M647 &amp; "," &amp; TEXT(Sheet1!N647,"dd/mm/yy")</f>
        <v/>
      </c>
      <c r="K647" s="5" t="inlineStr">
        <is>
          <t>PRINTED</t>
        </is>
      </c>
      <c r="L647" s="30" t="inlineStr">
        <is>
          <t>25/03/2026</t>
        </is>
      </c>
      <c r="M647" s="30" t="inlineStr">
        <is>
          <t>MANISH KATARIA, VICE CONSUL</t>
        </is>
      </c>
      <c r="N647" s="30" t="inlineStr">
        <is>
          <t>26/02/2026</t>
        </is>
      </c>
    </row>
    <row r="648">
      <c r="A648" s="4">
        <f>Sheet1!A648 &amp; "/" &amp; "2025"</f>
        <v/>
      </c>
      <c r="B648" s="5">
        <f>Sheet1!E648</f>
        <v/>
      </c>
      <c r="C648" s="6">
        <f>UPPER(Sheet1!B648)</f>
        <v/>
      </c>
      <c r="D648" s="7">
        <f>IF(Sheet1!F648="F","FEMALE","MALE")</f>
        <v/>
      </c>
      <c r="E648" s="6">
        <f>UPPER(Sheet1!G648)</f>
        <v/>
      </c>
      <c r="F648" s="6">
        <f>UPPER(Sheet1!H648)</f>
        <v/>
      </c>
      <c r="G648" s="5">
        <f>TEXT(Sheet1!C648,"dd/mm/yyyy") &amp; "," &amp; Sheet1!D648</f>
        <v/>
      </c>
      <c r="H648" s="38">
        <f>UPPER(Sheet1!J648 &amp; "," &amp; Sheet1!K648 &amp; "," &amp; Sheet1!L648)</f>
        <v/>
      </c>
      <c r="I648" s="45">
        <f>Sheet1!I648</f>
        <v/>
      </c>
      <c r="J648" s="5">
        <f>Sheet1!M648 &amp; "," &amp; TEXT(Sheet1!N648,"dd/mm/yy")</f>
        <v/>
      </c>
      <c r="K648" s="5" t="inlineStr">
        <is>
          <t>PRINTED</t>
        </is>
      </c>
      <c r="L648" s="30" t="inlineStr">
        <is>
          <t>25/03/2026</t>
        </is>
      </c>
      <c r="M648" s="30" t="inlineStr">
        <is>
          <t>MANISH KATARIA, VICE CONSUL</t>
        </is>
      </c>
      <c r="N648" s="30" t="inlineStr">
        <is>
          <t>26/02/2026</t>
        </is>
      </c>
    </row>
    <row r="649">
      <c r="A649" s="4">
        <f>Sheet1!A649 &amp; "/" &amp; "2025"</f>
        <v/>
      </c>
      <c r="B649" s="5">
        <f>Sheet1!E649</f>
        <v/>
      </c>
      <c r="C649" s="6">
        <f>UPPER(Sheet1!B649)</f>
        <v/>
      </c>
      <c r="D649" s="7">
        <f>IF(Sheet1!F649="F","FEMALE","MALE")</f>
        <v/>
      </c>
      <c r="E649" s="6">
        <f>UPPER(Sheet1!G649)</f>
        <v/>
      </c>
      <c r="F649" s="6">
        <f>UPPER(Sheet1!H649)</f>
        <v/>
      </c>
      <c r="G649" s="5">
        <f>TEXT(Sheet1!C649,"dd/mm/yyyy") &amp; "," &amp; Sheet1!D649</f>
        <v/>
      </c>
      <c r="H649" s="38">
        <f>UPPER(Sheet1!J649 &amp; "," &amp; Sheet1!K649 &amp; "," &amp; Sheet1!L649)</f>
        <v/>
      </c>
      <c r="I649" s="45">
        <f>Sheet1!I649</f>
        <v/>
      </c>
      <c r="J649" s="5">
        <f>Sheet1!M649 &amp; "," &amp; TEXT(Sheet1!N649,"dd/mm/yy")</f>
        <v/>
      </c>
      <c r="K649" s="5" t="inlineStr">
        <is>
          <t>PRINTED</t>
        </is>
      </c>
      <c r="L649" s="30" t="inlineStr">
        <is>
          <t>25/03/2026</t>
        </is>
      </c>
      <c r="M649" s="30" t="inlineStr">
        <is>
          <t>MANISH KATARIA, VICE CONSUL</t>
        </is>
      </c>
      <c r="N649" s="30" t="inlineStr">
        <is>
          <t>26/02/2026</t>
        </is>
      </c>
    </row>
    <row r="650">
      <c r="A650" s="4">
        <f>Sheet1!A650 &amp; "/" &amp; "2025"</f>
        <v/>
      </c>
      <c r="B650" s="5">
        <f>Sheet1!E650</f>
        <v/>
      </c>
      <c r="C650" s="6">
        <f>UPPER(Sheet1!B650)</f>
        <v/>
      </c>
      <c r="D650" s="7">
        <f>IF(Sheet1!F650="F","FEMALE","MALE")</f>
        <v/>
      </c>
      <c r="E650" s="6">
        <f>UPPER(Sheet1!G650)</f>
        <v/>
      </c>
      <c r="F650" s="6">
        <f>UPPER(Sheet1!H650)</f>
        <v/>
      </c>
      <c r="G650" s="5">
        <f>TEXT(Sheet1!C650,"dd/mm/yyyy") &amp; "," &amp; Sheet1!D650</f>
        <v/>
      </c>
      <c r="H650" s="38">
        <f>UPPER(Sheet1!J650 &amp; "," &amp; Sheet1!K650 &amp; "," &amp; Sheet1!L650)</f>
        <v/>
      </c>
      <c r="I650" s="45">
        <f>Sheet1!I650</f>
        <v/>
      </c>
      <c r="J650" s="5">
        <f>Sheet1!M650 &amp; "," &amp; TEXT(Sheet1!N650,"dd/mm/yy")</f>
        <v/>
      </c>
      <c r="K650" s="5" t="inlineStr">
        <is>
          <t>PRINTED</t>
        </is>
      </c>
      <c r="L650" s="30" t="inlineStr">
        <is>
          <t>25/03/2026</t>
        </is>
      </c>
      <c r="M650" s="30" t="inlineStr">
        <is>
          <t>MANISH KATARIA, VICE CONSUL</t>
        </is>
      </c>
      <c r="N650" s="30" t="inlineStr">
        <is>
          <t>26/02/2026</t>
        </is>
      </c>
    </row>
    <row r="651">
      <c r="A651" s="4">
        <f>Sheet1!A651 &amp; "/" &amp; "2025"</f>
        <v/>
      </c>
      <c r="B651" s="5">
        <f>Sheet1!E651</f>
        <v/>
      </c>
      <c r="C651" s="6">
        <f>UPPER(Sheet1!B651)</f>
        <v/>
      </c>
      <c r="D651" s="7">
        <f>IF(Sheet1!F651="F","FEMALE","MALE")</f>
        <v/>
      </c>
      <c r="E651" s="6">
        <f>UPPER(Sheet1!G651)</f>
        <v/>
      </c>
      <c r="F651" s="6">
        <f>UPPER(Sheet1!H651)</f>
        <v/>
      </c>
      <c r="G651" s="5">
        <f>TEXT(Sheet1!C651,"dd/mm/yyyy") &amp; "," &amp; Sheet1!D651</f>
        <v/>
      </c>
      <c r="H651" s="38">
        <f>UPPER(Sheet1!J651 &amp; "," &amp; Sheet1!K651 &amp; "," &amp; Sheet1!L651)</f>
        <v/>
      </c>
      <c r="I651" s="45">
        <f>Sheet1!I651</f>
        <v/>
      </c>
      <c r="J651" s="5">
        <f>Sheet1!M651 &amp; "," &amp; TEXT(Sheet1!N651,"dd/mm/yy")</f>
        <v/>
      </c>
      <c r="K651" s="5" t="inlineStr">
        <is>
          <t>PRINTED</t>
        </is>
      </c>
      <c r="L651" s="30" t="inlineStr">
        <is>
          <t>25/03/2026</t>
        </is>
      </c>
      <c r="M651" s="30" t="inlineStr">
        <is>
          <t>MANISH KATARIA, VICE CONSUL</t>
        </is>
      </c>
      <c r="N651" s="30" t="inlineStr">
        <is>
          <t>26/02/2026</t>
        </is>
      </c>
    </row>
    <row r="652">
      <c r="A652" s="4">
        <f>Sheet1!A652 &amp; "/" &amp; "2025"</f>
        <v/>
      </c>
      <c r="B652" s="5">
        <f>Sheet1!E652</f>
        <v/>
      </c>
      <c r="C652" s="6">
        <f>UPPER(Sheet1!B652)</f>
        <v/>
      </c>
      <c r="D652" s="7">
        <f>IF(Sheet1!F652="F","FEMALE","MALE")</f>
        <v/>
      </c>
      <c r="E652" s="6">
        <f>UPPER(Sheet1!G652)</f>
        <v/>
      </c>
      <c r="F652" s="6">
        <f>UPPER(Sheet1!H652)</f>
        <v/>
      </c>
      <c r="G652" s="5">
        <f>TEXT(Sheet1!C652,"dd/mm/yyyy") &amp; "," &amp; Sheet1!D652</f>
        <v/>
      </c>
      <c r="H652" s="38">
        <f>UPPER(Sheet1!J652 &amp; "," &amp; Sheet1!K652 &amp; "," &amp; Sheet1!L652)</f>
        <v/>
      </c>
      <c r="I652" s="45">
        <f>Sheet1!I652</f>
        <v/>
      </c>
      <c r="J652" s="5">
        <f>Sheet1!M652 &amp; "," &amp; TEXT(Sheet1!N652,"dd/mm/yy")</f>
        <v/>
      </c>
      <c r="K652" s="5" t="inlineStr">
        <is>
          <t>PRINTED</t>
        </is>
      </c>
      <c r="L652" s="30" t="inlineStr">
        <is>
          <t>25/03/2026</t>
        </is>
      </c>
      <c r="M652" s="30" t="inlineStr">
        <is>
          <t>MANISH KATARIA, VICE CONSUL</t>
        </is>
      </c>
      <c r="N652" s="30" t="inlineStr">
        <is>
          <t>26/02/2026</t>
        </is>
      </c>
    </row>
    <row r="653">
      <c r="A653" s="4">
        <f>Sheet1!A653 &amp; "/" &amp; "2025"</f>
        <v/>
      </c>
      <c r="B653" s="5">
        <f>Sheet1!E653</f>
        <v/>
      </c>
      <c r="C653" s="6">
        <f>UPPER(Sheet1!B653)</f>
        <v/>
      </c>
      <c r="D653" s="7">
        <f>IF(Sheet1!F653="F","FEMALE","MALE")</f>
        <v/>
      </c>
      <c r="E653" s="6">
        <f>UPPER(Sheet1!G653)</f>
        <v/>
      </c>
      <c r="F653" s="6">
        <f>UPPER(Sheet1!H653)</f>
        <v/>
      </c>
      <c r="G653" s="5">
        <f>TEXT(Sheet1!C653,"dd/mm/yyyy") &amp; "," &amp; Sheet1!D653</f>
        <v/>
      </c>
      <c r="H653" s="38">
        <f>UPPER(Sheet1!J653 &amp; "," &amp; Sheet1!K653 &amp; "," &amp; Sheet1!L653)</f>
        <v/>
      </c>
      <c r="I653" s="45">
        <f>Sheet1!I653</f>
        <v/>
      </c>
      <c r="J653" s="5">
        <f>Sheet1!M653 &amp; "," &amp; TEXT(Sheet1!N653,"dd/mm/yy")</f>
        <v/>
      </c>
      <c r="K653" s="5" t="inlineStr">
        <is>
          <t>PRINTED</t>
        </is>
      </c>
      <c r="L653" s="30" t="inlineStr">
        <is>
          <t>25/03/2026</t>
        </is>
      </c>
      <c r="M653" s="30" t="inlineStr">
        <is>
          <t>MANISH KATARIA, VICE CONSUL</t>
        </is>
      </c>
      <c r="N653" s="30" t="inlineStr">
        <is>
          <t>26/02/2026</t>
        </is>
      </c>
    </row>
    <row r="654">
      <c r="A654" s="4">
        <f>Sheet1!A654 &amp; "/" &amp; "2025"</f>
        <v/>
      </c>
      <c r="B654" s="5">
        <f>Sheet1!E654</f>
        <v/>
      </c>
      <c r="C654" s="6">
        <f>UPPER(Sheet1!B654)</f>
        <v/>
      </c>
      <c r="D654" s="7">
        <f>IF(Sheet1!F654="F","FEMALE","MALE")</f>
        <v/>
      </c>
      <c r="E654" s="6">
        <f>UPPER(Sheet1!G654)</f>
        <v/>
      </c>
      <c r="F654" s="6">
        <f>UPPER(Sheet1!H654)</f>
        <v/>
      </c>
      <c r="G654" s="5">
        <f>TEXT(Sheet1!C654,"dd/mm/yyyy") &amp; "," &amp; Sheet1!D654</f>
        <v/>
      </c>
      <c r="H654" s="38">
        <f>UPPER(Sheet1!J654 &amp; "," &amp; Sheet1!K654 &amp; "," &amp; Sheet1!L654)</f>
        <v/>
      </c>
      <c r="I654" s="45">
        <f>Sheet1!I654</f>
        <v/>
      </c>
      <c r="J654" s="5">
        <f>Sheet1!M654 &amp; "," &amp; TEXT(Sheet1!N654,"dd/mm/yy")</f>
        <v/>
      </c>
      <c r="K654" s="5" t="inlineStr">
        <is>
          <t>PRINTED</t>
        </is>
      </c>
      <c r="L654" s="30" t="inlineStr">
        <is>
          <t>25/03/2026</t>
        </is>
      </c>
      <c r="M654" s="30" t="inlineStr">
        <is>
          <t>MANISH KATARIA, VICE CONSUL</t>
        </is>
      </c>
      <c r="N654" s="30" t="inlineStr">
        <is>
          <t>26/02/2026</t>
        </is>
      </c>
    </row>
    <row r="655">
      <c r="A655" s="4">
        <f>Sheet1!A655 &amp; "/" &amp; "2025"</f>
        <v/>
      </c>
      <c r="B655" s="5">
        <f>Sheet1!E655</f>
        <v/>
      </c>
      <c r="C655" s="6">
        <f>UPPER(Sheet1!B655)</f>
        <v/>
      </c>
      <c r="D655" s="7">
        <f>IF(Sheet1!F655="F","FEMALE","MALE")</f>
        <v/>
      </c>
      <c r="E655" s="6">
        <f>UPPER(Sheet1!G655)</f>
        <v/>
      </c>
      <c r="F655" s="6">
        <f>UPPER(Sheet1!H655)</f>
        <v/>
      </c>
      <c r="G655" s="5">
        <f>TEXT(Sheet1!C655,"dd/mm/yyyy") &amp; "," &amp; Sheet1!D655</f>
        <v/>
      </c>
      <c r="H655" s="38">
        <f>UPPER(Sheet1!J655 &amp; "," &amp; Sheet1!K655 &amp; "," &amp; Sheet1!L655)</f>
        <v/>
      </c>
      <c r="I655" s="45">
        <f>Sheet1!I655</f>
        <v/>
      </c>
      <c r="J655" s="5">
        <f>Sheet1!M655 &amp; "," &amp; TEXT(Sheet1!N655,"dd/mm/yy")</f>
        <v/>
      </c>
      <c r="K655" s="5" t="inlineStr">
        <is>
          <t>PRINTED</t>
        </is>
      </c>
      <c r="L655" s="30" t="inlineStr">
        <is>
          <t>25/03/2026</t>
        </is>
      </c>
      <c r="M655" s="30" t="inlineStr">
        <is>
          <t>MANISH KATARIA, VICE CONSUL</t>
        </is>
      </c>
      <c r="N655" s="30" t="inlineStr">
        <is>
          <t>26/02/2026</t>
        </is>
      </c>
    </row>
    <row r="656">
      <c r="A656" s="4">
        <f>Sheet1!A656 &amp; "/" &amp; "2025"</f>
        <v/>
      </c>
      <c r="B656" s="5">
        <f>Sheet1!E656</f>
        <v/>
      </c>
      <c r="C656" s="6">
        <f>UPPER(Sheet1!B656)</f>
        <v/>
      </c>
      <c r="D656" s="7">
        <f>IF(Sheet1!F656="F","FEMALE","MALE")</f>
        <v/>
      </c>
      <c r="E656" s="6">
        <f>UPPER(Sheet1!G656)</f>
        <v/>
      </c>
      <c r="F656" s="6">
        <f>UPPER(Sheet1!H656)</f>
        <v/>
      </c>
      <c r="G656" s="5">
        <f>TEXT(Sheet1!C656,"dd/mm/yyyy") &amp; "," &amp; Sheet1!D656</f>
        <v/>
      </c>
      <c r="H656" s="38">
        <f>UPPER(Sheet1!J656 &amp; "," &amp; Sheet1!K656 &amp; "," &amp; Sheet1!L656)</f>
        <v/>
      </c>
      <c r="I656" s="45">
        <f>Sheet1!I656</f>
        <v/>
      </c>
      <c r="J656" s="5">
        <f>Sheet1!M656 &amp; "," &amp; TEXT(Sheet1!N656,"dd/mm/yy")</f>
        <v/>
      </c>
      <c r="K656" s="5" t="inlineStr">
        <is>
          <t>PRINTED</t>
        </is>
      </c>
      <c r="L656" s="30" t="inlineStr">
        <is>
          <t>25/03/2026</t>
        </is>
      </c>
      <c r="M656" s="30" t="inlineStr">
        <is>
          <t>MANISH KATARIA, VICE CONSUL</t>
        </is>
      </c>
      <c r="N656" s="30" t="inlineStr">
        <is>
          <t>26/02/2026</t>
        </is>
      </c>
    </row>
    <row r="657">
      <c r="A657" s="4">
        <f>Sheet1!A657 &amp; "/" &amp; "2025"</f>
        <v/>
      </c>
      <c r="B657" s="5">
        <f>Sheet1!E657</f>
        <v/>
      </c>
      <c r="C657" s="6">
        <f>UPPER(Sheet1!B657)</f>
        <v/>
      </c>
      <c r="D657" s="7">
        <f>IF(Sheet1!F657="F","FEMALE","MALE")</f>
        <v/>
      </c>
      <c r="E657" s="6">
        <f>UPPER(Sheet1!G657)</f>
        <v/>
      </c>
      <c r="F657" s="6">
        <f>UPPER(Sheet1!H657)</f>
        <v/>
      </c>
      <c r="G657" s="5">
        <f>TEXT(Sheet1!C657,"dd/mm/yyyy") &amp; "," &amp; Sheet1!D657</f>
        <v/>
      </c>
      <c r="H657" s="38">
        <f>UPPER(Sheet1!J657 &amp; "," &amp; Sheet1!K657 &amp; "," &amp; Sheet1!L657)</f>
        <v/>
      </c>
      <c r="I657" s="45">
        <f>Sheet1!I657</f>
        <v/>
      </c>
      <c r="J657" s="5">
        <f>Sheet1!M657 &amp; "," &amp; TEXT(Sheet1!N657,"dd/mm/yy")</f>
        <v/>
      </c>
      <c r="K657" s="5" t="inlineStr">
        <is>
          <t>PRINTED</t>
        </is>
      </c>
      <c r="L657" s="30" t="inlineStr">
        <is>
          <t>25/03/2026</t>
        </is>
      </c>
      <c r="M657" s="30" t="inlineStr">
        <is>
          <t>MANISH KATARIA, VICE CONSUL</t>
        </is>
      </c>
      <c r="N657" s="30" t="inlineStr">
        <is>
          <t>26/02/2026</t>
        </is>
      </c>
    </row>
    <row r="658">
      <c r="A658" s="4">
        <f>Sheet1!A658 &amp; "/" &amp; "2025"</f>
        <v/>
      </c>
      <c r="B658" s="5">
        <f>Sheet1!E658</f>
        <v/>
      </c>
      <c r="C658" s="6">
        <f>UPPER(Sheet1!B658)</f>
        <v/>
      </c>
      <c r="D658" s="7">
        <f>IF(Sheet1!F658="F","FEMALE","MALE")</f>
        <v/>
      </c>
      <c r="E658" s="6">
        <f>UPPER(Sheet1!G658)</f>
        <v/>
      </c>
      <c r="F658" s="6">
        <f>UPPER(Sheet1!H658)</f>
        <v/>
      </c>
      <c r="G658" s="5">
        <f>TEXT(Sheet1!C658,"dd/mm/yyyy") &amp; "," &amp; Sheet1!D658</f>
        <v/>
      </c>
      <c r="H658" s="38">
        <f>UPPER(Sheet1!J658 &amp; "," &amp; Sheet1!K658 &amp; "," &amp; Sheet1!L658)</f>
        <v/>
      </c>
      <c r="I658" s="45">
        <f>Sheet1!I658</f>
        <v/>
      </c>
      <c r="J658" s="5">
        <f>Sheet1!M658 &amp; "," &amp; TEXT(Sheet1!N658,"dd/mm/yy")</f>
        <v/>
      </c>
      <c r="K658" s="5" t="inlineStr">
        <is>
          <t>PRINTED</t>
        </is>
      </c>
      <c r="L658" s="1" t="inlineStr">
        <is>
          <t>25/03/2026</t>
        </is>
      </c>
      <c r="M658" s="30" t="inlineStr">
        <is>
          <t>MANISH KATARIA, VICE CONSUL</t>
        </is>
      </c>
      <c r="N658" s="1" t="inlineStr">
        <is>
          <t>26/02/2026</t>
        </is>
      </c>
    </row>
    <row r="659">
      <c r="A659" s="4">
        <f>Sheet1!A659 &amp; "/" &amp; "2025"</f>
        <v/>
      </c>
      <c r="B659" s="5">
        <f>Sheet1!E659</f>
        <v/>
      </c>
      <c r="C659" s="6">
        <f>UPPER(Sheet1!B659)</f>
        <v/>
      </c>
      <c r="D659" s="7">
        <f>IF(Sheet1!F659="F","FEMALE","MALE")</f>
        <v/>
      </c>
      <c r="E659" s="6">
        <f>UPPER(Sheet1!G659)</f>
        <v/>
      </c>
      <c r="F659" s="6">
        <f>UPPER(Sheet1!H659)</f>
        <v/>
      </c>
      <c r="G659" s="5">
        <f>TEXT(Sheet1!C659,"dd/mm/yyyy") &amp; "," &amp; Sheet1!D659</f>
        <v/>
      </c>
      <c r="H659" s="38">
        <f>UPPER(Sheet1!J659 &amp; "," &amp; Sheet1!K659 &amp; "," &amp; Sheet1!L659)</f>
        <v/>
      </c>
      <c r="I659" s="45">
        <f>Sheet1!I659</f>
        <v/>
      </c>
      <c r="J659" s="5">
        <f>Sheet1!M659 &amp; "," &amp; TEXT(Sheet1!N659,"dd/mm/yy")</f>
        <v/>
      </c>
      <c r="K659" s="5" t="inlineStr">
        <is>
          <t>PRINTED</t>
        </is>
      </c>
      <c r="L659" s="1" t="inlineStr">
        <is>
          <t>25/03/2026</t>
        </is>
      </c>
      <c r="M659" s="30" t="inlineStr">
        <is>
          <t>MANISH KATARIA, VICE CONSUL</t>
        </is>
      </c>
      <c r="N659" s="1" t="inlineStr">
        <is>
          <t>26/02/2026</t>
        </is>
      </c>
    </row>
    <row r="660">
      <c r="A660" s="4">
        <f>Sheet1!A660 &amp; "/" &amp; "2025"</f>
        <v/>
      </c>
      <c r="B660" s="5">
        <f>Sheet1!E660</f>
        <v/>
      </c>
      <c r="C660" s="6">
        <f>UPPER(Sheet1!B660)</f>
        <v/>
      </c>
      <c r="D660" s="7">
        <f>IF(Sheet1!F660="F","FEMALE","MALE")</f>
        <v/>
      </c>
      <c r="E660" s="6">
        <f>UPPER(Sheet1!G660)</f>
        <v/>
      </c>
      <c r="F660" s="6">
        <f>UPPER(Sheet1!H660)</f>
        <v/>
      </c>
      <c r="G660" s="5">
        <f>TEXT(Sheet1!C660,"dd/mm/yyyy") &amp; "," &amp; Sheet1!D660</f>
        <v/>
      </c>
      <c r="H660" s="38">
        <f>UPPER(Sheet1!J660 &amp; "," &amp; Sheet1!K660 &amp; "," &amp; Sheet1!L660)</f>
        <v/>
      </c>
      <c r="I660" s="45">
        <f>Sheet1!I660</f>
        <v/>
      </c>
      <c r="J660" s="5">
        <f>Sheet1!M660 &amp; "," &amp; TEXT(Sheet1!N660,"dd/mm/yy")</f>
        <v/>
      </c>
      <c r="K660" s="5" t="inlineStr">
        <is>
          <t>PRINTED</t>
        </is>
      </c>
      <c r="L660" s="1" t="inlineStr">
        <is>
          <t>25/03/2026</t>
        </is>
      </c>
      <c r="M660" s="30" t="inlineStr">
        <is>
          <t>MANISH KATARIA, VICE CONSUL</t>
        </is>
      </c>
      <c r="N660" s="1" t="inlineStr">
        <is>
          <t>26/02/2026</t>
        </is>
      </c>
    </row>
    <row r="661">
      <c r="A661" s="4">
        <f>Sheet1!A661 &amp; "/" &amp; "2025"</f>
        <v/>
      </c>
      <c r="B661" s="5">
        <f>Sheet1!E661</f>
        <v/>
      </c>
      <c r="C661" s="6">
        <f>UPPER(Sheet1!B661)</f>
        <v/>
      </c>
      <c r="D661" s="7">
        <f>IF(Sheet1!F661="F","FEMALE","MALE")</f>
        <v/>
      </c>
      <c r="E661" s="6">
        <f>UPPER(Sheet1!G661)</f>
        <v/>
      </c>
      <c r="F661" s="6">
        <f>UPPER(Sheet1!H661)</f>
        <v/>
      </c>
      <c r="G661" s="5">
        <f>TEXT(Sheet1!C661,"dd/mm/yyyy") &amp; "," &amp; Sheet1!D661</f>
        <v/>
      </c>
      <c r="H661" s="38">
        <f>UPPER(Sheet1!J661 &amp; "," &amp; Sheet1!K661 &amp; "," &amp; Sheet1!L661)</f>
        <v/>
      </c>
      <c r="I661" s="45">
        <f>Sheet1!I661</f>
        <v/>
      </c>
      <c r="J661" s="5">
        <f>Sheet1!M661 &amp; "," &amp; TEXT(Sheet1!N661,"dd/mm/yy")</f>
        <v/>
      </c>
      <c r="K661" s="5" t="inlineStr">
        <is>
          <t>PRINTED</t>
        </is>
      </c>
      <c r="L661" s="1" t="inlineStr">
        <is>
          <t>25/03/2026</t>
        </is>
      </c>
      <c r="M661" s="30" t="inlineStr">
        <is>
          <t>MANISH KATARIA, VICE CONSUL</t>
        </is>
      </c>
      <c r="N661" s="1" t="inlineStr">
        <is>
          <t>26/02/2026</t>
        </is>
      </c>
    </row>
    <row r="662">
      <c r="A662" s="4">
        <f>Sheet1!A662 &amp; "/" &amp; "2025"</f>
        <v/>
      </c>
      <c r="B662" s="5">
        <f>Sheet1!E662</f>
        <v/>
      </c>
      <c r="C662" s="6">
        <f>UPPER(Sheet1!B662)</f>
        <v/>
      </c>
      <c r="D662" s="7">
        <f>IF(Sheet1!F662="F","FEMALE","MALE")</f>
        <v/>
      </c>
      <c r="E662" s="6">
        <f>UPPER(Sheet1!G662)</f>
        <v/>
      </c>
      <c r="F662" s="6">
        <f>UPPER(Sheet1!H662)</f>
        <v/>
      </c>
      <c r="G662" s="5">
        <f>TEXT(Sheet1!C662,"dd/mm/yyyy") &amp; "," &amp; Sheet1!D662</f>
        <v/>
      </c>
      <c r="H662" s="38">
        <f>UPPER(Sheet1!J662 &amp; "," &amp; Sheet1!K662 &amp; "," &amp; Sheet1!L662)</f>
        <v/>
      </c>
      <c r="I662" s="45">
        <f>Sheet1!I662</f>
        <v/>
      </c>
      <c r="J662" s="5">
        <f>Sheet1!M662 &amp; "," &amp; TEXT(Sheet1!N662,"dd/mm/yy")</f>
        <v/>
      </c>
      <c r="K662" s="5" t="inlineStr">
        <is>
          <t>PRINTED</t>
        </is>
      </c>
      <c r="L662" s="1" t="inlineStr">
        <is>
          <t>25/03/2026</t>
        </is>
      </c>
      <c r="M662" s="30" t="inlineStr">
        <is>
          <t>MANISH KATARIA, VICE CONSUL</t>
        </is>
      </c>
      <c r="N662" s="1" t="inlineStr">
        <is>
          <t>26/02/2026</t>
        </is>
      </c>
    </row>
    <row r="663">
      <c r="A663" s="4">
        <f>Sheet1!A663 &amp; "/" &amp; "2025"</f>
        <v/>
      </c>
      <c r="B663" s="5">
        <f>Sheet1!E663</f>
        <v/>
      </c>
      <c r="C663" s="6">
        <f>UPPER(Sheet1!B663)</f>
        <v/>
      </c>
      <c r="D663" s="7">
        <f>IF(Sheet1!F663="F","FEMALE","MALE")</f>
        <v/>
      </c>
      <c r="E663" s="6">
        <f>UPPER(Sheet1!G663)</f>
        <v/>
      </c>
      <c r="F663" s="6">
        <f>UPPER(Sheet1!H663)</f>
        <v/>
      </c>
      <c r="G663" s="5">
        <f>TEXT(Sheet1!C663,"dd/mm/yyyy") &amp; "," &amp; Sheet1!D663</f>
        <v/>
      </c>
      <c r="H663" s="38">
        <f>UPPER(Sheet1!J663 &amp; "," &amp; Sheet1!K663 &amp; "," &amp; Sheet1!L663)</f>
        <v/>
      </c>
      <c r="I663" s="45">
        <f>Sheet1!I663</f>
        <v/>
      </c>
      <c r="J663" s="5">
        <f>Sheet1!M663 &amp; "," &amp; TEXT(Sheet1!N663,"dd/mm/yy")</f>
        <v/>
      </c>
      <c r="K663" s="5" t="inlineStr">
        <is>
          <t>PRINTED</t>
        </is>
      </c>
      <c r="L663" s="1" t="inlineStr">
        <is>
          <t>25/03/2026</t>
        </is>
      </c>
      <c r="M663" s="30" t="inlineStr">
        <is>
          <t>MANISH KATARIA, VICE CONSUL</t>
        </is>
      </c>
      <c r="N663" s="1" t="inlineStr">
        <is>
          <t>26/02/2026</t>
        </is>
      </c>
    </row>
    <row r="664">
      <c r="A664" s="4">
        <f>Sheet1!A664 &amp; "/" &amp; "2025"</f>
        <v/>
      </c>
      <c r="B664" s="5">
        <f>Sheet1!E664</f>
        <v/>
      </c>
      <c r="C664" s="6">
        <f>UPPER(Sheet1!B664)</f>
        <v/>
      </c>
      <c r="D664" s="7">
        <f>IF(Sheet1!F664="F","FEMALE","MALE")</f>
        <v/>
      </c>
      <c r="E664" s="6">
        <f>UPPER(Sheet1!G664)</f>
        <v/>
      </c>
      <c r="F664" s="6">
        <f>UPPER(Sheet1!H664)</f>
        <v/>
      </c>
      <c r="G664" s="5">
        <f>TEXT(Sheet1!C664,"dd/mm/yyyy") &amp; "," &amp; Sheet1!D664</f>
        <v/>
      </c>
      <c r="H664" s="38">
        <f>UPPER(Sheet1!J664 &amp; "," &amp; Sheet1!K664 &amp; "," &amp; Sheet1!L664)</f>
        <v/>
      </c>
      <c r="I664" s="45">
        <f>Sheet1!I664</f>
        <v/>
      </c>
      <c r="J664" s="5">
        <f>Sheet1!M664 &amp; "," &amp; TEXT(Sheet1!N664,"dd/mm/yy")</f>
        <v/>
      </c>
      <c r="K664" s="5" t="inlineStr">
        <is>
          <t>PRINTED</t>
        </is>
      </c>
      <c r="L664" s="1" t="inlineStr">
        <is>
          <t>25/03/2026</t>
        </is>
      </c>
      <c r="M664" s="30" t="inlineStr">
        <is>
          <t>MANISH KATARIA, VICE CONSUL</t>
        </is>
      </c>
      <c r="N664" s="1" t="inlineStr">
        <is>
          <t>26/02/2026</t>
        </is>
      </c>
    </row>
    <row r="665">
      <c r="A665" s="4">
        <f>Sheet1!A665 &amp; "/" &amp; "2025"</f>
        <v/>
      </c>
      <c r="B665" s="5">
        <f>Sheet1!E665</f>
        <v/>
      </c>
      <c r="C665" s="6">
        <f>UPPER(Sheet1!B665)</f>
        <v/>
      </c>
      <c r="D665" s="7">
        <f>IF(Sheet1!F665="F","FEMALE","MALE")</f>
        <v/>
      </c>
      <c r="E665" s="6">
        <f>UPPER(Sheet1!G665)</f>
        <v/>
      </c>
      <c r="F665" s="6">
        <f>UPPER(Sheet1!H665)</f>
        <v/>
      </c>
      <c r="G665" s="5">
        <f>TEXT(Sheet1!C665,"dd/mm/yyyy") &amp; "," &amp; Sheet1!D665</f>
        <v/>
      </c>
      <c r="H665" s="38">
        <f>UPPER(Sheet1!J665 &amp; "," &amp; Sheet1!K665 &amp; "," &amp; Sheet1!L665)</f>
        <v/>
      </c>
      <c r="I665" s="45">
        <f>Sheet1!I665</f>
        <v/>
      </c>
      <c r="J665" s="5">
        <f>Sheet1!M665 &amp; "," &amp; TEXT(Sheet1!N665,"dd/mm/yy")</f>
        <v/>
      </c>
      <c r="K665" s="5" t="inlineStr">
        <is>
          <t>PRINTED</t>
        </is>
      </c>
      <c r="L665" s="1" t="inlineStr">
        <is>
          <t>25/03/2026</t>
        </is>
      </c>
      <c r="M665" s="30" t="inlineStr">
        <is>
          <t>MANISH KATARIA, VICE CONSUL</t>
        </is>
      </c>
      <c r="N665" s="1" t="inlineStr">
        <is>
          <t>26/02/2026</t>
        </is>
      </c>
    </row>
    <row r="666">
      <c r="A666" s="4">
        <f>Sheet1!A666 &amp; "/" &amp; "2025"</f>
        <v/>
      </c>
      <c r="B666" s="5">
        <f>Sheet1!E666</f>
        <v/>
      </c>
      <c r="C666" s="6">
        <f>UPPER(Sheet1!B666)</f>
        <v/>
      </c>
      <c r="D666" s="7">
        <f>IF(Sheet1!F666="F","FEMALE","MALE")</f>
        <v/>
      </c>
      <c r="E666" s="6">
        <f>UPPER(Sheet1!G666)</f>
        <v/>
      </c>
      <c r="F666" s="6">
        <f>UPPER(Sheet1!H666)</f>
        <v/>
      </c>
      <c r="G666" s="5">
        <f>TEXT(Sheet1!C666,"dd/mm/yyyy") &amp; "," &amp; Sheet1!D666</f>
        <v/>
      </c>
      <c r="H666" s="38">
        <f>UPPER(Sheet1!J666 &amp; "," &amp; Sheet1!K666 &amp; "," &amp; Sheet1!L666)</f>
        <v/>
      </c>
      <c r="I666" s="45">
        <f>Sheet1!I666</f>
        <v/>
      </c>
      <c r="J666" s="5">
        <f>Sheet1!M666 &amp; "," &amp; TEXT(Sheet1!N666,"dd/mm/yy")</f>
        <v/>
      </c>
      <c r="K666" s="5" t="inlineStr">
        <is>
          <t>PRINTED</t>
        </is>
      </c>
      <c r="L666" s="1" t="inlineStr">
        <is>
          <t>25/03/2026</t>
        </is>
      </c>
      <c r="M666" s="30" t="inlineStr">
        <is>
          <t>MANISH KATARIA, VICE CONSUL</t>
        </is>
      </c>
      <c r="N666" s="1" t="inlineStr">
        <is>
          <t>26/02/2026</t>
        </is>
      </c>
    </row>
    <row r="667">
      <c r="A667" s="4">
        <f>Sheet1!A667 &amp; "/" &amp; "2025"</f>
        <v/>
      </c>
      <c r="B667" s="5">
        <f>Sheet1!E667</f>
        <v/>
      </c>
      <c r="C667" s="6">
        <f>UPPER(Sheet1!B667)</f>
        <v/>
      </c>
      <c r="D667" s="7">
        <f>IF(Sheet1!F667="F","FEMALE","MALE")</f>
        <v/>
      </c>
      <c r="E667" s="6">
        <f>UPPER(Sheet1!G667)</f>
        <v/>
      </c>
      <c r="F667" s="6">
        <f>UPPER(Sheet1!H667)</f>
        <v/>
      </c>
      <c r="G667" s="5">
        <f>TEXT(Sheet1!C667,"dd/mm/yyyy") &amp; "," &amp; Sheet1!D667</f>
        <v/>
      </c>
      <c r="H667" s="38">
        <f>UPPER(Sheet1!J667 &amp; "," &amp; Sheet1!K667 &amp; "," &amp; Sheet1!L667)</f>
        <v/>
      </c>
      <c r="I667" s="45">
        <f>Sheet1!I667</f>
        <v/>
      </c>
      <c r="J667" s="5">
        <f>Sheet1!M667 &amp; "," &amp; TEXT(Sheet1!N667,"dd/mm/yy")</f>
        <v/>
      </c>
      <c r="K667" s="5" t="inlineStr">
        <is>
          <t>PRINTED</t>
        </is>
      </c>
      <c r="L667" s="1" t="inlineStr">
        <is>
          <t>25/03/2026</t>
        </is>
      </c>
      <c r="M667" s="30" t="inlineStr">
        <is>
          <t>MANISH KATARIA, VICE CONSUL</t>
        </is>
      </c>
      <c r="N667" s="1" t="inlineStr">
        <is>
          <t>26/02/2026</t>
        </is>
      </c>
    </row>
    <row r="668">
      <c r="A668" s="4">
        <f>Sheet1!A668 &amp; "/" &amp; "2025"</f>
        <v/>
      </c>
      <c r="B668" s="5">
        <f>Sheet1!E668</f>
        <v/>
      </c>
      <c r="C668" s="6">
        <f>UPPER(Sheet1!B668)</f>
        <v/>
      </c>
      <c r="D668" s="7">
        <f>IF(Sheet1!F668="F","FEMALE","MALE")</f>
        <v/>
      </c>
      <c r="E668" s="6">
        <f>UPPER(Sheet1!G668)</f>
        <v/>
      </c>
      <c r="F668" s="6">
        <f>UPPER(Sheet1!H668)</f>
        <v/>
      </c>
      <c r="G668" s="5">
        <f>TEXT(Sheet1!C668,"dd/mm/yyyy") &amp; "," &amp; Sheet1!D668</f>
        <v/>
      </c>
      <c r="H668" s="38">
        <f>UPPER(Sheet1!J668 &amp; "," &amp; Sheet1!K668 &amp; "," &amp; Sheet1!L668)</f>
        <v/>
      </c>
      <c r="I668" s="45">
        <f>Sheet1!I668</f>
        <v/>
      </c>
      <c r="J668" s="5">
        <f>Sheet1!M668 &amp; "," &amp; TEXT(Sheet1!N668,"dd/mm/yy")</f>
        <v/>
      </c>
      <c r="K668" s="5" t="inlineStr">
        <is>
          <t>PRINTED</t>
        </is>
      </c>
      <c r="L668" s="1" t="inlineStr">
        <is>
          <t>25/03/2026</t>
        </is>
      </c>
      <c r="M668" s="30" t="inlineStr">
        <is>
          <t>MANISH KATARIA, VICE CONSUL</t>
        </is>
      </c>
      <c r="N668" s="1" t="inlineStr">
        <is>
          <t>26/02/2026</t>
        </is>
      </c>
    </row>
    <row r="669">
      <c r="A669" s="4">
        <f>Sheet1!A669 &amp; "/" &amp; "2025"</f>
        <v/>
      </c>
      <c r="B669" s="5">
        <f>Sheet1!E669</f>
        <v/>
      </c>
      <c r="C669" s="6">
        <f>UPPER(Sheet1!B669)</f>
        <v/>
      </c>
      <c r="D669" s="7">
        <f>IF(Sheet1!F669="F","FEMALE","MALE")</f>
        <v/>
      </c>
      <c r="E669" s="6">
        <f>UPPER(Sheet1!G669)</f>
        <v/>
      </c>
      <c r="F669" s="6">
        <f>UPPER(Sheet1!H669)</f>
        <v/>
      </c>
      <c r="G669" s="5">
        <f>TEXT(Sheet1!C669,"dd/mm/yyyy") &amp; "," &amp; Sheet1!D669</f>
        <v/>
      </c>
      <c r="H669" s="38">
        <f>UPPER(Sheet1!J669 &amp; "," &amp; Sheet1!K669 &amp; "," &amp; Sheet1!L669)</f>
        <v/>
      </c>
      <c r="I669" s="45">
        <f>Sheet1!I669</f>
        <v/>
      </c>
      <c r="J669" s="5">
        <f>Sheet1!M669 &amp; "," &amp; TEXT(Sheet1!N669,"dd/mm/yy")</f>
        <v/>
      </c>
      <c r="K669" s="5" t="inlineStr">
        <is>
          <t>PRINTED</t>
        </is>
      </c>
      <c r="L669" s="1" t="inlineStr">
        <is>
          <t>25/03/2026</t>
        </is>
      </c>
      <c r="M669" s="30" t="inlineStr">
        <is>
          <t>MANISH KATARIA, VICE CONSUL</t>
        </is>
      </c>
      <c r="N669" s="1" t="inlineStr">
        <is>
          <t>26/02/2026</t>
        </is>
      </c>
    </row>
    <row r="670">
      <c r="A670" s="4">
        <f>Sheet1!A670 &amp; "/" &amp; "2025"</f>
        <v/>
      </c>
      <c r="B670" s="5">
        <f>Sheet1!E670</f>
        <v/>
      </c>
      <c r="C670" s="6">
        <f>UPPER(Sheet1!B670)</f>
        <v/>
      </c>
      <c r="D670" s="7">
        <f>IF(Sheet1!F670="F","FEMALE","MALE")</f>
        <v/>
      </c>
      <c r="E670" s="6">
        <f>UPPER(Sheet1!G670)</f>
        <v/>
      </c>
      <c r="F670" s="6">
        <f>UPPER(Sheet1!H670)</f>
        <v/>
      </c>
      <c r="G670" s="5">
        <f>TEXT(Sheet1!C670,"dd/mm/yyyy") &amp; "," &amp; Sheet1!D670</f>
        <v/>
      </c>
      <c r="H670" s="38">
        <f>UPPER(Sheet1!J670 &amp; "," &amp; Sheet1!K670 &amp; "," &amp; Sheet1!L670)</f>
        <v/>
      </c>
      <c r="I670" s="45">
        <f>Sheet1!I670</f>
        <v/>
      </c>
      <c r="J670" s="5">
        <f>Sheet1!M670 &amp; "," &amp; TEXT(Sheet1!N670,"dd/mm/yy")</f>
        <v/>
      </c>
      <c r="K670" s="5" t="inlineStr">
        <is>
          <t>PRINTED</t>
        </is>
      </c>
      <c r="L670" s="1" t="inlineStr">
        <is>
          <t>25/03/2026</t>
        </is>
      </c>
      <c r="M670" s="30" t="inlineStr">
        <is>
          <t>MANISH KATARIA, VICE CONSUL</t>
        </is>
      </c>
      <c r="N670" s="1" t="inlineStr">
        <is>
          <t>26/02/2026</t>
        </is>
      </c>
    </row>
    <row r="671">
      <c r="A671" s="4">
        <f>Sheet1!A671 &amp; "/" &amp; "2025"</f>
        <v/>
      </c>
      <c r="B671" s="5">
        <f>Sheet1!E671</f>
        <v/>
      </c>
      <c r="C671" s="6">
        <f>UPPER(Sheet1!B671)</f>
        <v/>
      </c>
      <c r="D671" s="7">
        <f>IF(Sheet1!F671="F","FEMALE","MALE")</f>
        <v/>
      </c>
      <c r="E671" s="6">
        <f>UPPER(Sheet1!G671)</f>
        <v/>
      </c>
      <c r="F671" s="6">
        <f>UPPER(Sheet1!H671)</f>
        <v/>
      </c>
      <c r="G671" s="5">
        <f>TEXT(Sheet1!C671,"dd/mm/yyyy") &amp; "," &amp; Sheet1!D671</f>
        <v/>
      </c>
      <c r="H671" s="38">
        <f>UPPER(Sheet1!J671 &amp; "," &amp; Sheet1!K671 &amp; "," &amp; Sheet1!L671)</f>
        <v/>
      </c>
      <c r="I671" s="45">
        <f>Sheet1!I671</f>
        <v/>
      </c>
      <c r="J671" s="5">
        <f>Sheet1!M671 &amp; "," &amp; TEXT(Sheet1!N671,"dd/mm/yy")</f>
        <v/>
      </c>
      <c r="K671" s="5" t="inlineStr">
        <is>
          <t>PRINTED</t>
        </is>
      </c>
      <c r="L671" s="1" t="inlineStr">
        <is>
          <t>25/03/2026</t>
        </is>
      </c>
      <c r="M671" s="30" t="inlineStr">
        <is>
          <t>MANISH KATARIA, VICE CONSUL</t>
        </is>
      </c>
      <c r="N671" s="1" t="inlineStr">
        <is>
          <t>26/02/2026</t>
        </is>
      </c>
    </row>
    <row r="672">
      <c r="A672" s="4">
        <f>Sheet1!A672 &amp; "/" &amp; "2025"</f>
        <v/>
      </c>
      <c r="B672" s="5">
        <f>Sheet1!E672</f>
        <v/>
      </c>
      <c r="C672" s="6">
        <f>UPPER(Sheet1!B672)</f>
        <v/>
      </c>
      <c r="D672" s="7">
        <f>IF(Sheet1!F672="F","FEMALE","MALE")</f>
        <v/>
      </c>
      <c r="E672" s="6">
        <f>UPPER(Sheet1!G672)</f>
        <v/>
      </c>
      <c r="F672" s="6">
        <f>UPPER(Sheet1!H672)</f>
        <v/>
      </c>
      <c r="G672" s="5">
        <f>TEXT(Sheet1!C672,"dd/mm/yyyy") &amp; "," &amp; Sheet1!D672</f>
        <v/>
      </c>
      <c r="H672" s="38">
        <f>UPPER(Sheet1!J672 &amp; "," &amp; Sheet1!K672 &amp; "," &amp; Sheet1!L672)</f>
        <v/>
      </c>
      <c r="I672" s="45">
        <f>Sheet1!I672</f>
        <v/>
      </c>
      <c r="J672" s="5">
        <f>Sheet1!M672 &amp; "," &amp; TEXT(Sheet1!N672,"dd/mm/yy")</f>
        <v/>
      </c>
      <c r="K672" s="5" t="inlineStr">
        <is>
          <t>PRINTED</t>
        </is>
      </c>
      <c r="L672" s="1" t="inlineStr">
        <is>
          <t>25/03/2026</t>
        </is>
      </c>
      <c r="M672" s="30" t="inlineStr">
        <is>
          <t>MANISH KATARIA, VICE CONSUL</t>
        </is>
      </c>
      <c r="N672" s="1" t="inlineStr">
        <is>
          <t>26/02/2026</t>
        </is>
      </c>
    </row>
    <row r="673">
      <c r="A673" s="4">
        <f>Sheet1!A673 &amp; "/" &amp; "2025"</f>
        <v/>
      </c>
      <c r="B673" s="5">
        <f>Sheet1!E673</f>
        <v/>
      </c>
      <c r="C673" s="6">
        <f>UPPER(Sheet1!B673)</f>
        <v/>
      </c>
      <c r="D673" s="7">
        <f>IF(Sheet1!F673="F","FEMALE","MALE")</f>
        <v/>
      </c>
      <c r="E673" s="6">
        <f>UPPER(Sheet1!G673)</f>
        <v/>
      </c>
      <c r="F673" s="6">
        <f>UPPER(Sheet1!H673)</f>
        <v/>
      </c>
      <c r="G673" s="5">
        <f>TEXT(Sheet1!C673,"dd/mm/yyyy") &amp; "," &amp; Sheet1!D673</f>
        <v/>
      </c>
      <c r="H673" s="38">
        <f>UPPER(Sheet1!J673 &amp; "," &amp; Sheet1!K673 &amp; "," &amp; Sheet1!L673)</f>
        <v/>
      </c>
      <c r="I673" s="45">
        <f>Sheet1!I673</f>
        <v/>
      </c>
      <c r="J673" s="5">
        <f>Sheet1!M673 &amp; "," &amp; TEXT(Sheet1!N673,"dd/mm/yy")</f>
        <v/>
      </c>
      <c r="K673" s="5" t="inlineStr">
        <is>
          <t>PRINTED</t>
        </is>
      </c>
      <c r="L673" s="1" t="inlineStr">
        <is>
          <t>25/03/2026</t>
        </is>
      </c>
      <c r="M673" s="30" t="inlineStr">
        <is>
          <t>MANISH KATARIA, VICE CONSUL</t>
        </is>
      </c>
      <c r="N673" s="1" t="inlineStr">
        <is>
          <t>26/02/2026</t>
        </is>
      </c>
    </row>
    <row r="674" ht="30" customHeight="1">
      <c r="A674" s="4">
        <f>Sheet1!A674 &amp; "/" &amp; "2025"</f>
        <v/>
      </c>
      <c r="B674" s="5">
        <f>Sheet1!E674</f>
        <v/>
      </c>
      <c r="C674" s="6">
        <f>UPPER(Sheet1!B674)</f>
        <v/>
      </c>
      <c r="D674" s="7">
        <f>IF(Sheet1!F674="F","FEMALE","MALE")</f>
        <v/>
      </c>
      <c r="E674" s="6">
        <f>UPPER(Sheet1!G674)</f>
        <v/>
      </c>
      <c r="F674" s="6">
        <f>UPPER(Sheet1!H674)</f>
        <v/>
      </c>
      <c r="G674" s="5">
        <f>TEXT(Sheet1!C674,"dd/mm/yyyy") &amp; "," &amp; Sheet1!D674</f>
        <v/>
      </c>
      <c r="H674" s="38">
        <f>UPPER(Sheet1!J674 &amp; "," &amp; Sheet1!K674 &amp; "," &amp; Sheet1!L674)</f>
        <v/>
      </c>
      <c r="I674" s="45">
        <f>Sheet1!I674</f>
        <v/>
      </c>
      <c r="J674" s="5">
        <f>Sheet1!M674 &amp; "," &amp; TEXT(Sheet1!N674,"dd/mm/yy")</f>
        <v/>
      </c>
      <c r="K674" s="5" t="inlineStr">
        <is>
          <t>PRINTED</t>
        </is>
      </c>
      <c r="L674" s="1" t="inlineStr">
        <is>
          <t>25/03/2026</t>
        </is>
      </c>
      <c r="M674" s="30" t="inlineStr">
        <is>
          <t>MANISH KATARIA, VICE CONSUL</t>
        </is>
      </c>
      <c r="N674" s="1" t="inlineStr">
        <is>
          <t>26/02/2026</t>
        </is>
      </c>
    </row>
    <row r="675">
      <c r="A675" s="4">
        <f>Sheet1!A675 &amp; "/" &amp; "2025"</f>
        <v/>
      </c>
      <c r="B675" s="5">
        <f>Sheet1!E675</f>
        <v/>
      </c>
      <c r="C675" s="6">
        <f>UPPER(Sheet1!B675)</f>
        <v/>
      </c>
      <c r="D675" s="7">
        <f>IF(Sheet1!F675="F","FEMALE","MALE")</f>
        <v/>
      </c>
      <c r="E675" s="6">
        <f>UPPER(Sheet1!G675)</f>
        <v/>
      </c>
      <c r="F675" s="6">
        <f>UPPER(Sheet1!H675)</f>
        <v/>
      </c>
      <c r="G675" s="5">
        <f>TEXT(Sheet1!C675,"dd/mm/yyyy") &amp; "," &amp; Sheet1!D675</f>
        <v/>
      </c>
      <c r="H675" s="38">
        <f>UPPER(Sheet1!J675 &amp; "," &amp; Sheet1!K675 &amp; "," &amp; Sheet1!L675)</f>
        <v/>
      </c>
      <c r="I675" s="45">
        <f>Sheet1!I675</f>
        <v/>
      </c>
      <c r="J675" s="5">
        <f>Sheet1!M675 &amp; "," &amp; TEXT(Sheet1!N675,"dd/mm/yy")</f>
        <v/>
      </c>
      <c r="K675" s="5" t="inlineStr">
        <is>
          <t>PRINTED</t>
        </is>
      </c>
      <c r="L675" s="1" t="inlineStr">
        <is>
          <t>25/03/2026</t>
        </is>
      </c>
      <c r="M675" s="30" t="inlineStr">
        <is>
          <t>MANISH KATARIA, VICE CONSUL</t>
        </is>
      </c>
      <c r="N675" s="1" t="inlineStr">
        <is>
          <t>26/02/2026</t>
        </is>
      </c>
    </row>
    <row r="676">
      <c r="A676" s="4">
        <f>Sheet1!A676 &amp; "/" &amp; "2025"</f>
        <v/>
      </c>
      <c r="B676" s="5">
        <f>Sheet1!E676</f>
        <v/>
      </c>
      <c r="C676" s="6">
        <f>UPPER(Sheet1!B676)</f>
        <v/>
      </c>
      <c r="D676" s="7">
        <f>IF(Sheet1!F676="F","FEMALE","MALE")</f>
        <v/>
      </c>
      <c r="E676" s="6">
        <f>UPPER(Sheet1!G676)</f>
        <v/>
      </c>
      <c r="F676" s="6">
        <f>UPPER(Sheet1!H676)</f>
        <v/>
      </c>
      <c r="G676" s="5">
        <f>TEXT(Sheet1!C676,"dd/mm/yyyy") &amp; "," &amp; Sheet1!D676</f>
        <v/>
      </c>
      <c r="H676" s="38">
        <f>UPPER(Sheet1!J676 &amp; "," &amp; Sheet1!K676 &amp; "," &amp; Sheet1!L676)</f>
        <v/>
      </c>
      <c r="I676" s="45">
        <f>Sheet1!I676</f>
        <v/>
      </c>
      <c r="J676" s="5">
        <f>Sheet1!M676 &amp; "," &amp; TEXT(Sheet1!N676,"dd/mm/yy")</f>
        <v/>
      </c>
      <c r="K676" s="5" t="inlineStr">
        <is>
          <t>PRINTED</t>
        </is>
      </c>
      <c r="L676" s="1" t="inlineStr">
        <is>
          <t>25/03/2026</t>
        </is>
      </c>
      <c r="M676" s="30" t="inlineStr">
        <is>
          <t>MANISH KATARIA, VICE CONSUL</t>
        </is>
      </c>
      <c r="N676" s="1" t="inlineStr">
        <is>
          <t>26/02/2026</t>
        </is>
      </c>
    </row>
    <row r="677">
      <c r="A677" s="4">
        <f>Sheet1!A677 &amp; "/" &amp; "2025"</f>
        <v/>
      </c>
      <c r="B677" s="5">
        <f>Sheet1!E677</f>
        <v/>
      </c>
      <c r="C677" s="6">
        <f>UPPER(Sheet1!B677)</f>
        <v/>
      </c>
      <c r="D677" s="7">
        <f>IF(Sheet1!F677="F","FEMALE","MALE")</f>
        <v/>
      </c>
      <c r="E677" s="6">
        <f>UPPER(Sheet1!G677)</f>
        <v/>
      </c>
      <c r="F677" s="6">
        <f>UPPER(Sheet1!H677)</f>
        <v/>
      </c>
      <c r="G677" s="5">
        <f>TEXT(Sheet1!C677,"dd/mm/yyyy") &amp; "," &amp; Sheet1!D677</f>
        <v/>
      </c>
      <c r="H677" s="38">
        <f>UPPER(Sheet1!J677 &amp; "," &amp; Sheet1!K677 &amp; "," &amp; Sheet1!L677)</f>
        <v/>
      </c>
      <c r="I677" s="45">
        <f>Sheet1!I677</f>
        <v/>
      </c>
      <c r="J677" s="5">
        <f>Sheet1!M677 &amp; "," &amp; TEXT(Sheet1!N677,"dd/mm/yy")</f>
        <v/>
      </c>
      <c r="K677" s="5" t="inlineStr">
        <is>
          <t>PRINTED</t>
        </is>
      </c>
      <c r="L677" s="1" t="inlineStr">
        <is>
          <t>25/03/2026</t>
        </is>
      </c>
      <c r="M677" s="30" t="inlineStr">
        <is>
          <t>MANISH KATARIA, VICE CONSUL</t>
        </is>
      </c>
      <c r="N677" s="1" t="inlineStr">
        <is>
          <t>26/02/2026</t>
        </is>
      </c>
    </row>
    <row r="678">
      <c r="A678" s="4">
        <f>Sheet1!A678 &amp; "/" &amp; "2025"</f>
        <v/>
      </c>
      <c r="B678" s="5">
        <f>Sheet1!E678</f>
        <v/>
      </c>
      <c r="C678" s="6">
        <f>UPPER(Sheet1!B678)</f>
        <v/>
      </c>
      <c r="D678" s="7">
        <f>IF(Sheet1!F678="F","FEMALE","MALE")</f>
        <v/>
      </c>
      <c r="E678" s="6">
        <f>UPPER(Sheet1!G678)</f>
        <v/>
      </c>
      <c r="F678" s="6">
        <f>UPPER(Sheet1!H678)</f>
        <v/>
      </c>
      <c r="G678" s="5">
        <f>TEXT(Sheet1!C678,"dd/mm/yyyy") &amp; "," &amp; Sheet1!D678</f>
        <v/>
      </c>
      <c r="H678" s="38">
        <f>UPPER(Sheet1!J678 &amp; "," &amp; Sheet1!K678 &amp; "," &amp; Sheet1!L678)</f>
        <v/>
      </c>
      <c r="I678" s="45">
        <f>Sheet1!I678</f>
        <v/>
      </c>
      <c r="J678" s="5">
        <f>Sheet1!M678 &amp; "," &amp; TEXT(Sheet1!N678,"dd/mm/yy")</f>
        <v/>
      </c>
      <c r="K678" s="5" t="inlineStr">
        <is>
          <t>PRINTED</t>
        </is>
      </c>
      <c r="L678" s="1" t="inlineStr">
        <is>
          <t>25/03/2026</t>
        </is>
      </c>
      <c r="M678" s="30" t="inlineStr">
        <is>
          <t>MANISH KATARIA, VICE CONSUL</t>
        </is>
      </c>
      <c r="N678" s="1" t="inlineStr">
        <is>
          <t>26/02/2026</t>
        </is>
      </c>
    </row>
    <row r="679">
      <c r="A679" s="4">
        <f>Sheet1!A679 &amp; "/" &amp; "2025"</f>
        <v/>
      </c>
      <c r="B679" s="5">
        <f>Sheet1!E679</f>
        <v/>
      </c>
      <c r="C679" s="6">
        <f>UPPER(Sheet1!B679)</f>
        <v/>
      </c>
      <c r="D679" s="7">
        <f>IF(Sheet1!F679="F","FEMALE","MALE")</f>
        <v/>
      </c>
      <c r="E679" s="6">
        <f>UPPER(Sheet1!G679)</f>
        <v/>
      </c>
      <c r="F679" s="6">
        <f>UPPER(Sheet1!H679)</f>
        <v/>
      </c>
      <c r="G679" s="5">
        <f>TEXT(Sheet1!C679,"dd/mm/yyyy") &amp; "," &amp; Sheet1!D679</f>
        <v/>
      </c>
      <c r="H679" s="38">
        <f>UPPER(Sheet1!J679 &amp; "," &amp; Sheet1!K679 &amp; "," &amp; Sheet1!L679)</f>
        <v/>
      </c>
      <c r="I679" s="45">
        <f>Sheet1!I679</f>
        <v/>
      </c>
      <c r="J679" s="5">
        <f>Sheet1!M679 &amp; "," &amp; TEXT(Sheet1!N679,"dd/mm/yy")</f>
        <v/>
      </c>
      <c r="K679" s="5" t="inlineStr">
        <is>
          <t>PRINTED</t>
        </is>
      </c>
      <c r="L679" s="1" t="inlineStr">
        <is>
          <t>25/03/2026</t>
        </is>
      </c>
      <c r="M679" s="30" t="inlineStr">
        <is>
          <t>MANISH KATARIA, VICE CONSUL</t>
        </is>
      </c>
      <c r="N679" s="1" t="inlineStr">
        <is>
          <t>26/02/2026</t>
        </is>
      </c>
    </row>
    <row r="680">
      <c r="A680" s="4">
        <f>Sheet1!A680 &amp; "/" &amp; "2025"</f>
        <v/>
      </c>
      <c r="B680" s="5">
        <f>Sheet1!E680</f>
        <v/>
      </c>
      <c r="C680" s="6">
        <f>UPPER(Sheet1!B680)</f>
        <v/>
      </c>
      <c r="D680" s="7">
        <f>IF(Sheet1!F680="F","FEMALE","MALE")</f>
        <v/>
      </c>
      <c r="E680" s="6">
        <f>UPPER(Sheet1!G680)</f>
        <v/>
      </c>
      <c r="F680" s="6">
        <f>UPPER(Sheet1!H680)</f>
        <v/>
      </c>
      <c r="G680" s="5">
        <f>TEXT(Sheet1!C680,"dd/mm/yyyy") &amp; "," &amp; Sheet1!D680</f>
        <v/>
      </c>
      <c r="H680" s="38">
        <f>UPPER(Sheet1!J680 &amp; "," &amp; Sheet1!K680 &amp; "," &amp; Sheet1!L680)</f>
        <v/>
      </c>
      <c r="I680" s="45">
        <f>Sheet1!I680</f>
        <v/>
      </c>
      <c r="J680" s="5">
        <f>Sheet1!M680 &amp; "," &amp; TEXT(Sheet1!N680,"dd/mm/yy")</f>
        <v/>
      </c>
      <c r="K680" s="5" t="inlineStr">
        <is>
          <t>PRINTED</t>
        </is>
      </c>
      <c r="L680" s="1" t="inlineStr">
        <is>
          <t>25/03/2026</t>
        </is>
      </c>
      <c r="M680" s="30" t="inlineStr">
        <is>
          <t>MANISH KATARIA, VICE CONSUL</t>
        </is>
      </c>
      <c r="N680" s="1" t="inlineStr">
        <is>
          <t>26/02/2026</t>
        </is>
      </c>
    </row>
    <row r="681">
      <c r="A681" s="4">
        <f>Sheet1!A681 &amp; "/" &amp; "2025"</f>
        <v/>
      </c>
      <c r="B681" s="5">
        <f>Sheet1!E681</f>
        <v/>
      </c>
      <c r="C681" s="6">
        <f>UPPER(Sheet1!B681)</f>
        <v/>
      </c>
      <c r="D681" s="7">
        <f>IF(Sheet1!F681="F","FEMALE","MALE")</f>
        <v/>
      </c>
      <c r="E681" s="6">
        <f>UPPER(Sheet1!G681)</f>
        <v/>
      </c>
      <c r="F681" s="6">
        <f>UPPER(Sheet1!H681)</f>
        <v/>
      </c>
      <c r="G681" s="5">
        <f>TEXT(Sheet1!C681,"dd/mm/yyyy") &amp; "," &amp; Sheet1!D681</f>
        <v/>
      </c>
      <c r="H681" s="38">
        <f>UPPER(Sheet1!J681 &amp; "," &amp; Sheet1!K681 &amp; "," &amp; Sheet1!L681)</f>
        <v/>
      </c>
      <c r="I681" s="45">
        <f>Sheet1!I681</f>
        <v/>
      </c>
      <c r="J681" s="5">
        <f>Sheet1!M681 &amp; "," &amp; TEXT(Sheet1!N681,"dd/mm/yy")</f>
        <v/>
      </c>
      <c r="K681" s="5" t="inlineStr">
        <is>
          <t>PRINTED</t>
        </is>
      </c>
      <c r="L681" s="1" t="inlineStr">
        <is>
          <t>25/03/2026</t>
        </is>
      </c>
      <c r="M681" s="30" t="inlineStr">
        <is>
          <t>MANISH KATARIA, VICE CONSUL</t>
        </is>
      </c>
      <c r="N681" s="1" t="inlineStr">
        <is>
          <t>26/02/2026</t>
        </is>
      </c>
    </row>
    <row r="682">
      <c r="A682" s="4">
        <f>Sheet1!A682 &amp; "/" &amp; "2025"</f>
        <v/>
      </c>
      <c r="B682" s="5">
        <f>Sheet1!E682</f>
        <v/>
      </c>
      <c r="C682" s="6">
        <f>UPPER(Sheet1!B682)</f>
        <v/>
      </c>
      <c r="D682" s="7">
        <f>IF(Sheet1!F682="F","FEMALE","MALE")</f>
        <v/>
      </c>
      <c r="E682" s="6">
        <f>UPPER(Sheet1!G682)</f>
        <v/>
      </c>
      <c r="F682" s="6">
        <f>UPPER(Sheet1!H682)</f>
        <v/>
      </c>
      <c r="G682" s="5">
        <f>TEXT(Sheet1!C682,"dd/mm/yyyy") &amp; "," &amp; Sheet1!D682</f>
        <v/>
      </c>
      <c r="H682" s="38">
        <f>UPPER(Sheet1!J682 &amp; "," &amp; Sheet1!K682 &amp; "," &amp; Sheet1!L682)</f>
        <v/>
      </c>
      <c r="I682" s="45">
        <f>Sheet1!I682</f>
        <v/>
      </c>
      <c r="J682" s="5">
        <f>Sheet1!M682 &amp; "," &amp; TEXT(Sheet1!N682,"dd/mm/yy")</f>
        <v/>
      </c>
      <c r="K682" s="5" t="inlineStr">
        <is>
          <t>PRINTED</t>
        </is>
      </c>
      <c r="L682" s="1" t="inlineStr">
        <is>
          <t>25/03/2026</t>
        </is>
      </c>
      <c r="M682" s="30" t="inlineStr">
        <is>
          <t>MANISH KATARIA, VICE CONSUL</t>
        </is>
      </c>
      <c r="N682" s="1" t="inlineStr">
        <is>
          <t>26/02/2026</t>
        </is>
      </c>
    </row>
    <row r="683">
      <c r="A683" s="4">
        <f>Sheet1!A683 &amp; "/" &amp; "2025"</f>
        <v/>
      </c>
      <c r="B683" s="5">
        <f>Sheet1!E683</f>
        <v/>
      </c>
      <c r="C683" s="6">
        <f>UPPER(Sheet1!B683)</f>
        <v/>
      </c>
      <c r="D683" s="7">
        <f>IF(Sheet1!F683="F","FEMALE","MALE")</f>
        <v/>
      </c>
      <c r="E683" s="6">
        <f>UPPER(Sheet1!G683)</f>
        <v/>
      </c>
      <c r="F683" s="6">
        <f>UPPER(Sheet1!H683)</f>
        <v/>
      </c>
      <c r="G683" s="5">
        <f>TEXT(Sheet1!C683,"dd/mm/yyyy") &amp; "," &amp; Sheet1!D683</f>
        <v/>
      </c>
      <c r="H683" s="38">
        <f>UPPER(Sheet1!J683 &amp; "," &amp; Sheet1!K683 &amp; "," &amp; Sheet1!L683)</f>
        <v/>
      </c>
      <c r="I683" s="45">
        <f>Sheet1!I683</f>
        <v/>
      </c>
      <c r="J683" s="5">
        <f>Sheet1!M683 &amp; "," &amp; TEXT(Sheet1!N683,"dd/mm/yy")</f>
        <v/>
      </c>
      <c r="K683" s="5" t="inlineStr">
        <is>
          <t>PRINTED</t>
        </is>
      </c>
      <c r="L683" s="1" t="inlineStr">
        <is>
          <t>25/03/2026</t>
        </is>
      </c>
      <c r="M683" s="30" t="inlineStr">
        <is>
          <t>MANISH KATARIA, VICE CONSUL</t>
        </is>
      </c>
      <c r="N683" s="1" t="inlineStr">
        <is>
          <t>26/02/2026</t>
        </is>
      </c>
    </row>
    <row r="684">
      <c r="A684" s="4">
        <f>Sheet1!A684 &amp; "/" &amp; "2025"</f>
        <v/>
      </c>
      <c r="B684" s="5">
        <f>Sheet1!E684</f>
        <v/>
      </c>
      <c r="C684" s="6">
        <f>UPPER(Sheet1!B684)</f>
        <v/>
      </c>
      <c r="D684" s="7">
        <f>IF(Sheet1!F684="F","FEMALE","MALE")</f>
        <v/>
      </c>
      <c r="E684" s="6">
        <f>UPPER(Sheet1!G684)</f>
        <v/>
      </c>
      <c r="F684" s="6">
        <f>UPPER(Sheet1!H684)</f>
        <v/>
      </c>
      <c r="G684" s="5">
        <f>TEXT(Sheet1!C684,"dd/mm/yyyy") &amp; "," &amp; Sheet1!D684</f>
        <v/>
      </c>
      <c r="H684" s="38">
        <f>UPPER(Sheet1!J684 &amp; "," &amp; Sheet1!K684 &amp; "," &amp; Sheet1!L684)</f>
        <v/>
      </c>
      <c r="I684" s="45">
        <f>Sheet1!I684</f>
        <v/>
      </c>
      <c r="J684" s="5">
        <f>Sheet1!M684 &amp; "," &amp; TEXT(Sheet1!N684,"dd/mm/yy")</f>
        <v/>
      </c>
      <c r="K684" s="5" t="inlineStr">
        <is>
          <t>PRINTED</t>
        </is>
      </c>
      <c r="L684" s="1" t="inlineStr">
        <is>
          <t>25/03/2026</t>
        </is>
      </c>
      <c r="M684" s="30" t="inlineStr">
        <is>
          <t>MANISH KATARIA, VICE CONSUL</t>
        </is>
      </c>
      <c r="N684" s="1" t="inlineStr">
        <is>
          <t>26/02/2026</t>
        </is>
      </c>
    </row>
    <row r="685">
      <c r="A685" s="4">
        <f>Sheet1!A685 &amp; "/" &amp; "2025"</f>
        <v/>
      </c>
      <c r="B685" s="5">
        <f>Sheet1!E685</f>
        <v/>
      </c>
      <c r="C685" s="6">
        <f>UPPER(Sheet1!B685)</f>
        <v/>
      </c>
      <c r="D685" s="7">
        <f>IF(Sheet1!F685="F","FEMALE","MALE")</f>
        <v/>
      </c>
      <c r="E685" s="6">
        <f>UPPER(Sheet1!G685)</f>
        <v/>
      </c>
      <c r="F685" s="6">
        <f>UPPER(Sheet1!H685)</f>
        <v/>
      </c>
      <c r="G685" s="5">
        <f>TEXT(Sheet1!C685,"dd/mm/yyyy") &amp; "," &amp; Sheet1!D685</f>
        <v/>
      </c>
      <c r="H685" s="38">
        <f>UPPER(Sheet1!J685 &amp; "," &amp; Sheet1!K685 &amp; "," &amp; Sheet1!L685)</f>
        <v/>
      </c>
      <c r="I685" s="45">
        <f>Sheet1!I685</f>
        <v/>
      </c>
      <c r="J685" s="5">
        <f>Sheet1!M685 &amp; "," &amp; TEXT(Sheet1!N685,"dd/mm/yy")</f>
        <v/>
      </c>
      <c r="K685" s="5" t="inlineStr">
        <is>
          <t>PRINTED</t>
        </is>
      </c>
      <c r="L685" s="1" t="inlineStr">
        <is>
          <t>25/03/2026</t>
        </is>
      </c>
      <c r="M685" s="30" t="inlineStr">
        <is>
          <t>MANISH KATARIA, VICE CONSUL</t>
        </is>
      </c>
      <c r="N685" s="1" t="inlineStr">
        <is>
          <t>26/02/2026</t>
        </is>
      </c>
    </row>
    <row r="686">
      <c r="A686" s="4">
        <f>Sheet1!A686 &amp; "/" &amp; "2025"</f>
        <v/>
      </c>
      <c r="B686" s="5">
        <f>Sheet1!E686</f>
        <v/>
      </c>
      <c r="C686" s="6">
        <f>UPPER(Sheet1!B686)</f>
        <v/>
      </c>
      <c r="D686" s="7">
        <f>IF(Sheet1!F686="F","FEMALE","MALE")</f>
        <v/>
      </c>
      <c r="E686" s="6">
        <f>UPPER(Sheet1!G686)</f>
        <v/>
      </c>
      <c r="F686" s="6">
        <f>UPPER(Sheet1!H686)</f>
        <v/>
      </c>
      <c r="G686" s="5">
        <f>TEXT(Sheet1!C686,"dd/mm/yyyy") &amp; "," &amp; Sheet1!D686</f>
        <v/>
      </c>
      <c r="H686" s="38">
        <f>UPPER(Sheet1!J686 &amp; "," &amp; Sheet1!K686 &amp; "," &amp; Sheet1!L686)</f>
        <v/>
      </c>
      <c r="I686" s="45">
        <f>Sheet1!I686</f>
        <v/>
      </c>
      <c r="J686" s="5">
        <f>Sheet1!M686 &amp; "," &amp; TEXT(Sheet1!N686,"dd/mm/yy")</f>
        <v/>
      </c>
      <c r="K686" s="5" t="inlineStr">
        <is>
          <t>PRINTED</t>
        </is>
      </c>
      <c r="L686" s="1" t="inlineStr">
        <is>
          <t>25/03/2026</t>
        </is>
      </c>
      <c r="M686" s="30" t="inlineStr">
        <is>
          <t>MANISH KATARIA, VICE CONSUL</t>
        </is>
      </c>
      <c r="N686" s="1" t="inlineStr">
        <is>
          <t>26/02/2026</t>
        </is>
      </c>
    </row>
    <row r="687">
      <c r="A687" s="4">
        <f>Sheet1!A687 &amp; "/" &amp; "2025"</f>
        <v/>
      </c>
      <c r="B687" s="5">
        <f>Sheet1!E687</f>
        <v/>
      </c>
      <c r="C687" s="6">
        <f>UPPER(Sheet1!B687)</f>
        <v/>
      </c>
      <c r="D687" s="7">
        <f>IF(Sheet1!F687="F","FEMALE","MALE")</f>
        <v/>
      </c>
      <c r="E687" s="6">
        <f>UPPER(Sheet1!G687)</f>
        <v/>
      </c>
      <c r="F687" s="6">
        <f>UPPER(Sheet1!H687)</f>
        <v/>
      </c>
      <c r="G687" s="5">
        <f>TEXT(Sheet1!C687,"dd/mm/yyyy") &amp; "," &amp; Sheet1!D687</f>
        <v/>
      </c>
      <c r="H687" s="38">
        <f>UPPER(Sheet1!J687 &amp; "," &amp; Sheet1!K687 &amp; "," &amp; Sheet1!L687)</f>
        <v/>
      </c>
      <c r="I687" s="45">
        <f>Sheet1!I687</f>
        <v/>
      </c>
      <c r="J687" s="5">
        <f>Sheet1!M687 &amp; "," &amp; TEXT(Sheet1!N687,"dd/mm/yy")</f>
        <v/>
      </c>
      <c r="K687" s="5" t="inlineStr">
        <is>
          <t>PRINTED</t>
        </is>
      </c>
      <c r="L687" s="1" t="inlineStr">
        <is>
          <t>25/03/2026</t>
        </is>
      </c>
      <c r="M687" s="30" t="inlineStr">
        <is>
          <t>MANISH KATARIA, VICE CONSUL</t>
        </is>
      </c>
      <c r="N687" s="1" t="inlineStr">
        <is>
          <t>26/02/2026</t>
        </is>
      </c>
    </row>
    <row r="688">
      <c r="A688" s="4">
        <f>Sheet1!A688 &amp; "/" &amp; "2025"</f>
        <v/>
      </c>
      <c r="B688" s="5">
        <f>Sheet1!E688</f>
        <v/>
      </c>
      <c r="C688" s="6">
        <f>UPPER(Sheet1!B688)</f>
        <v/>
      </c>
      <c r="D688" s="7">
        <f>IF(Sheet1!F688="F","FEMALE","MALE")</f>
        <v/>
      </c>
      <c r="E688" s="6">
        <f>UPPER(Sheet1!G688)</f>
        <v/>
      </c>
      <c r="F688" s="6">
        <f>UPPER(Sheet1!H688)</f>
        <v/>
      </c>
      <c r="G688" s="5">
        <f>TEXT(Sheet1!C688,"dd/mm/yyyy") &amp; "," &amp; Sheet1!D688</f>
        <v/>
      </c>
      <c r="H688" s="38">
        <f>UPPER(Sheet1!J688 &amp; "," &amp; Sheet1!K688 &amp; "," &amp; Sheet1!L688)</f>
        <v/>
      </c>
      <c r="I688" s="45">
        <f>Sheet1!I688</f>
        <v/>
      </c>
      <c r="J688" s="5">
        <f>Sheet1!M688 &amp; "," &amp; TEXT(Sheet1!N688,"dd/mm/yy")</f>
        <v/>
      </c>
      <c r="K688" s="5" t="inlineStr">
        <is>
          <t>PRINTED</t>
        </is>
      </c>
      <c r="L688" s="1" t="inlineStr">
        <is>
          <t>25/03/2026</t>
        </is>
      </c>
      <c r="M688" s="30" t="inlineStr">
        <is>
          <t>MANISH KATARIA, VICE CONSUL</t>
        </is>
      </c>
      <c r="N688" s="1" t="inlineStr">
        <is>
          <t>26/02/2026</t>
        </is>
      </c>
    </row>
    <row r="689">
      <c r="A689" s="4">
        <f>Sheet1!A689 &amp; "/" &amp; "2025"</f>
        <v/>
      </c>
      <c r="B689" s="5">
        <f>Sheet1!E689</f>
        <v/>
      </c>
      <c r="C689" s="6">
        <f>UPPER(Sheet1!B689)</f>
        <v/>
      </c>
      <c r="D689" s="7">
        <f>IF(Sheet1!F689="F","FEMALE","MALE")</f>
        <v/>
      </c>
      <c r="E689" s="6">
        <f>UPPER(Sheet1!G689)</f>
        <v/>
      </c>
      <c r="F689" s="6">
        <f>UPPER(Sheet1!H689)</f>
        <v/>
      </c>
      <c r="G689" s="5">
        <f>TEXT(Sheet1!C689,"dd/mm/yyyy") &amp; "," &amp; Sheet1!D689</f>
        <v/>
      </c>
      <c r="H689" s="38">
        <f>UPPER(Sheet1!J689 &amp; "," &amp; Sheet1!K689 &amp; "," &amp; Sheet1!L689)</f>
        <v/>
      </c>
      <c r="I689" s="45">
        <f>Sheet1!I689</f>
        <v/>
      </c>
      <c r="J689" s="5">
        <f>Sheet1!M689 &amp; "," &amp; TEXT(Sheet1!N689,"dd/mm/yy")</f>
        <v/>
      </c>
      <c r="K689" s="5" t="inlineStr">
        <is>
          <t>PRINTED</t>
        </is>
      </c>
      <c r="L689" s="1" t="inlineStr">
        <is>
          <t>25/03/2026</t>
        </is>
      </c>
      <c r="M689" s="30" t="inlineStr">
        <is>
          <t>MANISH KATARIA, VICE CONSUL</t>
        </is>
      </c>
      <c r="N689" s="1" t="inlineStr">
        <is>
          <t>26/02/2026</t>
        </is>
      </c>
    </row>
    <row r="690">
      <c r="A690" s="4">
        <f>Sheet1!A690 &amp; "/" &amp; "2025"</f>
        <v/>
      </c>
      <c r="B690" s="5">
        <f>Sheet1!E690</f>
        <v/>
      </c>
      <c r="C690" s="6">
        <f>UPPER(Sheet1!B690)</f>
        <v/>
      </c>
      <c r="D690" s="7">
        <f>IF(Sheet1!F690="F","FEMALE","MALE")</f>
        <v/>
      </c>
      <c r="E690" s="6">
        <f>UPPER(Sheet1!G690)</f>
        <v/>
      </c>
      <c r="F690" s="6">
        <f>UPPER(Sheet1!H690)</f>
        <v/>
      </c>
      <c r="G690" s="5">
        <f>TEXT(Sheet1!C690,"dd/mm/yyyy") &amp; "," &amp; Sheet1!D690</f>
        <v/>
      </c>
      <c r="H690" s="38">
        <f>UPPER(Sheet1!J690 &amp; "," &amp; Sheet1!K690 &amp; "," &amp; Sheet1!L690)</f>
        <v/>
      </c>
      <c r="I690" s="45">
        <f>Sheet1!I690</f>
        <v/>
      </c>
      <c r="J690" s="5">
        <f>Sheet1!M690 &amp; "," &amp; TEXT(Sheet1!N690,"dd/mm/yy")</f>
        <v/>
      </c>
      <c r="K690" s="5" t="inlineStr">
        <is>
          <t>PRINTED</t>
        </is>
      </c>
      <c r="L690" s="1" t="inlineStr">
        <is>
          <t>25/03/2026</t>
        </is>
      </c>
      <c r="M690" s="30" t="inlineStr">
        <is>
          <t>MANISH KATARIA, VICE CONSUL</t>
        </is>
      </c>
      <c r="N690" s="1" t="inlineStr">
        <is>
          <t>26/02/2026</t>
        </is>
      </c>
    </row>
    <row r="691">
      <c r="A691" s="4">
        <f>Sheet1!A691 &amp; "/" &amp; "2025"</f>
        <v/>
      </c>
      <c r="B691" s="5">
        <f>Sheet1!E691</f>
        <v/>
      </c>
      <c r="C691" s="6">
        <f>UPPER(Sheet1!B691)</f>
        <v/>
      </c>
      <c r="D691" s="7">
        <f>IF(Sheet1!F691="F","FEMALE","MALE")</f>
        <v/>
      </c>
      <c r="E691" s="6">
        <f>UPPER(Sheet1!G691)</f>
        <v/>
      </c>
      <c r="F691" s="6">
        <f>UPPER(Sheet1!H691)</f>
        <v/>
      </c>
      <c r="G691" s="5">
        <f>TEXT(Sheet1!C691,"dd/mm/yyyy") &amp; "," &amp; Sheet1!D691</f>
        <v/>
      </c>
      <c r="H691" s="38">
        <f>UPPER(Sheet1!J691 &amp; "," &amp; Sheet1!K691 &amp; "," &amp; Sheet1!L691)</f>
        <v/>
      </c>
      <c r="I691" s="45">
        <f>Sheet1!I691</f>
        <v/>
      </c>
      <c r="J691" s="5">
        <f>Sheet1!M691 &amp; "," &amp; TEXT(Sheet1!N691,"dd/mm/yy")</f>
        <v/>
      </c>
      <c r="K691" s="5" t="inlineStr">
        <is>
          <t>PRINTED</t>
        </is>
      </c>
      <c r="L691" s="1" t="inlineStr">
        <is>
          <t>25/03/2026</t>
        </is>
      </c>
      <c r="M691" s="30" t="inlineStr">
        <is>
          <t>MANISH KATARIA, VICE CONSUL</t>
        </is>
      </c>
      <c r="N691" s="1" t="inlineStr">
        <is>
          <t>26/02/2026</t>
        </is>
      </c>
    </row>
    <row r="692" ht="30" customHeight="1">
      <c r="A692" s="4">
        <f>Sheet1!A692 &amp; "/" &amp; "2025"</f>
        <v/>
      </c>
      <c r="B692" s="5">
        <f>Sheet1!E692</f>
        <v/>
      </c>
      <c r="C692" s="6">
        <f>UPPER(Sheet1!B692)</f>
        <v/>
      </c>
      <c r="D692" s="7">
        <f>IF(Sheet1!F692="F","FEMALE","MALE")</f>
        <v/>
      </c>
      <c r="E692" s="6">
        <f>UPPER(Sheet1!G692)</f>
        <v/>
      </c>
      <c r="F692" s="6">
        <f>UPPER(Sheet1!H692)</f>
        <v/>
      </c>
      <c r="G692" s="5">
        <f>TEXT(Sheet1!C692,"dd/mm/yyyy") &amp; "," &amp; Sheet1!D692</f>
        <v/>
      </c>
      <c r="H692" s="38">
        <f>UPPER(Sheet1!J692 &amp; "," &amp; Sheet1!K692 &amp; "," &amp; Sheet1!L692)</f>
        <v/>
      </c>
      <c r="I692" s="45">
        <f>Sheet1!I692</f>
        <v/>
      </c>
      <c r="J692" s="5">
        <f>Sheet1!M692 &amp; "," &amp; TEXT(Sheet1!N692,"dd/mm/yy")</f>
        <v/>
      </c>
      <c r="K692" s="5" t="inlineStr">
        <is>
          <t>PRINTED</t>
        </is>
      </c>
      <c r="L692" s="1" t="inlineStr">
        <is>
          <t>25/03/2026</t>
        </is>
      </c>
      <c r="M692" s="30" t="inlineStr">
        <is>
          <t>MANISH KATARIA, VICE CONSUL</t>
        </is>
      </c>
      <c r="N692" s="1" t="inlineStr">
        <is>
          <t>26/02/2026</t>
        </is>
      </c>
    </row>
    <row r="693">
      <c r="A693" s="4">
        <f>Sheet1!A693 &amp; "/" &amp; "2025"</f>
        <v/>
      </c>
      <c r="B693" s="5">
        <f>Sheet1!E693</f>
        <v/>
      </c>
      <c r="C693" s="6">
        <f>UPPER(Sheet1!B693)</f>
        <v/>
      </c>
      <c r="D693" s="7">
        <f>IF(Sheet1!F693="F","FEMALE","MALE")</f>
        <v/>
      </c>
      <c r="E693" s="6">
        <f>UPPER(Sheet1!G693)</f>
        <v/>
      </c>
      <c r="F693" s="6">
        <f>UPPER(Sheet1!H693)</f>
        <v/>
      </c>
      <c r="G693" s="5">
        <f>TEXT(Sheet1!C693,"dd/mm/yyyy") &amp; "," &amp; Sheet1!D693</f>
        <v/>
      </c>
      <c r="H693" s="38">
        <f>UPPER(Sheet1!J693 &amp; "," &amp; Sheet1!K693 &amp; "," &amp; Sheet1!L693)</f>
        <v/>
      </c>
      <c r="I693" s="45">
        <f>Sheet1!I693</f>
        <v/>
      </c>
      <c r="J693" s="5">
        <f>Sheet1!M693 &amp; "," &amp; TEXT(Sheet1!N693,"dd/mm/yy")</f>
        <v/>
      </c>
      <c r="K693" s="5" t="inlineStr">
        <is>
          <t>PRINTED</t>
        </is>
      </c>
      <c r="L693" s="1" t="inlineStr">
        <is>
          <t>25/03/2026</t>
        </is>
      </c>
      <c r="M693" s="30" t="inlineStr">
        <is>
          <t>MANISH KATARIA, VICE CONSUL</t>
        </is>
      </c>
      <c r="N693" s="1" t="inlineStr">
        <is>
          <t>26/02/2026</t>
        </is>
      </c>
    </row>
    <row r="694">
      <c r="A694" s="4">
        <f>Sheet1!A694 &amp; "/" &amp; "2025"</f>
        <v/>
      </c>
      <c r="B694" s="5">
        <f>Sheet1!E694</f>
        <v/>
      </c>
      <c r="C694" s="6">
        <f>UPPER(Sheet1!B694)</f>
        <v/>
      </c>
      <c r="D694" s="7">
        <f>IF(Sheet1!F694="F","FEMALE","MALE")</f>
        <v/>
      </c>
      <c r="E694" s="6">
        <f>UPPER(Sheet1!G694)</f>
        <v/>
      </c>
      <c r="F694" s="6">
        <f>UPPER(Sheet1!H694)</f>
        <v/>
      </c>
      <c r="G694" s="5">
        <f>TEXT(Sheet1!C694,"dd/mm/yyyy") &amp; "," &amp; Sheet1!D694</f>
        <v/>
      </c>
      <c r="H694" s="38">
        <f>UPPER(Sheet1!J694 &amp; "," &amp; Sheet1!K694 &amp; "," &amp; Sheet1!L694)</f>
        <v/>
      </c>
      <c r="I694" s="45">
        <f>Sheet1!I694</f>
        <v/>
      </c>
      <c r="J694" s="5">
        <f>Sheet1!M694 &amp; "," &amp; TEXT(Sheet1!N694,"dd/mm/yy")</f>
        <v/>
      </c>
      <c r="K694" s="5" t="inlineStr">
        <is>
          <t>PRINTED</t>
        </is>
      </c>
      <c r="L694" s="1" t="inlineStr">
        <is>
          <t>25/03/2026</t>
        </is>
      </c>
      <c r="M694" s="30" t="inlineStr">
        <is>
          <t>MANISH KATARIA, VICE CONSUL</t>
        </is>
      </c>
      <c r="N694" s="1" t="inlineStr">
        <is>
          <t>26/02/2026</t>
        </is>
      </c>
    </row>
    <row r="695">
      <c r="A695" s="4">
        <f>Sheet1!A695 &amp; "/" &amp; "2025"</f>
        <v/>
      </c>
      <c r="B695" s="5">
        <f>Sheet1!E695</f>
        <v/>
      </c>
      <c r="C695" s="6">
        <f>UPPER(Sheet1!B695)</f>
        <v/>
      </c>
      <c r="D695" s="7">
        <f>IF(Sheet1!F695="F","FEMALE","MALE")</f>
        <v/>
      </c>
      <c r="E695" s="6">
        <f>UPPER(Sheet1!G695)</f>
        <v/>
      </c>
      <c r="F695" s="6">
        <f>UPPER(Sheet1!H695)</f>
        <v/>
      </c>
      <c r="G695" s="5">
        <f>TEXT(Sheet1!C695,"dd/mm/yyyy") &amp; "," &amp; Sheet1!D695</f>
        <v/>
      </c>
      <c r="H695" s="38">
        <f>UPPER(Sheet1!J695 &amp; "," &amp; Sheet1!K695 &amp; "," &amp; Sheet1!L695)</f>
        <v/>
      </c>
      <c r="I695" s="45">
        <f>Sheet1!I695</f>
        <v/>
      </c>
      <c r="J695" s="5">
        <f>Sheet1!M695 &amp; "," &amp; TEXT(Sheet1!N695,"dd/mm/yy")</f>
        <v/>
      </c>
      <c r="K695" s="5" t="inlineStr">
        <is>
          <t>PRINTED</t>
        </is>
      </c>
      <c r="L695" s="1" t="inlineStr">
        <is>
          <t>25/03/2026</t>
        </is>
      </c>
      <c r="M695" s="30" t="inlineStr">
        <is>
          <t>MANISH KATARIA, VICE CONSUL</t>
        </is>
      </c>
      <c r="N695" s="1" t="inlineStr">
        <is>
          <t>26/02/2026</t>
        </is>
      </c>
    </row>
    <row r="696">
      <c r="A696" s="4">
        <f>Sheet1!A696 &amp; "/" &amp; "2025"</f>
        <v/>
      </c>
      <c r="B696" s="5">
        <f>Sheet1!E696</f>
        <v/>
      </c>
      <c r="C696" s="6">
        <f>UPPER(Sheet1!B696)</f>
        <v/>
      </c>
      <c r="D696" s="7">
        <f>IF(Sheet1!F696="F","FEMALE","MALE")</f>
        <v/>
      </c>
      <c r="E696" s="6">
        <f>UPPER(Sheet1!G696)</f>
        <v/>
      </c>
      <c r="F696" s="6">
        <f>UPPER(Sheet1!H696)</f>
        <v/>
      </c>
      <c r="G696" s="5">
        <f>TEXT(Sheet1!C696,"dd/mm/yyyy") &amp; "," &amp; Sheet1!D696</f>
        <v/>
      </c>
      <c r="H696" s="38">
        <f>UPPER(Sheet1!J696 &amp; "," &amp; Sheet1!K696 &amp; "," &amp; Sheet1!L696)</f>
        <v/>
      </c>
      <c r="I696" s="45">
        <f>Sheet1!I696</f>
        <v/>
      </c>
      <c r="J696" s="5">
        <f>Sheet1!M696 &amp; "," &amp; TEXT(Sheet1!N696,"dd/mm/yy")</f>
        <v/>
      </c>
      <c r="K696" s="5" t="inlineStr">
        <is>
          <t>PRINTED</t>
        </is>
      </c>
      <c r="L696" s="1" t="inlineStr">
        <is>
          <t>25/03/2026</t>
        </is>
      </c>
      <c r="M696" s="30" t="inlineStr">
        <is>
          <t>MANISH KATARIA, VICE CONSUL</t>
        </is>
      </c>
      <c r="N696" s="1" t="inlineStr">
        <is>
          <t>26/02/2026</t>
        </is>
      </c>
    </row>
    <row r="697">
      <c r="A697" s="4">
        <f>Sheet1!A697 &amp; "/" &amp; "2025"</f>
        <v/>
      </c>
      <c r="B697" s="5">
        <f>Sheet1!E697</f>
        <v/>
      </c>
      <c r="C697" s="6">
        <f>UPPER(Sheet1!B697)</f>
        <v/>
      </c>
      <c r="D697" s="7">
        <f>IF(Sheet1!F697="F","FEMALE","MALE")</f>
        <v/>
      </c>
      <c r="E697" s="6">
        <f>UPPER(Sheet1!G697)</f>
        <v/>
      </c>
      <c r="F697" s="6">
        <f>UPPER(Sheet1!H697)</f>
        <v/>
      </c>
      <c r="G697" s="5">
        <f>TEXT(Sheet1!C697,"dd/mm/yyyy") &amp; "," &amp; Sheet1!D697</f>
        <v/>
      </c>
      <c r="H697" s="38">
        <f>UPPER(Sheet1!J697 &amp; "," &amp; Sheet1!K697 &amp; "," &amp; Sheet1!L697)</f>
        <v/>
      </c>
      <c r="I697" s="45">
        <f>Sheet1!I697</f>
        <v/>
      </c>
      <c r="J697" s="5">
        <f>Sheet1!M697 &amp; "," &amp; TEXT(Sheet1!N697,"dd/mm/yy")</f>
        <v/>
      </c>
      <c r="K697" s="5" t="inlineStr">
        <is>
          <t>PRINTED</t>
        </is>
      </c>
      <c r="L697" s="1" t="inlineStr">
        <is>
          <t>25/03/2026</t>
        </is>
      </c>
      <c r="M697" s="30" t="inlineStr">
        <is>
          <t>MANISH KATARIA, VICE CONSUL</t>
        </is>
      </c>
      <c r="N697" s="1" t="inlineStr">
        <is>
          <t>26/02/2026</t>
        </is>
      </c>
    </row>
    <row r="698">
      <c r="A698" s="4">
        <f>Sheet1!A698 &amp; "/" &amp; "2025"</f>
        <v/>
      </c>
      <c r="B698" s="5">
        <f>Sheet1!E698</f>
        <v/>
      </c>
      <c r="C698" s="6">
        <f>UPPER(Sheet1!B698)</f>
        <v/>
      </c>
      <c r="D698" s="7">
        <f>IF(Sheet1!F698="F","FEMALE","MALE")</f>
        <v/>
      </c>
      <c r="E698" s="6">
        <f>UPPER(Sheet1!G698)</f>
        <v/>
      </c>
      <c r="F698" s="6">
        <f>UPPER(Sheet1!H698)</f>
        <v/>
      </c>
      <c r="G698" s="5">
        <f>TEXT(Sheet1!C698,"dd/mm/yyyy") &amp; "," &amp; Sheet1!D698</f>
        <v/>
      </c>
      <c r="H698" s="38">
        <f>UPPER(Sheet1!J698 &amp; "," &amp; Sheet1!K698 &amp; "," &amp; Sheet1!L698)</f>
        <v/>
      </c>
      <c r="I698" s="45">
        <f>Sheet1!I698</f>
        <v/>
      </c>
      <c r="J698" s="5">
        <f>Sheet1!M698 &amp; "," &amp; TEXT(Sheet1!N698,"dd/mm/yy")</f>
        <v/>
      </c>
      <c r="K698" s="5" t="inlineStr">
        <is>
          <t>PRINTED</t>
        </is>
      </c>
      <c r="L698" s="1" t="inlineStr">
        <is>
          <t>25/03/2026</t>
        </is>
      </c>
      <c r="M698" s="30" t="inlineStr">
        <is>
          <t>MANISH KATARIA, VICE CONSUL</t>
        </is>
      </c>
      <c r="N698" s="1" t="inlineStr">
        <is>
          <t>26/02/2026</t>
        </is>
      </c>
    </row>
    <row r="699">
      <c r="A699" s="4">
        <f>Sheet1!A699 &amp; "/" &amp; "2025"</f>
        <v/>
      </c>
      <c r="B699" s="5">
        <f>Sheet1!E699</f>
        <v/>
      </c>
      <c r="C699" s="6">
        <f>UPPER(Sheet1!B699)</f>
        <v/>
      </c>
      <c r="D699" s="7">
        <f>IF(Sheet1!F699="F","FEMALE","MALE")</f>
        <v/>
      </c>
      <c r="E699" s="6">
        <f>UPPER(Sheet1!G699)</f>
        <v/>
      </c>
      <c r="F699" s="6">
        <f>UPPER(Sheet1!H699)</f>
        <v/>
      </c>
      <c r="G699" s="5">
        <f>TEXT(Sheet1!C699,"dd/mm/yyyy") &amp; "," &amp; Sheet1!D699</f>
        <v/>
      </c>
      <c r="H699" s="38">
        <f>UPPER(Sheet1!J699 &amp; "," &amp; Sheet1!K699 &amp; "," &amp; Sheet1!L699)</f>
        <v/>
      </c>
      <c r="I699" s="45">
        <f>Sheet1!I699</f>
        <v/>
      </c>
      <c r="J699" s="5">
        <f>Sheet1!M699 &amp; "," &amp; TEXT(Sheet1!N699,"dd/mm/yy")</f>
        <v/>
      </c>
      <c r="K699" s="5" t="inlineStr">
        <is>
          <t>PRINTED</t>
        </is>
      </c>
      <c r="L699" s="1" t="inlineStr">
        <is>
          <t>25/03/2026</t>
        </is>
      </c>
      <c r="M699" s="30" t="inlineStr">
        <is>
          <t>MANISH KATARIA, VICE CONSUL</t>
        </is>
      </c>
      <c r="N699" s="1" t="inlineStr">
        <is>
          <t>26/02/2026</t>
        </is>
      </c>
    </row>
    <row r="700">
      <c r="A700" s="4">
        <f>Sheet1!A700 &amp; "/" &amp; "2025"</f>
        <v/>
      </c>
      <c r="B700" s="5">
        <f>Sheet1!E700</f>
        <v/>
      </c>
      <c r="C700" s="6">
        <f>UPPER(Sheet1!B700)</f>
        <v/>
      </c>
      <c r="D700" s="7">
        <f>IF(Sheet1!F700="F","FEMALE","MALE")</f>
        <v/>
      </c>
      <c r="E700" s="6">
        <f>UPPER(Sheet1!G700)</f>
        <v/>
      </c>
      <c r="F700" s="6">
        <f>UPPER(Sheet1!H700)</f>
        <v/>
      </c>
      <c r="G700" s="5">
        <f>TEXT(Sheet1!C700,"dd/mm/yyyy") &amp; "," &amp; Sheet1!D700</f>
        <v/>
      </c>
      <c r="H700" s="38">
        <f>UPPER(Sheet1!J700 &amp; "," &amp; Sheet1!K700 &amp; "," &amp; Sheet1!L700)</f>
        <v/>
      </c>
      <c r="I700" s="45">
        <f>Sheet1!I700</f>
        <v/>
      </c>
      <c r="J700" s="5">
        <f>Sheet1!M700 &amp; "," &amp; TEXT(Sheet1!N700,"dd/mm/yy")</f>
        <v/>
      </c>
      <c r="K700" s="5" t="inlineStr">
        <is>
          <t>PRINTED</t>
        </is>
      </c>
      <c r="L700" s="1" t="inlineStr">
        <is>
          <t>25/03/2026</t>
        </is>
      </c>
      <c r="M700" s="30" t="inlineStr">
        <is>
          <t>MANISH KATARIA, VICE CONSUL</t>
        </is>
      </c>
      <c r="N700" s="1" t="inlineStr">
        <is>
          <t>26/02/2026</t>
        </is>
      </c>
    </row>
    <row r="701">
      <c r="A701" s="4">
        <f>Sheet1!A701 &amp; "/" &amp; "2025"</f>
        <v/>
      </c>
      <c r="B701" s="5">
        <f>Sheet1!E701</f>
        <v/>
      </c>
      <c r="C701" s="6">
        <f>UPPER(Sheet1!B701)</f>
        <v/>
      </c>
      <c r="D701" s="7">
        <f>IF(Sheet1!F701="F","FEMALE","MALE")</f>
        <v/>
      </c>
      <c r="E701" s="6">
        <f>UPPER(Sheet1!G701)</f>
        <v/>
      </c>
      <c r="F701" s="6">
        <f>UPPER(Sheet1!H701)</f>
        <v/>
      </c>
      <c r="G701" s="5">
        <f>TEXT(Sheet1!C701,"dd/mm/yyyy") &amp; "," &amp; Sheet1!D701</f>
        <v/>
      </c>
      <c r="H701" s="38">
        <f>UPPER(Sheet1!J701 &amp; "," &amp; Sheet1!K701 &amp; "," &amp; Sheet1!L701)</f>
        <v/>
      </c>
      <c r="I701" s="45">
        <f>Sheet1!I701</f>
        <v/>
      </c>
      <c r="J701" s="5">
        <f>Sheet1!M701 &amp; "," &amp; TEXT(Sheet1!N701,"dd/mm/yy")</f>
        <v/>
      </c>
      <c r="K701" s="5" t="inlineStr">
        <is>
          <t>PRINTED</t>
        </is>
      </c>
      <c r="L701" s="1" t="inlineStr">
        <is>
          <t>25/03/2026</t>
        </is>
      </c>
      <c r="M701" s="30" t="inlineStr">
        <is>
          <t>MANISH KATARIA, VICE CONSUL</t>
        </is>
      </c>
      <c r="N701" s="1" t="inlineStr">
        <is>
          <t>26/02/2026</t>
        </is>
      </c>
    </row>
    <row r="702">
      <c r="A702" s="4">
        <f>Sheet1!A702 &amp; "/" &amp; "2025"</f>
        <v/>
      </c>
      <c r="B702" s="5">
        <f>Sheet1!E702</f>
        <v/>
      </c>
      <c r="C702" s="6">
        <f>UPPER(Sheet1!B702)</f>
        <v/>
      </c>
      <c r="D702" s="7">
        <f>IF(Sheet1!F702="F","FEMALE","MALE")</f>
        <v/>
      </c>
      <c r="E702" s="6">
        <f>UPPER(Sheet1!G702)</f>
        <v/>
      </c>
      <c r="F702" s="6">
        <f>UPPER(Sheet1!H702)</f>
        <v/>
      </c>
      <c r="G702" s="5">
        <f>TEXT(Sheet1!C702,"dd/mm/yyyy") &amp; "," &amp; Sheet1!D702</f>
        <v/>
      </c>
      <c r="H702" s="38">
        <f>UPPER(Sheet1!J702 &amp; "," &amp; Sheet1!K702 &amp; "," &amp; Sheet1!L702)</f>
        <v/>
      </c>
      <c r="I702" s="45">
        <f>Sheet1!I702</f>
        <v/>
      </c>
      <c r="J702" s="5">
        <f>Sheet1!M702 &amp; "," &amp; TEXT(Sheet1!N702,"dd/mm/yy")</f>
        <v/>
      </c>
      <c r="K702" s="5" t="inlineStr">
        <is>
          <t>PRINTED</t>
        </is>
      </c>
      <c r="L702" s="1" t="inlineStr">
        <is>
          <t>25/03/2026</t>
        </is>
      </c>
      <c r="M702" s="30" t="inlineStr">
        <is>
          <t>MANISH KATARIA, VICE CONSUL</t>
        </is>
      </c>
      <c r="N702" s="1" t="inlineStr">
        <is>
          <t>26/02/2026</t>
        </is>
      </c>
    </row>
    <row r="703" ht="30" customHeight="1">
      <c r="A703" s="4">
        <f>Sheet1!A703 &amp; "/" &amp; "2025"</f>
        <v/>
      </c>
      <c r="B703" s="5">
        <f>Sheet1!E703</f>
        <v/>
      </c>
      <c r="C703" s="6">
        <f>UPPER(Sheet1!B703)</f>
        <v/>
      </c>
      <c r="D703" s="7">
        <f>IF(Sheet1!F703="F","FEMALE","MALE")</f>
        <v/>
      </c>
      <c r="E703" s="6">
        <f>UPPER(Sheet1!G703)</f>
        <v/>
      </c>
      <c r="F703" s="6">
        <f>UPPER(Sheet1!H703)</f>
        <v/>
      </c>
      <c r="G703" s="5">
        <f>TEXT(Sheet1!C703,"dd/mm/yyyy") &amp; "," &amp; Sheet1!D703</f>
        <v/>
      </c>
      <c r="H703" s="38">
        <f>UPPER(Sheet1!J703 &amp; "," &amp; Sheet1!K703 &amp; "," &amp; Sheet1!L703)</f>
        <v/>
      </c>
      <c r="I703" s="45">
        <f>Sheet1!I703</f>
        <v/>
      </c>
      <c r="J703" s="5">
        <f>Sheet1!M703 &amp; "," &amp; TEXT(Sheet1!N703,"dd/mm/yy")</f>
        <v/>
      </c>
      <c r="K703" s="5" t="inlineStr">
        <is>
          <t>PRINTED</t>
        </is>
      </c>
      <c r="L703" s="1" t="inlineStr">
        <is>
          <t>25/03/2026</t>
        </is>
      </c>
      <c r="M703" s="30" t="inlineStr">
        <is>
          <t>MANISH KATARIA, VICE CONSUL</t>
        </is>
      </c>
      <c r="N703" s="1" t="inlineStr">
        <is>
          <t>26/02/2026</t>
        </is>
      </c>
    </row>
    <row r="704">
      <c r="A704" s="4">
        <f>Sheet1!A704 &amp; "/" &amp; "2025"</f>
        <v/>
      </c>
      <c r="B704" s="5">
        <f>Sheet1!E704</f>
        <v/>
      </c>
      <c r="C704" s="6">
        <f>UPPER(Sheet1!B704)</f>
        <v/>
      </c>
      <c r="D704" s="7">
        <f>IF(Sheet1!F704="F","FEMALE","MALE")</f>
        <v/>
      </c>
      <c r="E704" s="6">
        <f>UPPER(Sheet1!G704)</f>
        <v/>
      </c>
      <c r="F704" s="6">
        <f>UPPER(Sheet1!H704)</f>
        <v/>
      </c>
      <c r="G704" s="5">
        <f>TEXT(Sheet1!C704,"dd/mm/yyyy") &amp; "," &amp; Sheet1!D704</f>
        <v/>
      </c>
      <c r="H704" s="38">
        <f>UPPER(Sheet1!J704 &amp; "," &amp; Sheet1!K704 &amp; "," &amp; Sheet1!L704)</f>
        <v/>
      </c>
      <c r="I704" s="45">
        <f>Sheet1!I704</f>
        <v/>
      </c>
      <c r="J704" s="5">
        <f>Sheet1!M704 &amp; "," &amp; TEXT(Sheet1!N704,"dd/mm/yy")</f>
        <v/>
      </c>
      <c r="K704" s="5" t="inlineStr">
        <is>
          <t>PRINTED</t>
        </is>
      </c>
      <c r="L704" s="1" t="inlineStr">
        <is>
          <t>25/03/2026</t>
        </is>
      </c>
      <c r="M704" s="30" t="inlineStr">
        <is>
          <t>MANISH KATARIA, VICE CONSUL</t>
        </is>
      </c>
      <c r="N704" s="1" t="inlineStr">
        <is>
          <t>26/02/2026</t>
        </is>
      </c>
    </row>
    <row r="705">
      <c r="A705" s="4">
        <f>Sheet1!A705 &amp; "/" &amp; "2025"</f>
        <v/>
      </c>
      <c r="B705" s="5">
        <f>Sheet1!E705</f>
        <v/>
      </c>
      <c r="C705" s="6">
        <f>UPPER(Sheet1!B705)</f>
        <v/>
      </c>
      <c r="D705" s="7">
        <f>IF(Sheet1!F705="F","FEMALE","MALE")</f>
        <v/>
      </c>
      <c r="E705" s="6">
        <f>UPPER(Sheet1!G705)</f>
        <v/>
      </c>
      <c r="F705" s="6">
        <f>UPPER(Sheet1!H705)</f>
        <v/>
      </c>
      <c r="G705" s="5">
        <f>TEXT(Sheet1!C705,"dd/mm/yyyy") &amp; "," &amp; Sheet1!D705</f>
        <v/>
      </c>
      <c r="H705" s="38">
        <f>UPPER(Sheet1!J705 &amp; "," &amp; Sheet1!K705 &amp; "," &amp; Sheet1!L705)</f>
        <v/>
      </c>
      <c r="I705" s="45">
        <f>Sheet1!I705</f>
        <v/>
      </c>
      <c r="J705" s="5">
        <f>Sheet1!M705 &amp; "," &amp; TEXT(Sheet1!N705,"dd/mm/yy")</f>
        <v/>
      </c>
      <c r="K705" s="5" t="inlineStr">
        <is>
          <t>PRINTED</t>
        </is>
      </c>
      <c r="L705" s="1" t="inlineStr">
        <is>
          <t>25/03/2026</t>
        </is>
      </c>
      <c r="M705" s="30" t="inlineStr">
        <is>
          <t>MANISH KATARIA, VICE CONSUL</t>
        </is>
      </c>
      <c r="N705" s="1" t="inlineStr">
        <is>
          <t>26/02/2026</t>
        </is>
      </c>
    </row>
    <row r="706">
      <c r="A706" s="4">
        <f>Sheet1!A706 &amp; "/" &amp; "2025"</f>
        <v/>
      </c>
      <c r="B706" s="5">
        <f>Sheet1!E706</f>
        <v/>
      </c>
      <c r="C706" s="6">
        <f>UPPER(Sheet1!B706)</f>
        <v/>
      </c>
      <c r="D706" s="7">
        <f>IF(Sheet1!F706="F","FEMALE","MALE")</f>
        <v/>
      </c>
      <c r="E706" s="6">
        <f>UPPER(Sheet1!G706)</f>
        <v/>
      </c>
      <c r="F706" s="6">
        <f>UPPER(Sheet1!H706)</f>
        <v/>
      </c>
      <c r="G706" s="5">
        <f>TEXT(Sheet1!C706,"dd/mm/yyyy") &amp; "," &amp; Sheet1!D706</f>
        <v/>
      </c>
      <c r="H706" s="38">
        <f>UPPER(Sheet1!J706 &amp; "," &amp; Sheet1!K706 &amp; "," &amp; Sheet1!L706)</f>
        <v/>
      </c>
      <c r="I706" s="45">
        <f>Sheet1!I706</f>
        <v/>
      </c>
      <c r="J706" s="5">
        <f>Sheet1!M706 &amp; "," &amp; TEXT(Sheet1!N706,"dd/mm/yy")</f>
        <v/>
      </c>
      <c r="K706" s="5" t="inlineStr">
        <is>
          <t>PRINTED</t>
        </is>
      </c>
      <c r="L706" s="1" t="inlineStr">
        <is>
          <t>25/03/2026</t>
        </is>
      </c>
      <c r="M706" s="30" t="inlineStr">
        <is>
          <t>MANISH KATARIA, VICE CONSUL</t>
        </is>
      </c>
      <c r="N706" s="1" t="inlineStr">
        <is>
          <t>26/02/2026</t>
        </is>
      </c>
    </row>
    <row r="707">
      <c r="A707" s="4">
        <f>Sheet1!A707 &amp; "/" &amp; "2025"</f>
        <v/>
      </c>
      <c r="B707" s="5">
        <f>Sheet1!E707</f>
        <v/>
      </c>
      <c r="C707" s="6">
        <f>UPPER(Sheet1!B707)</f>
        <v/>
      </c>
      <c r="D707" s="7">
        <f>IF(Sheet1!F707="F","FEMALE","MALE")</f>
        <v/>
      </c>
      <c r="E707" s="6">
        <f>UPPER(Sheet1!G707)</f>
        <v/>
      </c>
      <c r="F707" s="6">
        <f>UPPER(Sheet1!H707)</f>
        <v/>
      </c>
      <c r="G707" s="5">
        <f>TEXT(Sheet1!C707,"dd/mm/yyyy") &amp; "," &amp; Sheet1!D707</f>
        <v/>
      </c>
      <c r="H707" s="38">
        <f>UPPER(Sheet1!J707 &amp; "," &amp; Sheet1!K707 &amp; "," &amp; Sheet1!L707)</f>
        <v/>
      </c>
      <c r="I707" s="45">
        <f>Sheet1!I707</f>
        <v/>
      </c>
      <c r="J707" s="5">
        <f>Sheet1!M707 &amp; "," &amp; TEXT(Sheet1!N707,"dd/mm/yy")</f>
        <v/>
      </c>
      <c r="K707" s="5" t="inlineStr">
        <is>
          <t>PRINTED</t>
        </is>
      </c>
      <c r="L707" s="1" t="inlineStr">
        <is>
          <t>25/03/2026</t>
        </is>
      </c>
      <c r="M707" s="30" t="inlineStr">
        <is>
          <t>MANISH KATARIA, VICE CONSUL</t>
        </is>
      </c>
      <c r="N707" s="1" t="inlineStr">
        <is>
          <t>26/02/2026</t>
        </is>
      </c>
    </row>
    <row r="708">
      <c r="A708" s="4">
        <f>Sheet1!A708 &amp; "/" &amp; "2025"</f>
        <v/>
      </c>
      <c r="B708" s="5">
        <f>Sheet1!E708</f>
        <v/>
      </c>
      <c r="C708" s="6">
        <f>UPPER(Sheet1!B708)</f>
        <v/>
      </c>
      <c r="D708" s="7">
        <f>IF(Sheet1!F708="F","FEMALE","MALE")</f>
        <v/>
      </c>
      <c r="E708" s="6">
        <f>UPPER(Sheet1!G708)</f>
        <v/>
      </c>
      <c r="F708" s="6">
        <f>UPPER(Sheet1!H708)</f>
        <v/>
      </c>
      <c r="G708" s="5">
        <f>TEXT(Sheet1!C708,"dd/mm/yyyy") &amp; "," &amp; Sheet1!D708</f>
        <v/>
      </c>
      <c r="H708" s="38">
        <f>UPPER(Sheet1!J708 &amp; "," &amp; Sheet1!K708 &amp; "," &amp; Sheet1!L708)</f>
        <v/>
      </c>
      <c r="I708" s="45">
        <f>Sheet1!I708</f>
        <v/>
      </c>
      <c r="J708" s="5">
        <f>Sheet1!M708 &amp; "," &amp; TEXT(Sheet1!N708,"dd/mm/yy")</f>
        <v/>
      </c>
      <c r="K708" s="5" t="inlineStr">
        <is>
          <t>PRINTED</t>
        </is>
      </c>
      <c r="L708" s="1" t="inlineStr">
        <is>
          <t>25/03/2026</t>
        </is>
      </c>
      <c r="M708" s="30" t="inlineStr">
        <is>
          <t>MANISH KATARIA, VICE CONSUL</t>
        </is>
      </c>
      <c r="N708" s="1" t="inlineStr">
        <is>
          <t>26/02/2026</t>
        </is>
      </c>
    </row>
    <row r="709">
      <c r="A709" s="4">
        <f>Sheet1!A709 &amp; "/" &amp; "2025"</f>
        <v/>
      </c>
      <c r="B709" s="5">
        <f>Sheet1!E709</f>
        <v/>
      </c>
      <c r="C709" s="6">
        <f>UPPER(Sheet1!B709)</f>
        <v/>
      </c>
      <c r="D709" s="7">
        <f>IF(Sheet1!F709="F","FEMALE","MALE")</f>
        <v/>
      </c>
      <c r="E709" s="6">
        <f>UPPER(Sheet1!G709)</f>
        <v/>
      </c>
      <c r="F709" s="6">
        <f>UPPER(Sheet1!H709)</f>
        <v/>
      </c>
      <c r="G709" s="5">
        <f>TEXT(Sheet1!C709,"dd/mm/yyyy") &amp; "," &amp; Sheet1!D709</f>
        <v/>
      </c>
      <c r="H709" s="38">
        <f>UPPER(Sheet1!J709 &amp; "," &amp; Sheet1!K709 &amp; "," &amp; Sheet1!L709)</f>
        <v/>
      </c>
      <c r="I709" s="45">
        <f>Sheet1!I709</f>
        <v/>
      </c>
      <c r="J709" s="5">
        <f>Sheet1!M709 &amp; "," &amp; TEXT(Sheet1!N709,"dd/mm/yy")</f>
        <v/>
      </c>
      <c r="K709" s="5" t="inlineStr">
        <is>
          <t>PRINTED</t>
        </is>
      </c>
      <c r="L709" s="1" t="inlineStr">
        <is>
          <t>25/03/2026</t>
        </is>
      </c>
      <c r="M709" s="30" t="inlineStr">
        <is>
          <t>MANISH KATARIA, VICE CONSUL</t>
        </is>
      </c>
      <c r="N709" s="1" t="inlineStr">
        <is>
          <t>26/02/2026</t>
        </is>
      </c>
    </row>
    <row r="710">
      <c r="A710" s="4">
        <f>Sheet1!A710 &amp; "/" &amp; "2025"</f>
        <v/>
      </c>
      <c r="B710" s="5">
        <f>Sheet1!E710</f>
        <v/>
      </c>
      <c r="C710" s="6">
        <f>UPPER(Sheet1!B710)</f>
        <v/>
      </c>
      <c r="D710" s="7">
        <f>IF(Sheet1!F710="F","FEMALE","MALE")</f>
        <v/>
      </c>
      <c r="E710" s="6">
        <f>UPPER(Sheet1!G710)</f>
        <v/>
      </c>
      <c r="F710" s="6">
        <f>UPPER(Sheet1!H710)</f>
        <v/>
      </c>
      <c r="G710" s="5">
        <f>TEXT(Sheet1!C710,"dd/mm/yyyy") &amp; "," &amp; Sheet1!D710</f>
        <v/>
      </c>
      <c r="H710" s="38">
        <f>UPPER(Sheet1!J710 &amp; "," &amp; Sheet1!K710 &amp; "," &amp; Sheet1!L710)</f>
        <v/>
      </c>
      <c r="I710" s="45">
        <f>Sheet1!I710</f>
        <v/>
      </c>
      <c r="J710" s="5">
        <f>Sheet1!M710 &amp; "," &amp; TEXT(Sheet1!N710,"dd/mm/yy")</f>
        <v/>
      </c>
      <c r="K710" s="5" t="inlineStr">
        <is>
          <t>PRINTED</t>
        </is>
      </c>
      <c r="L710" s="1" t="inlineStr">
        <is>
          <t>25/03/2026</t>
        </is>
      </c>
      <c r="M710" s="30" t="inlineStr">
        <is>
          <t>MANISH KATARIA, VICE CONSUL</t>
        </is>
      </c>
      <c r="N710" s="1" t="inlineStr">
        <is>
          <t>26/02/2026</t>
        </is>
      </c>
    </row>
    <row r="711">
      <c r="A711" s="4">
        <f>Sheet1!A711 &amp; "/" &amp; "2025"</f>
        <v/>
      </c>
      <c r="B711" s="5">
        <f>Sheet1!E711</f>
        <v/>
      </c>
      <c r="C711" s="6">
        <f>UPPER(Sheet1!B711)</f>
        <v/>
      </c>
      <c r="D711" s="7">
        <f>IF(Sheet1!F711="F","FEMALE","MALE")</f>
        <v/>
      </c>
      <c r="E711" s="6">
        <f>UPPER(Sheet1!G711)</f>
        <v/>
      </c>
      <c r="F711" s="6">
        <f>UPPER(Sheet1!H711)</f>
        <v/>
      </c>
      <c r="G711" s="5">
        <f>TEXT(Sheet1!C711,"dd/mm/yyyy") &amp; "," &amp; Sheet1!D711</f>
        <v/>
      </c>
      <c r="H711" s="38">
        <f>UPPER(Sheet1!J711 &amp; "," &amp; Sheet1!K711 &amp; "," &amp; Sheet1!L711)</f>
        <v/>
      </c>
      <c r="I711" s="45">
        <f>Sheet1!I711</f>
        <v/>
      </c>
      <c r="J711" s="5">
        <f>Sheet1!M711 &amp; "," &amp; TEXT(Sheet1!N711,"dd/mm/yy")</f>
        <v/>
      </c>
      <c r="K711" s="5" t="inlineStr">
        <is>
          <t>PRINTED</t>
        </is>
      </c>
      <c r="L711" s="1" t="inlineStr">
        <is>
          <t>25/03/2026</t>
        </is>
      </c>
      <c r="M711" s="30" t="inlineStr">
        <is>
          <t>MANISH KATARIA, VICE CONSUL</t>
        </is>
      </c>
      <c r="N711" s="1" t="inlineStr">
        <is>
          <t>26/02/2026</t>
        </is>
      </c>
    </row>
    <row r="712">
      <c r="A712" s="4">
        <f>Sheet1!A712 &amp; "/" &amp; "2025"</f>
        <v/>
      </c>
      <c r="B712" s="5">
        <f>Sheet1!E712</f>
        <v/>
      </c>
      <c r="C712" s="6">
        <f>UPPER(Sheet1!B712)</f>
        <v/>
      </c>
      <c r="D712" s="7">
        <f>IF(Sheet1!F712="F","FEMALE","MALE")</f>
        <v/>
      </c>
      <c r="E712" s="6">
        <f>UPPER(Sheet1!G712)</f>
        <v/>
      </c>
      <c r="F712" s="6">
        <f>UPPER(Sheet1!H712)</f>
        <v/>
      </c>
      <c r="G712" s="5">
        <f>TEXT(Sheet1!C712,"dd/mm/yyyy") &amp; "," &amp; Sheet1!D712</f>
        <v/>
      </c>
      <c r="H712" s="38">
        <f>UPPER(Sheet1!J712 &amp; "," &amp; Sheet1!K712 &amp; "," &amp; Sheet1!L712)</f>
        <v/>
      </c>
      <c r="I712" s="45">
        <f>Sheet1!I712</f>
        <v/>
      </c>
      <c r="J712" s="5">
        <f>Sheet1!M712 &amp; "," &amp; TEXT(Sheet1!N712,"dd/mm/yy")</f>
        <v/>
      </c>
      <c r="K712" s="5" t="inlineStr">
        <is>
          <t>PRINTED</t>
        </is>
      </c>
      <c r="L712" s="1" t="inlineStr">
        <is>
          <t>25/03/2026</t>
        </is>
      </c>
      <c r="M712" s="30" t="inlineStr">
        <is>
          <t>MANISH KATARIA, VICE CONSUL</t>
        </is>
      </c>
      <c r="N712" s="1" t="inlineStr">
        <is>
          <t>26/02/2026</t>
        </is>
      </c>
    </row>
    <row r="713">
      <c r="A713" s="4">
        <f>Sheet1!A713 &amp; "/" &amp; "2025"</f>
        <v/>
      </c>
      <c r="B713" s="5">
        <f>Sheet1!E713</f>
        <v/>
      </c>
      <c r="C713" s="6">
        <f>UPPER(Sheet1!B713)</f>
        <v/>
      </c>
      <c r="D713" s="7">
        <f>IF(Sheet1!F713="F","FEMALE","MALE")</f>
        <v/>
      </c>
      <c r="E713" s="6">
        <f>UPPER(Sheet1!G713)</f>
        <v/>
      </c>
      <c r="F713" s="6">
        <f>UPPER(Sheet1!H713)</f>
        <v/>
      </c>
      <c r="G713" s="5">
        <f>TEXT(Sheet1!C713,"dd/mm/yyyy") &amp; "," &amp; Sheet1!D713</f>
        <v/>
      </c>
      <c r="H713" s="38">
        <f>UPPER(Sheet1!J713 &amp; "," &amp; Sheet1!K713 &amp; "," &amp; Sheet1!L713)</f>
        <v/>
      </c>
      <c r="I713" s="45">
        <f>Sheet1!I713</f>
        <v/>
      </c>
      <c r="J713" s="5">
        <f>Sheet1!M713 &amp; "," &amp; TEXT(Sheet1!N713,"dd/mm/yy")</f>
        <v/>
      </c>
      <c r="K713" s="5" t="inlineStr">
        <is>
          <t>PRINTED</t>
        </is>
      </c>
      <c r="L713" s="1" t="inlineStr">
        <is>
          <t>25/03/2026</t>
        </is>
      </c>
      <c r="M713" s="30" t="inlineStr">
        <is>
          <t>MANISH KATARIA, VICE CONSUL</t>
        </is>
      </c>
      <c r="N713" s="1" t="inlineStr">
        <is>
          <t>26/02/2026</t>
        </is>
      </c>
    </row>
    <row r="714">
      <c r="A714" s="4">
        <f>Sheet1!A714 &amp; "/" &amp; "2025"</f>
        <v/>
      </c>
      <c r="B714" s="5">
        <f>Sheet1!E714</f>
        <v/>
      </c>
      <c r="C714" s="6">
        <f>UPPER(Sheet1!B714)</f>
        <v/>
      </c>
      <c r="D714" s="7">
        <f>IF(Sheet1!F714="F","FEMALE","MALE")</f>
        <v/>
      </c>
      <c r="E714" s="6">
        <f>UPPER(Sheet1!G714)</f>
        <v/>
      </c>
      <c r="F714" s="6">
        <f>UPPER(Sheet1!H714)</f>
        <v/>
      </c>
      <c r="G714" s="5">
        <f>TEXT(Sheet1!C714,"dd/mm/yyyy") &amp; "," &amp; Sheet1!D714</f>
        <v/>
      </c>
      <c r="H714" s="38">
        <f>UPPER(Sheet1!J714 &amp; "," &amp; Sheet1!K714 &amp; "," &amp; Sheet1!L714)</f>
        <v/>
      </c>
      <c r="I714" s="45">
        <f>Sheet1!I714</f>
        <v/>
      </c>
      <c r="J714" s="5">
        <f>Sheet1!M714 &amp; "," &amp; TEXT(Sheet1!N714,"dd/mm/yy")</f>
        <v/>
      </c>
      <c r="K714" s="5" t="inlineStr">
        <is>
          <t>PRINTED</t>
        </is>
      </c>
      <c r="L714" s="1" t="inlineStr">
        <is>
          <t>25/03/2026</t>
        </is>
      </c>
      <c r="M714" s="30" t="inlineStr">
        <is>
          <t>MANISH KATARIA, VICE CONSUL</t>
        </is>
      </c>
      <c r="N714" s="1" t="inlineStr">
        <is>
          <t>26/02/2026</t>
        </is>
      </c>
    </row>
    <row r="715">
      <c r="A715" s="4">
        <f>Sheet1!A715 &amp; "/" &amp; "2025"</f>
        <v/>
      </c>
      <c r="B715" s="5">
        <f>Sheet1!E715</f>
        <v/>
      </c>
      <c r="C715" s="6">
        <f>UPPER(Sheet1!B715)</f>
        <v/>
      </c>
      <c r="D715" s="7">
        <f>IF(Sheet1!F715="F","FEMALE","MALE")</f>
        <v/>
      </c>
      <c r="E715" s="6">
        <f>UPPER(Sheet1!G715)</f>
        <v/>
      </c>
      <c r="F715" s="6">
        <f>UPPER(Sheet1!H715)</f>
        <v/>
      </c>
      <c r="G715" s="5">
        <f>TEXT(Sheet1!C715,"dd/mm/yyyy") &amp; "," &amp; Sheet1!D715</f>
        <v/>
      </c>
      <c r="H715" s="38">
        <f>UPPER(Sheet1!J715 &amp; "," &amp; Sheet1!K715 &amp; "," &amp; Sheet1!L715)</f>
        <v/>
      </c>
      <c r="I715" s="45">
        <f>Sheet1!I715</f>
        <v/>
      </c>
      <c r="J715" s="5">
        <f>Sheet1!M715 &amp; "," &amp; TEXT(Sheet1!N715,"dd/mm/yy")</f>
        <v/>
      </c>
      <c r="K715" s="5" t="inlineStr">
        <is>
          <t>PRINTED</t>
        </is>
      </c>
      <c r="L715" s="1" t="inlineStr">
        <is>
          <t>25/03/2026</t>
        </is>
      </c>
      <c r="M715" s="30" t="inlineStr">
        <is>
          <t>MANISH KATARIA, VICE CONSUL</t>
        </is>
      </c>
      <c r="N715" s="1" t="inlineStr">
        <is>
          <t>26/02/2026</t>
        </is>
      </c>
    </row>
    <row r="716">
      <c r="A716" s="4">
        <f>Sheet1!A716 &amp; "/" &amp; "2025"</f>
        <v/>
      </c>
      <c r="B716" s="5">
        <f>Sheet1!E716</f>
        <v/>
      </c>
      <c r="C716" s="6">
        <f>UPPER(Sheet1!B716)</f>
        <v/>
      </c>
      <c r="D716" s="7">
        <f>IF(Sheet1!F716="F","FEMALE","MALE")</f>
        <v/>
      </c>
      <c r="E716" s="6">
        <f>UPPER(Sheet1!G716)</f>
        <v/>
      </c>
      <c r="F716" s="6">
        <f>UPPER(Sheet1!H716)</f>
        <v/>
      </c>
      <c r="G716" s="5">
        <f>TEXT(Sheet1!C716,"dd/mm/yyyy") &amp; "," &amp; Sheet1!D716</f>
        <v/>
      </c>
      <c r="H716" s="38">
        <f>UPPER(Sheet1!J716 &amp; "," &amp; Sheet1!K716 &amp; "," &amp; Sheet1!L716)</f>
        <v/>
      </c>
      <c r="I716" s="45">
        <f>Sheet1!I716</f>
        <v/>
      </c>
      <c r="J716" s="5">
        <f>Sheet1!M716 &amp; "," &amp; TEXT(Sheet1!N716,"dd/mm/yy")</f>
        <v/>
      </c>
      <c r="K716" s="5" t="inlineStr">
        <is>
          <t>PRINTED</t>
        </is>
      </c>
      <c r="L716" s="1" t="inlineStr">
        <is>
          <t>25/03/2026</t>
        </is>
      </c>
      <c r="M716" s="30" t="inlineStr">
        <is>
          <t>MANISH KATARIA, VICE CONSUL</t>
        </is>
      </c>
      <c r="N716" s="1" t="inlineStr">
        <is>
          <t>26/02/2026</t>
        </is>
      </c>
    </row>
    <row r="717">
      <c r="A717" s="4">
        <f>Sheet1!A717 &amp; "/" &amp; "2025"</f>
        <v/>
      </c>
      <c r="B717" s="5">
        <f>Sheet1!E717</f>
        <v/>
      </c>
      <c r="C717" s="6">
        <f>UPPER(Sheet1!B717)</f>
        <v/>
      </c>
      <c r="D717" s="7">
        <f>IF(Sheet1!F717="F","FEMALE","MALE")</f>
        <v/>
      </c>
      <c r="E717" s="6">
        <f>UPPER(Sheet1!G717)</f>
        <v/>
      </c>
      <c r="F717" s="6">
        <f>UPPER(Sheet1!H717)</f>
        <v/>
      </c>
      <c r="G717" s="5">
        <f>TEXT(Sheet1!C717,"dd/mm/yyyy") &amp; "," &amp; Sheet1!D717</f>
        <v/>
      </c>
      <c r="H717" s="38">
        <f>UPPER(Sheet1!J717 &amp; "," &amp; Sheet1!K717 &amp; "," &amp; Sheet1!L717)</f>
        <v/>
      </c>
      <c r="I717" s="45">
        <f>Sheet1!I717</f>
        <v/>
      </c>
      <c r="J717" s="5">
        <f>Sheet1!M717 &amp; "," &amp; TEXT(Sheet1!N717,"dd/mm/yy")</f>
        <v/>
      </c>
      <c r="K717" s="5" t="inlineStr">
        <is>
          <t>PRINTED</t>
        </is>
      </c>
      <c r="L717" s="1" t="inlineStr">
        <is>
          <t>25/03/2026</t>
        </is>
      </c>
      <c r="M717" s="30" t="inlineStr">
        <is>
          <t>MANISH KATARIA, VICE CONSUL</t>
        </is>
      </c>
      <c r="N717" s="1" t="inlineStr">
        <is>
          <t>26/02/2026</t>
        </is>
      </c>
    </row>
    <row r="718">
      <c r="A718" s="4">
        <f>Sheet1!A718 &amp; "/" &amp; "2025"</f>
        <v/>
      </c>
      <c r="B718" s="5">
        <f>Sheet1!E718</f>
        <v/>
      </c>
      <c r="C718" s="6">
        <f>UPPER(Sheet1!B718)</f>
        <v/>
      </c>
      <c r="D718" s="7">
        <f>IF(Sheet1!F718="F","FEMALE","MALE")</f>
        <v/>
      </c>
      <c r="E718" s="6">
        <f>UPPER(Sheet1!G718)</f>
        <v/>
      </c>
      <c r="F718" s="6">
        <f>UPPER(Sheet1!H718)</f>
        <v/>
      </c>
      <c r="G718" s="5">
        <f>TEXT(Sheet1!C718,"dd/mm/yyyy") &amp; "," &amp; Sheet1!D718</f>
        <v/>
      </c>
      <c r="H718" s="38">
        <f>UPPER(Sheet1!J718 &amp; "," &amp; Sheet1!K718 &amp; "," &amp; Sheet1!L718)</f>
        <v/>
      </c>
      <c r="I718" s="45">
        <f>Sheet1!I718</f>
        <v/>
      </c>
      <c r="J718" s="5">
        <f>Sheet1!M718 &amp; "," &amp; TEXT(Sheet1!N718,"dd/mm/yy")</f>
        <v/>
      </c>
      <c r="K718" s="5" t="inlineStr">
        <is>
          <t>PRINTED</t>
        </is>
      </c>
      <c r="L718" s="1" t="inlineStr">
        <is>
          <t>25/03/2026</t>
        </is>
      </c>
      <c r="M718" s="30" t="inlineStr">
        <is>
          <t>MANISH KATARIA, VICE CONSUL</t>
        </is>
      </c>
      <c r="N718" s="1" t="inlineStr">
        <is>
          <t>26/02/2026</t>
        </is>
      </c>
    </row>
    <row r="719">
      <c r="A719" s="4">
        <f>Sheet1!A719 &amp; "/" &amp; "2025"</f>
        <v/>
      </c>
      <c r="B719" s="5">
        <f>Sheet1!E719</f>
        <v/>
      </c>
      <c r="C719" s="6">
        <f>UPPER(Sheet1!B719)</f>
        <v/>
      </c>
      <c r="D719" s="7">
        <f>IF(Sheet1!F719="F","FEMALE","MALE")</f>
        <v/>
      </c>
      <c r="E719" s="6">
        <f>UPPER(Sheet1!G719)</f>
        <v/>
      </c>
      <c r="F719" s="6">
        <f>UPPER(Sheet1!H719)</f>
        <v/>
      </c>
      <c r="G719" s="5">
        <f>TEXT(Sheet1!C719,"dd/mm/yyyy") &amp; "," &amp; Sheet1!D719</f>
        <v/>
      </c>
      <c r="H719" s="38">
        <f>UPPER(Sheet1!J719 &amp; "," &amp; Sheet1!K719 &amp; "," &amp; Sheet1!L719)</f>
        <v/>
      </c>
      <c r="I719" s="45">
        <f>Sheet1!I719</f>
        <v/>
      </c>
      <c r="J719" s="5">
        <f>Sheet1!M719 &amp; "," &amp; TEXT(Sheet1!N719,"dd/mm/yy")</f>
        <v/>
      </c>
      <c r="K719" s="5" t="inlineStr">
        <is>
          <t>PRINTED</t>
        </is>
      </c>
      <c r="L719" s="1" t="inlineStr">
        <is>
          <t>25/03/2026</t>
        </is>
      </c>
      <c r="M719" s="30" t="inlineStr">
        <is>
          <t>MANISH KATARIA, VICE CONSUL</t>
        </is>
      </c>
      <c r="N719" s="1" t="inlineStr">
        <is>
          <t>26/02/2026</t>
        </is>
      </c>
    </row>
    <row r="720">
      <c r="A720" s="4">
        <f>Sheet1!A720 &amp; "/" &amp; "2025"</f>
        <v/>
      </c>
      <c r="B720" s="5">
        <f>Sheet1!E720</f>
        <v/>
      </c>
      <c r="C720" s="6">
        <f>UPPER(Sheet1!B720)</f>
        <v/>
      </c>
      <c r="D720" s="7">
        <f>IF(Sheet1!F720="F","FEMALE","MALE")</f>
        <v/>
      </c>
      <c r="E720" s="6">
        <f>UPPER(Sheet1!G720)</f>
        <v/>
      </c>
      <c r="F720" s="6">
        <f>UPPER(Sheet1!H720)</f>
        <v/>
      </c>
      <c r="G720" s="5">
        <f>TEXT(Sheet1!C720,"dd/mm/yyyy") &amp; "," &amp; Sheet1!D720</f>
        <v/>
      </c>
      <c r="H720" s="38">
        <f>UPPER(Sheet1!J720 &amp; "," &amp; Sheet1!K720 &amp; "," &amp; Sheet1!L720)</f>
        <v/>
      </c>
      <c r="I720" s="45">
        <f>Sheet1!I720</f>
        <v/>
      </c>
      <c r="J720" s="5">
        <f>Sheet1!M720 &amp; "," &amp; TEXT(Sheet1!N720,"dd/mm/yy")</f>
        <v/>
      </c>
      <c r="K720" s="5" t="inlineStr">
        <is>
          <t>PRINTED</t>
        </is>
      </c>
      <c r="L720" s="1" t="inlineStr">
        <is>
          <t>25/03/2026</t>
        </is>
      </c>
      <c r="M720" s="30" t="inlineStr">
        <is>
          <t>MANISH KATARIA, VICE CONSUL</t>
        </is>
      </c>
      <c r="N720" s="1" t="inlineStr">
        <is>
          <t>26/02/2026</t>
        </is>
      </c>
    </row>
    <row r="721">
      <c r="A721" s="4">
        <f>Sheet1!A721 &amp; "/" &amp; "2025"</f>
        <v/>
      </c>
      <c r="B721" s="5">
        <f>Sheet1!E721</f>
        <v/>
      </c>
      <c r="C721" s="6">
        <f>UPPER(Sheet1!B721)</f>
        <v/>
      </c>
      <c r="D721" s="7">
        <f>IF(Sheet1!F721="F","FEMALE","MALE")</f>
        <v/>
      </c>
      <c r="E721" s="6">
        <f>UPPER(Sheet1!G721)</f>
        <v/>
      </c>
      <c r="F721" s="6">
        <f>UPPER(Sheet1!H721)</f>
        <v/>
      </c>
      <c r="G721" s="5">
        <f>TEXT(Sheet1!C721,"dd/mm/yyyy") &amp; "," &amp; Sheet1!D721</f>
        <v/>
      </c>
      <c r="H721" s="38">
        <f>UPPER(Sheet1!J721 &amp; "," &amp; Sheet1!K721 &amp; "," &amp; Sheet1!L721)</f>
        <v/>
      </c>
      <c r="I721" s="45">
        <f>Sheet1!I721</f>
        <v/>
      </c>
      <c r="J721" s="5">
        <f>Sheet1!M721 &amp; "," &amp; TEXT(Sheet1!N721,"dd/mm/yy")</f>
        <v/>
      </c>
      <c r="K721" s="5" t="inlineStr">
        <is>
          <t>PRINTED</t>
        </is>
      </c>
      <c r="L721" s="1" t="inlineStr">
        <is>
          <t>25/03/2026</t>
        </is>
      </c>
      <c r="M721" s="30" t="inlineStr">
        <is>
          <t>MANISH KATARIA, VICE CONSUL</t>
        </is>
      </c>
      <c r="N721" s="1" t="inlineStr">
        <is>
          <t>26/02/2026</t>
        </is>
      </c>
    </row>
    <row r="722">
      <c r="A722" s="4">
        <f>Sheet1!A722 &amp; "/" &amp; "2025"</f>
        <v/>
      </c>
      <c r="B722" s="5">
        <f>Sheet1!E722</f>
        <v/>
      </c>
      <c r="C722" s="6">
        <f>UPPER(Sheet1!B722)</f>
        <v/>
      </c>
      <c r="D722" s="7">
        <f>IF(Sheet1!F722="F","FEMALE","MALE")</f>
        <v/>
      </c>
      <c r="E722" s="6">
        <f>UPPER(Sheet1!G722)</f>
        <v/>
      </c>
      <c r="F722" s="6">
        <f>UPPER(Sheet1!H722)</f>
        <v/>
      </c>
      <c r="G722" s="5">
        <f>TEXT(Sheet1!C722,"dd/mm/yyyy") &amp; "," &amp; Sheet1!D722</f>
        <v/>
      </c>
      <c r="H722" s="38">
        <f>UPPER(Sheet1!J722 &amp; "," &amp; Sheet1!K722 &amp; "," &amp; Sheet1!L722)</f>
        <v/>
      </c>
      <c r="I722" s="45">
        <f>Sheet1!I722</f>
        <v/>
      </c>
      <c r="J722" s="5">
        <f>Sheet1!M722 &amp; "," &amp; TEXT(Sheet1!N722,"dd/mm/yy")</f>
        <v/>
      </c>
      <c r="K722" s="5" t="inlineStr">
        <is>
          <t>PRINTED</t>
        </is>
      </c>
      <c r="L722" s="1" t="inlineStr">
        <is>
          <t>25/03/2026</t>
        </is>
      </c>
      <c r="M722" s="30" t="inlineStr">
        <is>
          <t>MANISH KATARIA, VICE CONSUL</t>
        </is>
      </c>
      <c r="N722" s="1" t="inlineStr">
        <is>
          <t>26/02/2026</t>
        </is>
      </c>
    </row>
    <row r="723">
      <c r="A723" s="4">
        <f>Sheet1!A723 &amp; "/" &amp; "2025"</f>
        <v/>
      </c>
      <c r="B723" s="5">
        <f>Sheet1!E723</f>
        <v/>
      </c>
      <c r="C723" s="6">
        <f>UPPER(Sheet1!B723)</f>
        <v/>
      </c>
      <c r="D723" s="7">
        <f>IF(Sheet1!F723="F","FEMALE","MALE")</f>
        <v/>
      </c>
      <c r="E723" s="6">
        <f>UPPER(Sheet1!G723)</f>
        <v/>
      </c>
      <c r="F723" s="6">
        <f>UPPER(Sheet1!H723)</f>
        <v/>
      </c>
      <c r="G723" s="5">
        <f>TEXT(Sheet1!C723,"dd/mm/yyyy") &amp; "," &amp; Sheet1!D723</f>
        <v/>
      </c>
      <c r="H723" s="38">
        <f>UPPER(Sheet1!J723 &amp; "," &amp; Sheet1!K723 &amp; "," &amp; Sheet1!L723)</f>
        <v/>
      </c>
      <c r="I723" s="45">
        <f>Sheet1!I723</f>
        <v/>
      </c>
      <c r="J723" s="5">
        <f>Sheet1!M723 &amp; "," &amp; TEXT(Sheet1!N723,"dd/mm/yy")</f>
        <v/>
      </c>
      <c r="K723" s="5" t="inlineStr">
        <is>
          <t>PRINTED</t>
        </is>
      </c>
      <c r="L723" s="1" t="inlineStr">
        <is>
          <t>25/03/2026</t>
        </is>
      </c>
      <c r="M723" s="30" t="inlineStr">
        <is>
          <t>MANISH KATARIA, VICE CONSUL</t>
        </is>
      </c>
      <c r="N723" s="1" t="inlineStr">
        <is>
          <t>26/02/2026</t>
        </is>
      </c>
    </row>
    <row r="724">
      <c r="A724" s="4">
        <f>Sheet1!A724 &amp; "/" &amp; "2025"</f>
        <v/>
      </c>
      <c r="B724" s="5">
        <f>Sheet1!E724</f>
        <v/>
      </c>
      <c r="C724" s="6">
        <f>UPPER(Sheet1!B724)</f>
        <v/>
      </c>
      <c r="D724" s="7">
        <f>IF(Sheet1!F724="F","FEMALE","MALE")</f>
        <v/>
      </c>
      <c r="E724" s="6">
        <f>UPPER(Sheet1!G724)</f>
        <v/>
      </c>
      <c r="F724" s="6">
        <f>UPPER(Sheet1!H724)</f>
        <v/>
      </c>
      <c r="G724" s="5">
        <f>TEXT(Sheet1!C724,"dd/mm/yyyy") &amp; "," &amp; Sheet1!D724</f>
        <v/>
      </c>
      <c r="H724" s="38">
        <f>UPPER(Sheet1!J724 &amp; "," &amp; Sheet1!K724 &amp; "," &amp; Sheet1!L724)</f>
        <v/>
      </c>
      <c r="I724" s="45">
        <f>Sheet1!I724</f>
        <v/>
      </c>
      <c r="J724" s="5">
        <f>Sheet1!M724 &amp; "," &amp; TEXT(Sheet1!N724,"dd/mm/yy")</f>
        <v/>
      </c>
      <c r="K724" s="5" t="inlineStr">
        <is>
          <t>PRINTED</t>
        </is>
      </c>
      <c r="L724" s="1" t="inlineStr">
        <is>
          <t>25/03/2026</t>
        </is>
      </c>
      <c r="M724" s="30" t="inlineStr">
        <is>
          <t>MANISH KATARIA, VICE CONSUL</t>
        </is>
      </c>
      <c r="N724" s="1" t="inlineStr">
        <is>
          <t>26/02/2026</t>
        </is>
      </c>
    </row>
    <row r="725">
      <c r="A725" s="4">
        <f>Sheet1!A725 &amp; "/" &amp; "2025"</f>
        <v/>
      </c>
      <c r="B725" s="5">
        <f>Sheet1!E725</f>
        <v/>
      </c>
      <c r="C725" s="6">
        <f>UPPER(Sheet1!B725)</f>
        <v/>
      </c>
      <c r="D725" s="7">
        <f>IF(Sheet1!F725="F","FEMALE","MALE")</f>
        <v/>
      </c>
      <c r="E725" s="6">
        <f>UPPER(Sheet1!G725)</f>
        <v/>
      </c>
      <c r="F725" s="6">
        <f>UPPER(Sheet1!H725)</f>
        <v/>
      </c>
      <c r="G725" s="5">
        <f>TEXT(Sheet1!C725,"dd/mm/yyyy") &amp; "," &amp; Sheet1!D725</f>
        <v/>
      </c>
      <c r="H725" s="38">
        <f>UPPER(Sheet1!J725 &amp; "," &amp; Sheet1!K725 &amp; "," &amp; Sheet1!L725)</f>
        <v/>
      </c>
      <c r="I725" s="45">
        <f>Sheet1!I725</f>
        <v/>
      </c>
      <c r="J725" s="5">
        <f>Sheet1!M725 &amp; "," &amp; TEXT(Sheet1!N725,"dd/mm/yy")</f>
        <v/>
      </c>
      <c r="K725" s="5" t="inlineStr">
        <is>
          <t>PRINTED</t>
        </is>
      </c>
      <c r="L725" s="1" t="inlineStr">
        <is>
          <t>25/03/2026</t>
        </is>
      </c>
      <c r="M725" s="30" t="inlineStr">
        <is>
          <t>MANISH KATARIA, VICE CONSUL</t>
        </is>
      </c>
      <c r="N725" s="1" t="inlineStr">
        <is>
          <t>26/02/2026</t>
        </is>
      </c>
    </row>
    <row r="726">
      <c r="A726" s="4">
        <f>Sheet1!A726 &amp; "/" &amp; "2025"</f>
        <v/>
      </c>
      <c r="B726" s="5">
        <f>Sheet1!E726</f>
        <v/>
      </c>
      <c r="C726" s="6">
        <f>UPPER(Sheet1!B726)</f>
        <v/>
      </c>
      <c r="D726" s="7">
        <f>IF(Sheet1!F726="F","FEMALE","MALE")</f>
        <v/>
      </c>
      <c r="E726" s="6">
        <f>UPPER(Sheet1!G726)</f>
        <v/>
      </c>
      <c r="F726" s="6">
        <f>UPPER(Sheet1!H726)</f>
        <v/>
      </c>
      <c r="G726" s="5">
        <f>TEXT(Sheet1!C726,"dd/mm/yyyy") &amp; "," &amp; Sheet1!D726</f>
        <v/>
      </c>
      <c r="H726" s="38">
        <f>UPPER(Sheet1!J726 &amp; "," &amp; Sheet1!K726 &amp; "," &amp; Sheet1!L726)</f>
        <v/>
      </c>
      <c r="I726" s="45">
        <f>Sheet1!I726</f>
        <v/>
      </c>
      <c r="J726" s="5">
        <f>Sheet1!M726 &amp; "," &amp; TEXT(Sheet1!N726,"dd/mm/yy")</f>
        <v/>
      </c>
      <c r="K726" s="5" t="inlineStr">
        <is>
          <t>PRINTED</t>
        </is>
      </c>
      <c r="L726" s="1" t="inlineStr">
        <is>
          <t>25/03/2026</t>
        </is>
      </c>
      <c r="M726" s="30" t="inlineStr">
        <is>
          <t>MANISH KATARIA, VICE CONSUL</t>
        </is>
      </c>
      <c r="N726" s="1" t="inlineStr">
        <is>
          <t>26/02/2026</t>
        </is>
      </c>
    </row>
    <row r="727">
      <c r="A727" s="4">
        <f>Sheet1!A727 &amp; "/" &amp; "2025"</f>
        <v/>
      </c>
      <c r="B727" s="5">
        <f>Sheet1!E727</f>
        <v/>
      </c>
      <c r="C727" s="6">
        <f>UPPER(Sheet1!B727)</f>
        <v/>
      </c>
      <c r="D727" s="7">
        <f>IF(Sheet1!F727="F","FEMALE","MALE")</f>
        <v/>
      </c>
      <c r="E727" s="6">
        <f>UPPER(Sheet1!G727)</f>
        <v/>
      </c>
      <c r="F727" s="6">
        <f>UPPER(Sheet1!H727)</f>
        <v/>
      </c>
      <c r="G727" s="5">
        <f>TEXT(Sheet1!C727,"dd/mm/yyyy") &amp; "," &amp; Sheet1!D727</f>
        <v/>
      </c>
      <c r="H727" s="38">
        <f>UPPER(Sheet1!J727 &amp; "," &amp; Sheet1!K727 &amp; "," &amp; Sheet1!L727)</f>
        <v/>
      </c>
      <c r="I727" s="45">
        <f>Sheet1!I727</f>
        <v/>
      </c>
      <c r="J727" s="5">
        <f>Sheet1!M727 &amp; "," &amp; TEXT(Sheet1!N727,"dd/mm/yy")</f>
        <v/>
      </c>
      <c r="K727" s="5" t="inlineStr">
        <is>
          <t>PRINTED</t>
        </is>
      </c>
      <c r="L727" s="1" t="inlineStr">
        <is>
          <t>25/03/2026</t>
        </is>
      </c>
      <c r="M727" s="30" t="inlineStr">
        <is>
          <t>MANISH KATARIA, VICE CONSUL</t>
        </is>
      </c>
      <c r="N727" s="1" t="inlineStr">
        <is>
          <t>26/02/2026</t>
        </is>
      </c>
    </row>
    <row r="728">
      <c r="A728" s="4">
        <f>Sheet1!A728 &amp; "/" &amp; "2025"</f>
        <v/>
      </c>
      <c r="B728" s="5">
        <f>Sheet1!E728</f>
        <v/>
      </c>
      <c r="C728" s="6">
        <f>UPPER(Sheet1!B728)</f>
        <v/>
      </c>
      <c r="D728" s="7">
        <f>IF(Sheet1!F728="F","FEMALE","MALE")</f>
        <v/>
      </c>
      <c r="E728" s="6">
        <f>UPPER(Sheet1!G728)</f>
        <v/>
      </c>
      <c r="F728" s="6">
        <f>UPPER(Sheet1!H728)</f>
        <v/>
      </c>
      <c r="G728" s="5">
        <f>TEXT(Sheet1!C728,"dd/mm/yyyy") &amp; "," &amp; Sheet1!D728</f>
        <v/>
      </c>
      <c r="H728" s="38">
        <f>UPPER(Sheet1!J728 &amp; "," &amp; Sheet1!K728 &amp; "," &amp; Sheet1!L728)</f>
        <v/>
      </c>
      <c r="I728" s="45">
        <f>Sheet1!I728</f>
        <v/>
      </c>
      <c r="J728" s="5">
        <f>Sheet1!M728 &amp; "," &amp; TEXT(Sheet1!N728,"dd/mm/yy")</f>
        <v/>
      </c>
      <c r="K728" s="5" t="inlineStr">
        <is>
          <t>PRINTED</t>
        </is>
      </c>
      <c r="L728" s="1" t="inlineStr">
        <is>
          <t>25/03/2026</t>
        </is>
      </c>
      <c r="M728" s="30" t="inlineStr">
        <is>
          <t>MANISH KATARIA, VICE CONSUL</t>
        </is>
      </c>
      <c r="N728" s="1" t="inlineStr">
        <is>
          <t>26/02/2026</t>
        </is>
      </c>
    </row>
    <row r="729">
      <c r="A729" s="4">
        <f>Sheet1!A729 &amp; "/" &amp; "2025"</f>
        <v/>
      </c>
      <c r="B729" s="5">
        <f>Sheet1!E729</f>
        <v/>
      </c>
      <c r="C729" s="6">
        <f>UPPER(Sheet1!B729)</f>
        <v/>
      </c>
      <c r="D729" s="7">
        <f>IF(Sheet1!F729="F","FEMALE","MALE")</f>
        <v/>
      </c>
      <c r="E729" s="6">
        <f>UPPER(Sheet1!G729)</f>
        <v/>
      </c>
      <c r="F729" s="6">
        <f>UPPER(Sheet1!H729)</f>
        <v/>
      </c>
      <c r="G729" s="5">
        <f>TEXT(Sheet1!C729,"dd/mm/yyyy") &amp; "," &amp; Sheet1!D729</f>
        <v/>
      </c>
      <c r="H729" s="38">
        <f>UPPER(Sheet1!J729 &amp; "," &amp; Sheet1!K729 &amp; "," &amp; Sheet1!L729)</f>
        <v/>
      </c>
      <c r="I729" s="45">
        <f>Sheet1!I729</f>
        <v/>
      </c>
      <c r="J729" s="5">
        <f>Sheet1!M729 &amp; "," &amp; TEXT(Sheet1!N729,"dd/mm/yy")</f>
        <v/>
      </c>
      <c r="K729" s="5" t="inlineStr">
        <is>
          <t>PRINTED</t>
        </is>
      </c>
      <c r="L729" t="inlineStr">
        <is>
          <t>25/03/2026</t>
        </is>
      </c>
      <c r="M729" s="30" t="inlineStr">
        <is>
          <t>MANISH KATARIA, VICE CONSUL</t>
        </is>
      </c>
      <c r="N729" t="inlineStr">
        <is>
          <t>26/02/2026</t>
        </is>
      </c>
    </row>
    <row r="730">
      <c r="A730" s="4">
        <f>Sheet1!A730 &amp; "/" &amp; "2025"</f>
        <v/>
      </c>
      <c r="B730" s="5">
        <f>Sheet1!E730</f>
        <v/>
      </c>
      <c r="C730" s="6">
        <f>UPPER(Sheet1!B730)</f>
        <v/>
      </c>
      <c r="D730" s="7">
        <f>IF(Sheet1!F730="F","FEMALE","MALE")</f>
        <v/>
      </c>
      <c r="E730" s="6">
        <f>UPPER(Sheet1!G730)</f>
        <v/>
      </c>
      <c r="F730" s="6">
        <f>UPPER(Sheet1!H730)</f>
        <v/>
      </c>
      <c r="G730" s="5">
        <f>TEXT(Sheet1!C730,"dd/mm/yyyy") &amp; "," &amp; Sheet1!D730</f>
        <v/>
      </c>
      <c r="H730" s="38">
        <f>UPPER(Sheet1!J730 &amp; "," &amp; Sheet1!K730 &amp; "," &amp; Sheet1!L730)</f>
        <v/>
      </c>
      <c r="I730" s="45">
        <f>Sheet1!I730</f>
        <v/>
      </c>
      <c r="J730" s="5">
        <f>Sheet1!M730 &amp; "," &amp; TEXT(Sheet1!N730,"dd/mm/yy")</f>
        <v/>
      </c>
      <c r="K730" s="5" t="inlineStr">
        <is>
          <t>PRINTED</t>
        </is>
      </c>
      <c r="L730" t="inlineStr">
        <is>
          <t>25/03/2026</t>
        </is>
      </c>
      <c r="M730" s="30" t="inlineStr">
        <is>
          <t>MANISH KATARIA, VICE CONSUL</t>
        </is>
      </c>
      <c r="N730" t="inlineStr">
        <is>
          <t>26/02/2026</t>
        </is>
      </c>
    </row>
    <row r="731">
      <c r="A731" s="4">
        <f>Sheet1!A731 &amp; "/" &amp; "2025"</f>
        <v/>
      </c>
      <c r="B731" s="5">
        <f>Sheet1!E731</f>
        <v/>
      </c>
      <c r="C731" s="6">
        <f>UPPER(Sheet1!B731)</f>
        <v/>
      </c>
      <c r="D731" s="7">
        <f>IF(Sheet1!F731="F","FEMALE","MALE")</f>
        <v/>
      </c>
      <c r="E731" s="6">
        <f>UPPER(Sheet1!G731)</f>
        <v/>
      </c>
      <c r="F731" s="6">
        <f>UPPER(Sheet1!H731)</f>
        <v/>
      </c>
      <c r="G731" s="5">
        <f>TEXT(Sheet1!C731,"dd/mm/yyyy") &amp; "," &amp; Sheet1!D731</f>
        <v/>
      </c>
      <c r="H731" s="38">
        <f>UPPER(Sheet1!J731 &amp; "," &amp; Sheet1!K731 &amp; "," &amp; Sheet1!L731)</f>
        <v/>
      </c>
      <c r="I731" s="45">
        <f>Sheet1!I731</f>
        <v/>
      </c>
      <c r="J731" s="5">
        <f>Sheet1!M731 &amp; "," &amp; TEXT(Sheet1!N731,"dd/mm/yy")</f>
        <v/>
      </c>
      <c r="K731" s="5" t="inlineStr">
        <is>
          <t>PRINTED</t>
        </is>
      </c>
      <c r="L731" t="inlineStr">
        <is>
          <t>25/03/2026</t>
        </is>
      </c>
      <c r="M731" s="30" t="inlineStr">
        <is>
          <t>MANISH KATARIA, VICE CONSUL</t>
        </is>
      </c>
      <c r="N731" t="inlineStr">
        <is>
          <t>26/02/2026</t>
        </is>
      </c>
    </row>
    <row r="732">
      <c r="A732" s="4">
        <f>Sheet1!A732 &amp; "/" &amp; "2025"</f>
        <v/>
      </c>
      <c r="B732" s="5">
        <f>Sheet1!E732</f>
        <v/>
      </c>
      <c r="C732" s="6">
        <f>UPPER(Sheet1!B732)</f>
        <v/>
      </c>
      <c r="D732" s="7">
        <f>IF(Sheet1!F732="F","FEMALE","MALE")</f>
        <v/>
      </c>
      <c r="E732" s="6">
        <f>UPPER(Sheet1!G732)</f>
        <v/>
      </c>
      <c r="F732" s="6">
        <f>UPPER(Sheet1!H732)</f>
        <v/>
      </c>
      <c r="G732" s="5">
        <f>TEXT(Sheet1!C732,"dd/mm/yyyy") &amp; "," &amp; Sheet1!D732</f>
        <v/>
      </c>
      <c r="H732" s="38">
        <f>UPPER(Sheet1!J732 &amp; "," &amp; Sheet1!K732 &amp; "," &amp; Sheet1!L732)</f>
        <v/>
      </c>
      <c r="I732" s="45">
        <f>Sheet1!I732</f>
        <v/>
      </c>
      <c r="J732" s="5">
        <f>Sheet1!M732 &amp; "," &amp; TEXT(Sheet1!N732,"dd/mm/yy")</f>
        <v/>
      </c>
      <c r="K732" s="5" t="inlineStr">
        <is>
          <t>PRINTED</t>
        </is>
      </c>
      <c r="L732" t="inlineStr">
        <is>
          <t>25/03/2026</t>
        </is>
      </c>
      <c r="M732" s="30" t="inlineStr">
        <is>
          <t>MANISH KATARIA, VICE CONSUL</t>
        </is>
      </c>
      <c r="N732" t="inlineStr">
        <is>
          <t>26/02/2026</t>
        </is>
      </c>
    </row>
    <row r="733">
      <c r="A733" s="4">
        <f>Sheet1!A733 &amp; "/" &amp; "2025"</f>
        <v/>
      </c>
      <c r="B733" s="5">
        <f>Sheet1!E733</f>
        <v/>
      </c>
      <c r="C733" s="6">
        <f>UPPER(Sheet1!B733)</f>
        <v/>
      </c>
      <c r="D733" s="7">
        <f>IF(Sheet1!F733="F","FEMALE","MALE")</f>
        <v/>
      </c>
      <c r="E733" s="6">
        <f>UPPER(Sheet1!G733)</f>
        <v/>
      </c>
      <c r="F733" s="6">
        <f>UPPER(Sheet1!H733)</f>
        <v/>
      </c>
      <c r="G733" s="5">
        <f>TEXT(Sheet1!C733,"dd/mm/yyyy") &amp; "," &amp; Sheet1!D733</f>
        <v/>
      </c>
      <c r="H733" s="38">
        <f>UPPER(Sheet1!J733 &amp; "," &amp; Sheet1!K733 &amp; "," &amp; Sheet1!L733)</f>
        <v/>
      </c>
      <c r="I733" s="45">
        <f>Sheet1!I733</f>
        <v/>
      </c>
      <c r="J733" s="5">
        <f>Sheet1!M733 &amp; "," &amp; TEXT(Sheet1!N733,"dd/mm/yy")</f>
        <v/>
      </c>
      <c r="K733" s="5" t="inlineStr">
        <is>
          <t>PRINTED</t>
        </is>
      </c>
      <c r="L733" t="inlineStr">
        <is>
          <t>25/03/2026</t>
        </is>
      </c>
      <c r="M733" s="30" t="inlineStr">
        <is>
          <t>MANISH KATARIA, VICE CONSUL</t>
        </is>
      </c>
      <c r="N733" t="inlineStr">
        <is>
          <t>26/02/2026</t>
        </is>
      </c>
    </row>
    <row r="734">
      <c r="A734" s="4">
        <f>Sheet1!A734 &amp; "/" &amp; "2025"</f>
        <v/>
      </c>
      <c r="B734" s="5">
        <f>Sheet1!E734</f>
        <v/>
      </c>
      <c r="C734" s="6">
        <f>UPPER(Sheet1!B734)</f>
        <v/>
      </c>
      <c r="D734" s="7">
        <f>IF(Sheet1!F734="F","FEMALE","MALE")</f>
        <v/>
      </c>
      <c r="E734" s="6">
        <f>UPPER(Sheet1!G734)</f>
        <v/>
      </c>
      <c r="F734" s="6">
        <f>UPPER(Sheet1!H734)</f>
        <v/>
      </c>
      <c r="G734" s="5">
        <f>TEXT(Sheet1!C734,"dd/mm/yyyy") &amp; "," &amp; Sheet1!D734</f>
        <v/>
      </c>
      <c r="H734" s="38">
        <f>UPPER(Sheet1!J734 &amp; "," &amp; Sheet1!K734 &amp; "," &amp; Sheet1!L734)</f>
        <v/>
      </c>
      <c r="I734" s="45">
        <f>Sheet1!I734</f>
        <v/>
      </c>
      <c r="J734" s="5">
        <f>Sheet1!M734 &amp; "," &amp; TEXT(Sheet1!N734,"dd/mm/yy")</f>
        <v/>
      </c>
      <c r="K734" s="5" t="inlineStr">
        <is>
          <t>PRINTED</t>
        </is>
      </c>
      <c r="L734" t="inlineStr">
        <is>
          <t>25/03/2026</t>
        </is>
      </c>
      <c r="M734" s="30" t="inlineStr">
        <is>
          <t>MANISH KATARIA, VICE CONSUL</t>
        </is>
      </c>
      <c r="N734" t="inlineStr">
        <is>
          <t>26/02/2026</t>
        </is>
      </c>
    </row>
    <row r="735">
      <c r="A735" s="4">
        <f>Sheet1!A735 &amp; "/" &amp; "2025"</f>
        <v/>
      </c>
      <c r="B735" s="5">
        <f>Sheet1!E735</f>
        <v/>
      </c>
      <c r="C735" s="6">
        <f>UPPER(Sheet1!B735)</f>
        <v/>
      </c>
      <c r="D735" s="7">
        <f>IF(Sheet1!F735="F","FEMALE","MALE")</f>
        <v/>
      </c>
      <c r="E735" s="6">
        <f>UPPER(Sheet1!G735)</f>
        <v/>
      </c>
      <c r="F735" s="6">
        <f>UPPER(Sheet1!H735)</f>
        <v/>
      </c>
      <c r="G735" s="5">
        <f>TEXT(Sheet1!C735,"dd/mm/yyyy") &amp; "," &amp; Sheet1!D735</f>
        <v/>
      </c>
      <c r="H735" s="38">
        <f>UPPER(Sheet1!J735 &amp; "," &amp; Sheet1!K735 &amp; "," &amp; Sheet1!L735)</f>
        <v/>
      </c>
      <c r="I735" s="45">
        <f>Sheet1!I735</f>
        <v/>
      </c>
      <c r="J735" s="5">
        <f>Sheet1!M735 &amp; "," &amp; TEXT(Sheet1!N735,"dd/mm/yy")</f>
        <v/>
      </c>
      <c r="K735" s="5" t="inlineStr">
        <is>
          <t>PRINTED</t>
        </is>
      </c>
      <c r="L735" t="inlineStr">
        <is>
          <t>25/03/2026</t>
        </is>
      </c>
      <c r="M735" s="30" t="inlineStr">
        <is>
          <t>MANISH KATARIA, VICE CONSUL</t>
        </is>
      </c>
      <c r="N735" t="inlineStr">
        <is>
          <t>26/02/2026</t>
        </is>
      </c>
    </row>
    <row r="736">
      <c r="A736" s="4">
        <f>Sheet1!A736 &amp; "/" &amp; "2025"</f>
        <v/>
      </c>
      <c r="B736" s="5">
        <f>Sheet1!E736</f>
        <v/>
      </c>
      <c r="C736" s="6">
        <f>UPPER(Sheet1!B736)</f>
        <v/>
      </c>
      <c r="D736" s="7">
        <f>IF(Sheet1!F736="F","FEMALE","MALE")</f>
        <v/>
      </c>
      <c r="E736" s="6">
        <f>UPPER(Sheet1!G736)</f>
        <v/>
      </c>
      <c r="F736" s="6">
        <f>UPPER(Sheet1!H736)</f>
        <v/>
      </c>
      <c r="G736" s="5">
        <f>TEXT(Sheet1!C736,"dd/mm/yyyy") &amp; "," &amp; Sheet1!D736</f>
        <v/>
      </c>
      <c r="H736" s="38">
        <f>UPPER(Sheet1!J736 &amp; "," &amp; Sheet1!K736 &amp; "," &amp; Sheet1!L736)</f>
        <v/>
      </c>
      <c r="I736" s="45">
        <f>Sheet1!I736</f>
        <v/>
      </c>
      <c r="J736" s="5">
        <f>Sheet1!M736 &amp; "," &amp; TEXT(Sheet1!N736,"dd/mm/yy")</f>
        <v/>
      </c>
      <c r="K736" s="5" t="inlineStr">
        <is>
          <t>PRINTED</t>
        </is>
      </c>
      <c r="L736" t="inlineStr">
        <is>
          <t>25/03/2026</t>
        </is>
      </c>
      <c r="M736" s="30" t="inlineStr">
        <is>
          <t>MANISH KATARIA, VICE CONSUL</t>
        </is>
      </c>
      <c r="N736" t="inlineStr">
        <is>
          <t>26/02/2026</t>
        </is>
      </c>
    </row>
    <row r="737">
      <c r="A737" s="4">
        <f>Sheet1!A737 &amp; "/" &amp; "2025"</f>
        <v/>
      </c>
      <c r="B737" s="5">
        <f>Sheet1!E737</f>
        <v/>
      </c>
      <c r="C737" s="6">
        <f>UPPER(Sheet1!B737)</f>
        <v/>
      </c>
      <c r="D737" s="7">
        <f>IF(Sheet1!F737="F","FEMALE","MALE")</f>
        <v/>
      </c>
      <c r="E737" s="6">
        <f>UPPER(Sheet1!G737)</f>
        <v/>
      </c>
      <c r="F737" s="6">
        <f>UPPER(Sheet1!H737)</f>
        <v/>
      </c>
      <c r="G737" s="5">
        <f>TEXT(Sheet1!C737,"dd/mm/yyyy") &amp; "," &amp; Sheet1!D737</f>
        <v/>
      </c>
      <c r="H737" s="38">
        <f>UPPER(Sheet1!J737 &amp; "," &amp; Sheet1!K737 &amp; "," &amp; Sheet1!L737)</f>
        <v/>
      </c>
      <c r="I737" s="45">
        <f>Sheet1!I737</f>
        <v/>
      </c>
      <c r="J737" s="5">
        <f>Sheet1!M737 &amp; "," &amp; TEXT(Sheet1!N737,"dd/mm/yy")</f>
        <v/>
      </c>
      <c r="K737" s="5" t="inlineStr">
        <is>
          <t>PRINTED</t>
        </is>
      </c>
      <c r="L737" t="inlineStr">
        <is>
          <t>25/03/2026</t>
        </is>
      </c>
      <c r="M737" s="30" t="inlineStr">
        <is>
          <t>MANISH KATARIA, VICE CONSUL</t>
        </is>
      </c>
      <c r="N737" t="inlineStr">
        <is>
          <t>26/02/2026</t>
        </is>
      </c>
    </row>
    <row r="738" ht="30" customHeight="1">
      <c r="A738" s="4">
        <f>Sheet1!A738 &amp; "/" &amp; "2025"</f>
        <v/>
      </c>
      <c r="B738" s="5">
        <f>Sheet1!E738</f>
        <v/>
      </c>
      <c r="C738" s="6">
        <f>UPPER(Sheet1!B738)</f>
        <v/>
      </c>
      <c r="D738" s="7">
        <f>IF(Sheet1!F738="F","FEMALE","MALE")</f>
        <v/>
      </c>
      <c r="E738" s="6">
        <f>UPPER(Sheet1!G738)</f>
        <v/>
      </c>
      <c r="F738" s="6">
        <f>UPPER(Sheet1!H738)</f>
        <v/>
      </c>
      <c r="G738" s="5">
        <f>TEXT(Sheet1!C738,"dd/mm/yyyy") &amp; "," &amp; Sheet1!D738</f>
        <v/>
      </c>
      <c r="H738" s="38">
        <f>UPPER(Sheet1!J738 &amp; "," &amp; Sheet1!K738 &amp; "," &amp; Sheet1!L738)</f>
        <v/>
      </c>
      <c r="I738" s="45">
        <f>Sheet1!I738</f>
        <v/>
      </c>
      <c r="J738" s="5">
        <f>Sheet1!M738 &amp; "," &amp; TEXT(Sheet1!N738,"dd/mm/yy")</f>
        <v/>
      </c>
      <c r="K738" s="5" t="inlineStr">
        <is>
          <t>PRINTED</t>
        </is>
      </c>
      <c r="L738" t="inlineStr">
        <is>
          <t>25/03/2026</t>
        </is>
      </c>
      <c r="M738" s="30" t="inlineStr">
        <is>
          <t>MANISH KATARIA, VICE CONSUL</t>
        </is>
      </c>
      <c r="N738" t="inlineStr">
        <is>
          <t>26/02/2026</t>
        </is>
      </c>
    </row>
    <row r="739">
      <c r="A739" s="4">
        <f>Sheet1!A739 &amp; "/" &amp; "2025"</f>
        <v/>
      </c>
      <c r="B739" s="5">
        <f>Sheet1!E739</f>
        <v/>
      </c>
      <c r="C739" s="6">
        <f>UPPER(Sheet1!B739)</f>
        <v/>
      </c>
      <c r="D739" s="7">
        <f>IF(Sheet1!F739="F","FEMALE","MALE")</f>
        <v/>
      </c>
      <c r="E739" s="6">
        <f>UPPER(Sheet1!G739)</f>
        <v/>
      </c>
      <c r="F739" s="6">
        <f>UPPER(Sheet1!H739)</f>
        <v/>
      </c>
      <c r="G739" s="5">
        <f>TEXT(Sheet1!C739,"dd/mm/yyyy") &amp; "," &amp; Sheet1!D739</f>
        <v/>
      </c>
      <c r="H739" s="38">
        <f>UPPER(Sheet1!J739 &amp; "," &amp; Sheet1!K739 &amp; "," &amp; Sheet1!L739)</f>
        <v/>
      </c>
      <c r="I739" s="45">
        <f>Sheet1!I739</f>
        <v/>
      </c>
      <c r="J739" s="5">
        <f>Sheet1!M739 &amp; "," &amp; TEXT(Sheet1!N739,"dd/mm/yy")</f>
        <v/>
      </c>
      <c r="K739" s="5" t="inlineStr">
        <is>
          <t>PRINTED</t>
        </is>
      </c>
      <c r="L739" t="inlineStr">
        <is>
          <t>25/03/2026</t>
        </is>
      </c>
      <c r="M739" s="30" t="inlineStr">
        <is>
          <t>MANISH KATARIA, VICE CONSUL</t>
        </is>
      </c>
      <c r="N739" t="inlineStr">
        <is>
          <t>26/02/2026</t>
        </is>
      </c>
    </row>
    <row r="740">
      <c r="A740" s="4">
        <f>Sheet1!A740 &amp; "/" &amp; "2025"</f>
        <v/>
      </c>
      <c r="B740" s="5">
        <f>Sheet1!E740</f>
        <v/>
      </c>
      <c r="C740" s="6">
        <f>UPPER(Sheet1!B740)</f>
        <v/>
      </c>
      <c r="D740" s="7">
        <f>IF(Sheet1!F740="F","FEMALE","MALE")</f>
        <v/>
      </c>
      <c r="E740" s="6">
        <f>UPPER(Sheet1!G740)</f>
        <v/>
      </c>
      <c r="F740" s="6">
        <f>UPPER(Sheet1!H740)</f>
        <v/>
      </c>
      <c r="G740" s="5">
        <f>TEXT(Sheet1!C740,"dd/mm/yyyy") &amp; "," &amp; Sheet1!D740</f>
        <v/>
      </c>
      <c r="H740" s="38">
        <f>UPPER(Sheet1!J740 &amp; "," &amp; Sheet1!K740 &amp; "," &amp; Sheet1!L740)</f>
        <v/>
      </c>
      <c r="I740" s="45">
        <f>Sheet1!I740</f>
        <v/>
      </c>
      <c r="J740" s="5">
        <f>Sheet1!M740 &amp; "," &amp; TEXT(Sheet1!N740,"dd/mm/yy")</f>
        <v/>
      </c>
      <c r="K740" s="5" t="inlineStr">
        <is>
          <t>PRINTED</t>
        </is>
      </c>
      <c r="L740" t="inlineStr">
        <is>
          <t>25/03/2026</t>
        </is>
      </c>
      <c r="M740" s="30" t="inlineStr">
        <is>
          <t>MANISH KATARIA, VICE CONSUL</t>
        </is>
      </c>
      <c r="N740" s="30" t="n"/>
    </row>
    <row r="741">
      <c r="A741" s="4">
        <f>Sheet1!A741 &amp; "/" &amp; "2025"</f>
        <v/>
      </c>
      <c r="B741" s="5">
        <f>Sheet1!E741</f>
        <v/>
      </c>
      <c r="C741" s="6">
        <f>UPPER(Sheet1!B741)</f>
        <v/>
      </c>
      <c r="D741" s="7">
        <f>IF(Sheet1!F741="F","FEMALE","MALE")</f>
        <v/>
      </c>
      <c r="E741" s="6">
        <f>UPPER(Sheet1!G741)</f>
        <v/>
      </c>
      <c r="F741" s="6">
        <f>UPPER(Sheet1!H741)</f>
        <v/>
      </c>
      <c r="G741" s="5">
        <f>TEXT(Sheet1!C741,"dd/mm/yyyy") &amp; "," &amp; Sheet1!D741</f>
        <v/>
      </c>
      <c r="H741" s="38">
        <f>UPPER(Sheet1!J741 &amp; "," &amp; Sheet1!K741 &amp; "," &amp; Sheet1!L741)</f>
        <v/>
      </c>
      <c r="I741" s="45">
        <f>Sheet1!I741</f>
        <v/>
      </c>
      <c r="J741" s="5">
        <f>Sheet1!M741 &amp; "," &amp; TEXT(Sheet1!N741,"dd/mm/yy")</f>
        <v/>
      </c>
      <c r="K741" s="5" t="inlineStr">
        <is>
          <t>PRINTED</t>
        </is>
      </c>
      <c r="L741" t="inlineStr">
        <is>
          <t>25/03/2026</t>
        </is>
      </c>
      <c r="M741" s="30" t="inlineStr">
        <is>
          <t>MANISH KATARIA, VICE CONSUL</t>
        </is>
      </c>
      <c r="N741" s="30" t="n"/>
    </row>
    <row r="742">
      <c r="A742" s="4">
        <f>Sheet1!A742 &amp; "/" &amp; "2025"</f>
        <v/>
      </c>
      <c r="B742" s="5">
        <f>Sheet1!E742</f>
        <v/>
      </c>
      <c r="C742" s="6">
        <f>UPPER(Sheet1!B742)</f>
        <v/>
      </c>
      <c r="D742" s="7">
        <f>IF(Sheet1!F742="F","FEMALE","MALE")</f>
        <v/>
      </c>
      <c r="E742" s="6">
        <f>UPPER(Sheet1!G742)</f>
        <v/>
      </c>
      <c r="F742" s="6">
        <f>UPPER(Sheet1!H742)</f>
        <v/>
      </c>
      <c r="G742" s="5">
        <f>TEXT(Sheet1!C742,"dd/mm/yyyy") &amp; "," &amp; Sheet1!D742</f>
        <v/>
      </c>
      <c r="H742" s="38">
        <f>UPPER(Sheet1!J742 &amp; "," &amp; Sheet1!K742 &amp; "," &amp; Sheet1!L742)</f>
        <v/>
      </c>
      <c r="I742" s="45">
        <f>Sheet1!I742</f>
        <v/>
      </c>
      <c r="J742" s="5">
        <f>Sheet1!M742 &amp; "," &amp; TEXT(Sheet1!N742,"dd/mm/yy")</f>
        <v/>
      </c>
      <c r="K742" s="5" t="inlineStr">
        <is>
          <t>PRINTED</t>
        </is>
      </c>
      <c r="L742" t="inlineStr">
        <is>
          <t>25/03/2026</t>
        </is>
      </c>
      <c r="M742" s="30" t="inlineStr">
        <is>
          <t>MANISH KATARIA, VICE CONSUL</t>
        </is>
      </c>
      <c r="N742" s="30" t="n"/>
    </row>
    <row r="743">
      <c r="A743" s="4">
        <f>Sheet1!A743 &amp; "/" &amp; "2025"</f>
        <v/>
      </c>
      <c r="B743" s="5">
        <f>Sheet1!E743</f>
        <v/>
      </c>
      <c r="C743" s="6">
        <f>UPPER(Sheet1!B743)</f>
        <v/>
      </c>
      <c r="D743" s="7">
        <f>IF(Sheet1!F743="F","FEMALE","MALE")</f>
        <v/>
      </c>
      <c r="E743" s="6">
        <f>UPPER(Sheet1!G743)</f>
        <v/>
      </c>
      <c r="F743" s="6">
        <f>UPPER(Sheet1!H743)</f>
        <v/>
      </c>
      <c r="G743" s="5">
        <f>TEXT(Sheet1!C743,"dd/mm/yyyy") &amp; "," &amp; Sheet1!D743</f>
        <v/>
      </c>
      <c r="H743" s="38">
        <f>UPPER(Sheet1!J743 &amp; "," &amp; Sheet1!K743 &amp; "," &amp; Sheet1!L743)</f>
        <v/>
      </c>
      <c r="I743" s="45">
        <f>Sheet1!I743</f>
        <v/>
      </c>
      <c r="J743" s="5">
        <f>Sheet1!M743 &amp; "," &amp; TEXT(Sheet1!N743,"dd/mm/yy")</f>
        <v/>
      </c>
      <c r="K743" s="5" t="inlineStr">
        <is>
          <t>PRINTED</t>
        </is>
      </c>
      <c r="L743" t="inlineStr">
        <is>
          <t>25/03/2026</t>
        </is>
      </c>
      <c r="M743" s="30" t="inlineStr">
        <is>
          <t>MANISH KATARIA, VICE CONSUL</t>
        </is>
      </c>
      <c r="N743" s="30" t="n"/>
    </row>
    <row r="744">
      <c r="A744" s="4">
        <f>Sheet1!A744 &amp; "/" &amp; "2025"</f>
        <v/>
      </c>
      <c r="B744" s="5">
        <f>Sheet1!E744</f>
        <v/>
      </c>
      <c r="C744" s="6">
        <f>UPPER(Sheet1!B744)</f>
        <v/>
      </c>
      <c r="D744" s="7">
        <f>IF(Sheet1!F744="F","FEMALE","MALE")</f>
        <v/>
      </c>
      <c r="E744" s="6">
        <f>UPPER(Sheet1!G744)</f>
        <v/>
      </c>
      <c r="F744" s="6">
        <f>UPPER(Sheet1!H744)</f>
        <v/>
      </c>
      <c r="G744" s="5">
        <f>TEXT(Sheet1!C744,"dd/mm/yyyy") &amp; "," &amp; Sheet1!D744</f>
        <v/>
      </c>
      <c r="H744" s="38">
        <f>UPPER(Sheet1!J744 &amp; "," &amp; Sheet1!K744 &amp; "," &amp; Sheet1!L744)</f>
        <v/>
      </c>
      <c r="I744" s="45">
        <f>Sheet1!I744</f>
        <v/>
      </c>
      <c r="J744" s="5">
        <f>Sheet1!M744 &amp; "," &amp; TEXT(Sheet1!N744,"dd/mm/yy")</f>
        <v/>
      </c>
      <c r="K744" s="5" t="inlineStr">
        <is>
          <t>PRINTED</t>
        </is>
      </c>
      <c r="L744" t="inlineStr">
        <is>
          <t>25/03/2026</t>
        </is>
      </c>
      <c r="M744" s="30" t="inlineStr">
        <is>
          <t>MANISH KATARIA, VICE CONSUL</t>
        </is>
      </c>
      <c r="N744" s="30" t="n"/>
    </row>
    <row r="745">
      <c r="A745" s="4">
        <f>Sheet1!A745 &amp; "/" &amp; "2025"</f>
        <v/>
      </c>
      <c r="B745" s="5">
        <f>Sheet1!E745</f>
        <v/>
      </c>
      <c r="C745" s="6">
        <f>UPPER(Sheet1!B745)</f>
        <v/>
      </c>
      <c r="D745" s="7">
        <f>IF(Sheet1!F745="F","FEMALE","MALE")</f>
        <v/>
      </c>
      <c r="E745" s="6">
        <f>UPPER(Sheet1!G745)</f>
        <v/>
      </c>
      <c r="F745" s="6">
        <f>UPPER(Sheet1!H745)</f>
        <v/>
      </c>
      <c r="G745" s="5">
        <f>TEXT(Sheet1!C745,"dd/mm/yyyy") &amp; "," &amp; Sheet1!D745</f>
        <v/>
      </c>
      <c r="H745" s="38">
        <f>UPPER(Sheet1!J745 &amp; "," &amp; Sheet1!K745 &amp; "," &amp; Sheet1!L745)</f>
        <v/>
      </c>
      <c r="I745" s="45">
        <f>Sheet1!I745</f>
        <v/>
      </c>
      <c r="J745" s="5">
        <f>Sheet1!M745 &amp; "," &amp; TEXT(Sheet1!N745,"dd/mm/yy")</f>
        <v/>
      </c>
      <c r="K745" s="5" t="inlineStr">
        <is>
          <t>PRINTED</t>
        </is>
      </c>
      <c r="L745" t="inlineStr">
        <is>
          <t>25/03/2026</t>
        </is>
      </c>
      <c r="M745" s="30" t="inlineStr">
        <is>
          <t>MANISH KATARIA, VICE CONSUL</t>
        </is>
      </c>
      <c r="N745" s="30" t="n"/>
    </row>
    <row r="746">
      <c r="A746" s="4">
        <f>Sheet1!A746 &amp; "/" &amp; "2025"</f>
        <v/>
      </c>
      <c r="B746" s="5">
        <f>Sheet1!E746</f>
        <v/>
      </c>
      <c r="C746" s="6">
        <f>UPPER(Sheet1!B746)</f>
        <v/>
      </c>
      <c r="D746" s="7">
        <f>IF(Sheet1!F746="F","FEMALE","MALE")</f>
        <v/>
      </c>
      <c r="E746" s="6">
        <f>UPPER(Sheet1!G746)</f>
        <v/>
      </c>
      <c r="F746" s="6">
        <f>UPPER(Sheet1!H746)</f>
        <v/>
      </c>
      <c r="G746" s="5">
        <f>TEXT(Sheet1!C746,"dd/mm/yyyy") &amp; "," &amp; Sheet1!D746</f>
        <v/>
      </c>
      <c r="H746" s="38">
        <f>UPPER(Sheet1!J746 &amp; "," &amp; Sheet1!K746 &amp; "," &amp; Sheet1!L746)</f>
        <v/>
      </c>
      <c r="I746" s="45">
        <f>Sheet1!I746</f>
        <v/>
      </c>
      <c r="J746" s="5">
        <f>Sheet1!M746 &amp; "," &amp; TEXT(Sheet1!N746,"dd/mm/yy")</f>
        <v/>
      </c>
      <c r="K746" s="5" t="inlineStr">
        <is>
          <t>PRINTED</t>
        </is>
      </c>
      <c r="L746" t="inlineStr">
        <is>
          <t>25/03/2026</t>
        </is>
      </c>
      <c r="M746" s="30" t="inlineStr">
        <is>
          <t>MANISH KATARIA, VICE CONSUL</t>
        </is>
      </c>
      <c r="N746" s="30" t="n"/>
    </row>
    <row r="747">
      <c r="A747" s="4">
        <f>Sheet1!A747 &amp; "/" &amp; "2025"</f>
        <v/>
      </c>
      <c r="B747" s="5">
        <f>Sheet1!E747</f>
        <v/>
      </c>
      <c r="C747" s="6">
        <f>UPPER(Sheet1!B747)</f>
        <v/>
      </c>
      <c r="D747" s="7">
        <f>IF(Sheet1!F747="F","FEMALE","MALE")</f>
        <v/>
      </c>
      <c r="E747" s="6">
        <f>UPPER(Sheet1!G747)</f>
        <v/>
      </c>
      <c r="F747" s="6">
        <f>UPPER(Sheet1!H747)</f>
        <v/>
      </c>
      <c r="G747" s="5">
        <f>TEXT(Sheet1!C747,"dd/mm/yyyy") &amp; "," &amp; Sheet1!D747</f>
        <v/>
      </c>
      <c r="H747" s="38">
        <f>UPPER(Sheet1!J747 &amp; "," &amp; Sheet1!K747 &amp; "," &amp; Sheet1!L747)</f>
        <v/>
      </c>
      <c r="I747" s="45">
        <f>Sheet1!I747</f>
        <v/>
      </c>
      <c r="J747" s="5">
        <f>Sheet1!M747 &amp; "," &amp; TEXT(Sheet1!N747,"dd/mm/yy")</f>
        <v/>
      </c>
      <c r="K747" s="5" t="inlineStr">
        <is>
          <t>PRINTED</t>
        </is>
      </c>
      <c r="L747" t="inlineStr">
        <is>
          <t>25/03/2026</t>
        </is>
      </c>
      <c r="M747" s="30" t="inlineStr">
        <is>
          <t>MANISH KATARIA, VICE CONSUL</t>
        </is>
      </c>
      <c r="N747" s="30" t="n"/>
    </row>
    <row r="748">
      <c r="A748" s="4">
        <f>Sheet1!A748 &amp; "/" &amp; "2025"</f>
        <v/>
      </c>
      <c r="B748" s="5">
        <f>Sheet1!E748</f>
        <v/>
      </c>
      <c r="C748" s="6">
        <f>UPPER(Sheet1!B748)</f>
        <v/>
      </c>
      <c r="D748" s="7">
        <f>IF(Sheet1!F748="F","FEMALE","MALE")</f>
        <v/>
      </c>
      <c r="E748" s="6">
        <f>UPPER(Sheet1!G748)</f>
        <v/>
      </c>
      <c r="F748" s="6">
        <f>UPPER(Sheet1!H748)</f>
        <v/>
      </c>
      <c r="G748" s="5">
        <f>TEXT(Sheet1!C748,"dd/mm/yyyy") &amp; "," &amp; Sheet1!D748</f>
        <v/>
      </c>
      <c r="H748" s="38">
        <f>UPPER(Sheet1!J748 &amp; "," &amp; Sheet1!K748 &amp; "," &amp; Sheet1!L748)</f>
        <v/>
      </c>
      <c r="I748" s="45">
        <f>Sheet1!I748</f>
        <v/>
      </c>
      <c r="J748" s="5">
        <f>Sheet1!M748 &amp; "," &amp; TEXT(Sheet1!N748,"dd/mm/yy")</f>
        <v/>
      </c>
      <c r="K748" s="5" t="inlineStr">
        <is>
          <t>PRINTED</t>
        </is>
      </c>
      <c r="L748" t="inlineStr">
        <is>
          <t>25/03/2026</t>
        </is>
      </c>
      <c r="M748" s="30" t="inlineStr">
        <is>
          <t>MANISH KATARIA, VICE CONSUL</t>
        </is>
      </c>
      <c r="N748" s="30" t="n"/>
    </row>
    <row r="749">
      <c r="A749" s="4">
        <f>Sheet1!A749 &amp; "/" &amp; "2025"</f>
        <v/>
      </c>
      <c r="B749" s="5">
        <f>Sheet1!E749</f>
        <v/>
      </c>
      <c r="C749" s="6">
        <f>UPPER(Sheet1!B749)</f>
        <v/>
      </c>
      <c r="D749" s="7">
        <f>IF(Sheet1!F749="F","FEMALE","MALE")</f>
        <v/>
      </c>
      <c r="E749" s="6">
        <f>UPPER(Sheet1!G749)</f>
        <v/>
      </c>
      <c r="F749" s="6">
        <f>UPPER(Sheet1!H749)</f>
        <v/>
      </c>
      <c r="G749" s="5">
        <f>TEXT(Sheet1!C749,"dd/mm/yyyy") &amp; "," &amp; Sheet1!D749</f>
        <v/>
      </c>
      <c r="H749" s="38">
        <f>UPPER(Sheet1!J749 &amp; "," &amp; Sheet1!K749 &amp; "," &amp; Sheet1!L749)</f>
        <v/>
      </c>
      <c r="I749" s="45">
        <f>Sheet1!I749</f>
        <v/>
      </c>
      <c r="J749" s="5">
        <f>Sheet1!M749 &amp; "," &amp; TEXT(Sheet1!N749,"dd/mm/yy")</f>
        <v/>
      </c>
      <c r="K749" s="5" t="inlineStr">
        <is>
          <t>PRINTED</t>
        </is>
      </c>
      <c r="L749" t="inlineStr">
        <is>
          <t>25/03/2026</t>
        </is>
      </c>
      <c r="M749" s="30" t="inlineStr">
        <is>
          <t>MANISH KATARIA, VICE CONSUL</t>
        </is>
      </c>
      <c r="N749" s="30" t="n"/>
    </row>
    <row r="750">
      <c r="A750" s="4">
        <f>Sheet1!A750 &amp; "/" &amp; "2025"</f>
        <v/>
      </c>
      <c r="B750" s="5">
        <f>Sheet1!E750</f>
        <v/>
      </c>
      <c r="C750" s="6">
        <f>UPPER(Sheet1!B750)</f>
        <v/>
      </c>
      <c r="D750" s="7">
        <f>IF(Sheet1!F750="F","FEMALE","MALE")</f>
        <v/>
      </c>
      <c r="E750" s="6">
        <f>UPPER(Sheet1!G750)</f>
        <v/>
      </c>
      <c r="F750" s="6">
        <f>UPPER(Sheet1!H750)</f>
        <v/>
      </c>
      <c r="G750" s="5">
        <f>TEXT(Sheet1!C750,"dd/mm/yyyy") &amp; "," &amp; Sheet1!D750</f>
        <v/>
      </c>
      <c r="H750" s="38">
        <f>UPPER(Sheet1!J750 &amp; "," &amp; Sheet1!K750 &amp; "," &amp; Sheet1!L750)</f>
        <v/>
      </c>
      <c r="I750" s="45">
        <f>Sheet1!I750</f>
        <v/>
      </c>
      <c r="J750" s="5">
        <f>Sheet1!M750 &amp; "," &amp; TEXT(Sheet1!N750,"dd/mm/yy")</f>
        <v/>
      </c>
      <c r="K750" s="5" t="inlineStr">
        <is>
          <t>PRINTED</t>
        </is>
      </c>
      <c r="L750" t="inlineStr">
        <is>
          <t>25/03/2026</t>
        </is>
      </c>
      <c r="M750" s="30" t="inlineStr">
        <is>
          <t>MANISH KATARIA, VICE CONSUL</t>
        </is>
      </c>
      <c r="N750" s="30" t="n"/>
    </row>
    <row r="751">
      <c r="A751" s="4">
        <f>Sheet1!A751 &amp; "/" &amp; "2025"</f>
        <v/>
      </c>
      <c r="B751" s="5">
        <f>Sheet1!E751</f>
        <v/>
      </c>
      <c r="C751" s="6">
        <f>UPPER(Sheet1!B751)</f>
        <v/>
      </c>
      <c r="D751" s="7">
        <f>IF(Sheet1!F751="F","FEMALE","MALE")</f>
        <v/>
      </c>
      <c r="E751" s="6">
        <f>UPPER(Sheet1!G751)</f>
        <v/>
      </c>
      <c r="F751" s="6">
        <f>UPPER(Sheet1!H751)</f>
        <v/>
      </c>
      <c r="G751" s="5">
        <f>TEXT(Sheet1!C751,"dd/mm/yyyy") &amp; "," &amp; Sheet1!D751</f>
        <v/>
      </c>
      <c r="H751" s="38">
        <f>UPPER(Sheet1!J751 &amp; "," &amp; Sheet1!K751 &amp; "," &amp; Sheet1!L751)</f>
        <v/>
      </c>
      <c r="I751" s="45">
        <f>Sheet1!I751</f>
        <v/>
      </c>
      <c r="J751" s="5">
        <f>Sheet1!M751 &amp; "," &amp; TEXT(Sheet1!N751,"dd/mm/yy")</f>
        <v/>
      </c>
      <c r="K751" s="5" t="inlineStr">
        <is>
          <t>PRINTED</t>
        </is>
      </c>
      <c r="L751" t="inlineStr">
        <is>
          <t>25/03/2026</t>
        </is>
      </c>
      <c r="M751" s="30" t="inlineStr">
        <is>
          <t>MANISH KATARIA, VICE CONSUL</t>
        </is>
      </c>
      <c r="N751" s="30" t="n"/>
    </row>
    <row r="752">
      <c r="A752" s="4">
        <f>Sheet1!A752 &amp; "/" &amp; "2025"</f>
        <v/>
      </c>
      <c r="B752" s="5">
        <f>Sheet1!E752</f>
        <v/>
      </c>
      <c r="C752" s="6">
        <f>UPPER(Sheet1!B752)</f>
        <v/>
      </c>
      <c r="D752" s="7">
        <f>IF(Sheet1!F752="F","FEMALE","MALE")</f>
        <v/>
      </c>
      <c r="E752" s="6">
        <f>UPPER(Sheet1!G752)</f>
        <v/>
      </c>
      <c r="F752" s="6">
        <f>UPPER(Sheet1!H752)</f>
        <v/>
      </c>
      <c r="G752" s="5">
        <f>TEXT(Sheet1!C752,"dd/mm/yyyy") &amp; "," &amp; Sheet1!D752</f>
        <v/>
      </c>
      <c r="H752" s="38">
        <f>UPPER(Sheet1!J752 &amp; "," &amp; Sheet1!K752 &amp; "," &amp; Sheet1!L752)</f>
        <v/>
      </c>
      <c r="I752" s="45">
        <f>Sheet1!I752</f>
        <v/>
      </c>
      <c r="J752" s="5">
        <f>Sheet1!M752 &amp; "," &amp; TEXT(Sheet1!N752,"dd/mm/yy")</f>
        <v/>
      </c>
      <c r="K752" s="5" t="inlineStr">
        <is>
          <t>PRINTED</t>
        </is>
      </c>
      <c r="L752" t="inlineStr">
        <is>
          <t>25/03/2026</t>
        </is>
      </c>
      <c r="M752" s="30" t="inlineStr">
        <is>
          <t>MANISH KATARIA, VICE CONSUL</t>
        </is>
      </c>
      <c r="N752" s="30" t="n"/>
    </row>
    <row r="753">
      <c r="A753" s="4">
        <f>Sheet1!A753 &amp; "/" &amp; "2025"</f>
        <v/>
      </c>
      <c r="B753" s="5">
        <f>Sheet1!E753</f>
        <v/>
      </c>
      <c r="C753" s="6">
        <f>UPPER(Sheet1!B753)</f>
        <v/>
      </c>
      <c r="D753" s="7">
        <f>IF(Sheet1!F753="F","FEMALE","MALE")</f>
        <v/>
      </c>
      <c r="E753" s="6">
        <f>UPPER(Sheet1!G753)</f>
        <v/>
      </c>
      <c r="F753" s="6">
        <f>UPPER(Sheet1!H753)</f>
        <v/>
      </c>
      <c r="G753" s="5">
        <f>TEXT(Sheet1!C753,"dd/mm/yyyy") &amp; "," &amp; Sheet1!D753</f>
        <v/>
      </c>
      <c r="H753" s="38">
        <f>UPPER(Sheet1!J753 &amp; "," &amp; Sheet1!K753 &amp; "," &amp; Sheet1!L753)</f>
        <v/>
      </c>
      <c r="I753" s="45">
        <f>Sheet1!I753</f>
        <v/>
      </c>
      <c r="J753" s="5">
        <f>Sheet1!M753 &amp; "," &amp; TEXT(Sheet1!N753,"dd/mm/yy")</f>
        <v/>
      </c>
      <c r="K753" s="5" t="inlineStr">
        <is>
          <t>PRINTED</t>
        </is>
      </c>
      <c r="L753" t="inlineStr">
        <is>
          <t>25/03/2026</t>
        </is>
      </c>
      <c r="M753" s="30" t="inlineStr">
        <is>
          <t>MANISH KATARIA, VICE CONSUL</t>
        </is>
      </c>
      <c r="N753" s="30" t="n"/>
    </row>
    <row r="754">
      <c r="A754" s="4">
        <f>Sheet1!A754 &amp; "/" &amp; "2025"</f>
        <v/>
      </c>
      <c r="B754" s="5">
        <f>Sheet1!E754</f>
        <v/>
      </c>
      <c r="C754" s="6">
        <f>UPPER(Sheet1!B754)</f>
        <v/>
      </c>
      <c r="D754" s="7">
        <f>IF(Sheet1!F754="F","FEMALE","MALE")</f>
        <v/>
      </c>
      <c r="E754" s="6">
        <f>UPPER(Sheet1!G754)</f>
        <v/>
      </c>
      <c r="F754" s="6">
        <f>UPPER(Sheet1!H754)</f>
        <v/>
      </c>
      <c r="G754" s="5">
        <f>TEXT(Sheet1!C754,"dd/mm/yyyy") &amp; "," &amp; Sheet1!D754</f>
        <v/>
      </c>
      <c r="H754" s="38">
        <f>UPPER(Sheet1!J754 &amp; "," &amp; Sheet1!K754 &amp; "," &amp; Sheet1!L754)</f>
        <v/>
      </c>
      <c r="I754" s="45">
        <f>Sheet1!I754</f>
        <v/>
      </c>
      <c r="J754" s="5">
        <f>Sheet1!M754 &amp; "," &amp; TEXT(Sheet1!N754,"dd/mm/yy")</f>
        <v/>
      </c>
      <c r="K754" s="5" t="inlineStr">
        <is>
          <t>PRINTED</t>
        </is>
      </c>
      <c r="L754" t="inlineStr">
        <is>
          <t>25/03/2026</t>
        </is>
      </c>
      <c r="M754" s="30" t="inlineStr">
        <is>
          <t>MANISH KATARIA, VICE CONSUL</t>
        </is>
      </c>
      <c r="N754" s="30" t="n"/>
    </row>
    <row r="755">
      <c r="A755" s="4">
        <f>Sheet1!A755 &amp; "/" &amp; "2025"</f>
        <v/>
      </c>
      <c r="B755" s="5">
        <f>Sheet1!E755</f>
        <v/>
      </c>
      <c r="C755" s="6">
        <f>UPPER(Sheet1!B755)</f>
        <v/>
      </c>
      <c r="D755" s="7">
        <f>IF(Sheet1!F755="F","FEMALE","MALE")</f>
        <v/>
      </c>
      <c r="E755" s="6">
        <f>UPPER(Sheet1!G755)</f>
        <v/>
      </c>
      <c r="F755" s="6">
        <f>UPPER(Sheet1!H755)</f>
        <v/>
      </c>
      <c r="G755" s="5">
        <f>TEXT(Sheet1!C755,"dd/mm/yyyy") &amp; "," &amp; Sheet1!D755</f>
        <v/>
      </c>
      <c r="H755" s="38">
        <f>UPPER(Sheet1!J755 &amp; "," &amp; Sheet1!K755 &amp; "," &amp; Sheet1!L755)</f>
        <v/>
      </c>
      <c r="I755" s="45">
        <f>Sheet1!I755</f>
        <v/>
      </c>
      <c r="J755" s="5">
        <f>Sheet1!M755 &amp; "," &amp; TEXT(Sheet1!N755,"dd/mm/yy")</f>
        <v/>
      </c>
      <c r="K755" s="5" t="inlineStr">
        <is>
          <t>PRINTED</t>
        </is>
      </c>
      <c r="L755" t="inlineStr">
        <is>
          <t>25/03/2026</t>
        </is>
      </c>
      <c r="M755" s="30" t="inlineStr">
        <is>
          <t>MANISH KATARIA, VICE CONSUL</t>
        </is>
      </c>
      <c r="N755" s="30" t="n"/>
    </row>
    <row r="756">
      <c r="A756" s="4">
        <f>Sheet1!A756 &amp; "/" &amp; "2025"</f>
        <v/>
      </c>
      <c r="B756" s="5">
        <f>Sheet1!E756</f>
        <v/>
      </c>
      <c r="C756" s="6">
        <f>UPPER(Sheet1!B756)</f>
        <v/>
      </c>
      <c r="D756" s="7">
        <f>IF(Sheet1!F756="F","FEMALE","MALE")</f>
        <v/>
      </c>
      <c r="E756" s="6">
        <f>UPPER(Sheet1!G756)</f>
        <v/>
      </c>
      <c r="F756" s="6">
        <f>UPPER(Sheet1!H756)</f>
        <v/>
      </c>
      <c r="G756" s="5">
        <f>TEXT(Sheet1!C756,"dd/mm/yyyy") &amp; "," &amp; Sheet1!D756</f>
        <v/>
      </c>
      <c r="H756" s="38">
        <f>UPPER(Sheet1!J756 &amp; "," &amp; Sheet1!K756 &amp; "," &amp; Sheet1!L756)</f>
        <v/>
      </c>
      <c r="I756" s="45">
        <f>Sheet1!I756</f>
        <v/>
      </c>
      <c r="J756" s="5">
        <f>Sheet1!M756 &amp; "," &amp; TEXT(Sheet1!N756,"dd/mm/yy")</f>
        <v/>
      </c>
      <c r="K756" s="5" t="inlineStr">
        <is>
          <t>PRINTED</t>
        </is>
      </c>
      <c r="L756" t="inlineStr">
        <is>
          <t>25/03/2026</t>
        </is>
      </c>
      <c r="M756" s="30" t="inlineStr">
        <is>
          <t>MANISH KATARIA, VICE CONSUL</t>
        </is>
      </c>
      <c r="N756" s="30" t="n"/>
    </row>
    <row r="757">
      <c r="A757" s="4">
        <f>Sheet1!A757 &amp; "/" &amp; "2025"</f>
        <v/>
      </c>
      <c r="B757" s="5">
        <f>Sheet1!E757</f>
        <v/>
      </c>
      <c r="C757" s="6">
        <f>UPPER(Sheet1!B757)</f>
        <v/>
      </c>
      <c r="D757" s="7">
        <f>IF(Sheet1!F757="F","FEMALE","MALE")</f>
        <v/>
      </c>
      <c r="E757" s="6">
        <f>UPPER(Sheet1!G757)</f>
        <v/>
      </c>
      <c r="F757" s="6">
        <f>UPPER(Sheet1!H757)</f>
        <v/>
      </c>
      <c r="G757" s="5">
        <f>TEXT(Sheet1!C757,"dd/mm/yyyy") &amp; "," &amp; Sheet1!D757</f>
        <v/>
      </c>
      <c r="H757" s="38">
        <f>UPPER(Sheet1!J757 &amp; "," &amp; Sheet1!K757 &amp; "," &amp; Sheet1!L757)</f>
        <v/>
      </c>
      <c r="I757" s="45">
        <f>Sheet1!I757</f>
        <v/>
      </c>
      <c r="J757" s="5">
        <f>Sheet1!M757 &amp; "," &amp; TEXT(Sheet1!N757,"dd/mm/yy")</f>
        <v/>
      </c>
      <c r="K757" s="5" t="inlineStr">
        <is>
          <t>PRINTED</t>
        </is>
      </c>
      <c r="L757" t="inlineStr">
        <is>
          <t>25/03/2026</t>
        </is>
      </c>
      <c r="M757" s="30" t="inlineStr">
        <is>
          <t>MANISH KATARIA, VICE CONSUL</t>
        </is>
      </c>
      <c r="N757" s="30" t="n"/>
    </row>
    <row r="758">
      <c r="A758" s="4">
        <f>Sheet1!A758 &amp; "/" &amp; "2025"</f>
        <v/>
      </c>
      <c r="B758" s="5">
        <f>Sheet1!E758</f>
        <v/>
      </c>
      <c r="C758" s="6">
        <f>UPPER(Sheet1!B758)</f>
        <v/>
      </c>
      <c r="D758" s="7">
        <f>IF(Sheet1!F758="F","FEMALE","MALE")</f>
        <v/>
      </c>
      <c r="E758" s="6">
        <f>UPPER(Sheet1!G758)</f>
        <v/>
      </c>
      <c r="F758" s="6">
        <f>UPPER(Sheet1!H758)</f>
        <v/>
      </c>
      <c r="G758" s="5">
        <f>TEXT(Sheet1!C758,"dd/mm/yyyy") &amp; "," &amp; Sheet1!D758</f>
        <v/>
      </c>
      <c r="H758" s="38">
        <f>UPPER(Sheet1!J758 &amp; "," &amp; Sheet1!K758 &amp; "," &amp; Sheet1!L758)</f>
        <v/>
      </c>
      <c r="I758" s="45">
        <f>Sheet1!I758</f>
        <v/>
      </c>
      <c r="J758" s="5">
        <f>Sheet1!M758 &amp; "," &amp; TEXT(Sheet1!N758,"dd/mm/yy")</f>
        <v/>
      </c>
      <c r="K758" s="5" t="inlineStr">
        <is>
          <t>PRINTED</t>
        </is>
      </c>
      <c r="L758" t="inlineStr">
        <is>
          <t>25/03/2026</t>
        </is>
      </c>
      <c r="M758" s="30" t="inlineStr">
        <is>
          <t>MANISH KATARIA, VICE CONSUL</t>
        </is>
      </c>
      <c r="N758" s="30" t="n"/>
    </row>
    <row r="759">
      <c r="A759" s="4">
        <f>Sheet1!A759 &amp; "/" &amp; "2025"</f>
        <v/>
      </c>
      <c r="B759" s="5">
        <f>Sheet1!E759</f>
        <v/>
      </c>
      <c r="C759" s="6">
        <f>UPPER(Sheet1!B759)</f>
        <v/>
      </c>
      <c r="D759" s="7">
        <f>IF(Sheet1!F759="F","FEMALE","MALE")</f>
        <v/>
      </c>
      <c r="E759" s="6">
        <f>UPPER(Sheet1!G759)</f>
        <v/>
      </c>
      <c r="F759" s="6">
        <f>UPPER(Sheet1!H759)</f>
        <v/>
      </c>
      <c r="G759" s="5">
        <f>TEXT(Sheet1!C759,"dd/mm/yyyy") &amp; "," &amp; Sheet1!D759</f>
        <v/>
      </c>
      <c r="H759" s="38">
        <f>UPPER(Sheet1!J759 &amp; "," &amp; Sheet1!K759 &amp; "," &amp; Sheet1!L759)</f>
        <v/>
      </c>
      <c r="I759" s="45">
        <f>Sheet1!I759</f>
        <v/>
      </c>
      <c r="J759" s="5">
        <f>Sheet1!M759 &amp; "," &amp; TEXT(Sheet1!N759,"dd/mm/yy")</f>
        <v/>
      </c>
      <c r="K759" s="5" t="inlineStr">
        <is>
          <t>PRINTED</t>
        </is>
      </c>
      <c r="L759" t="inlineStr">
        <is>
          <t>25/03/2026</t>
        </is>
      </c>
      <c r="M759" s="30" t="inlineStr">
        <is>
          <t>MANISH KATARIA, VICE CONSUL</t>
        </is>
      </c>
      <c r="N759" s="30" t="n"/>
    </row>
    <row r="760">
      <c r="A760" s="4">
        <f>Sheet1!A760 &amp; "/" &amp; "2025"</f>
        <v/>
      </c>
      <c r="B760" s="5">
        <f>Sheet1!E760</f>
        <v/>
      </c>
      <c r="C760" s="6">
        <f>UPPER(Sheet1!B760)</f>
        <v/>
      </c>
      <c r="D760" s="7">
        <f>IF(Sheet1!F760="F","FEMALE","MALE")</f>
        <v/>
      </c>
      <c r="E760" s="6">
        <f>UPPER(Sheet1!G760)</f>
        <v/>
      </c>
      <c r="F760" s="6">
        <f>UPPER(Sheet1!H760)</f>
        <v/>
      </c>
      <c r="G760" s="5">
        <f>TEXT(Sheet1!C760,"dd/mm/yyyy") &amp; "," &amp; Sheet1!D760</f>
        <v/>
      </c>
      <c r="H760" s="38">
        <f>UPPER(Sheet1!J760 &amp; "," &amp; Sheet1!K760 &amp; "," &amp; Sheet1!L760)</f>
        <v/>
      </c>
      <c r="I760" s="45">
        <f>Sheet1!I760</f>
        <v/>
      </c>
      <c r="J760" s="5">
        <f>Sheet1!M760 &amp; "," &amp; TEXT(Sheet1!N760,"dd/mm/yy")</f>
        <v/>
      </c>
      <c r="K760" s="5" t="inlineStr">
        <is>
          <t>PRINTED</t>
        </is>
      </c>
      <c r="L760" t="inlineStr">
        <is>
          <t>25/03/2026</t>
        </is>
      </c>
      <c r="M760" s="30" t="inlineStr">
        <is>
          <t>MANISH KATARIA, VICE CONSUL</t>
        </is>
      </c>
      <c r="N760" s="30" t="n"/>
    </row>
    <row r="761">
      <c r="A761" s="4">
        <f>Sheet1!A761 &amp; "/" &amp; "2025"</f>
        <v/>
      </c>
      <c r="B761" s="5">
        <f>Sheet1!E761</f>
        <v/>
      </c>
      <c r="C761" s="6">
        <f>UPPER(Sheet1!B761)</f>
        <v/>
      </c>
      <c r="D761" s="7">
        <f>IF(Sheet1!F761="F","FEMALE","MALE")</f>
        <v/>
      </c>
      <c r="E761" s="6">
        <f>UPPER(Sheet1!G761)</f>
        <v/>
      </c>
      <c r="F761" s="6">
        <f>UPPER(Sheet1!H761)</f>
        <v/>
      </c>
      <c r="G761" s="5">
        <f>TEXT(Sheet1!C761,"dd/mm/yyyy") &amp; "," &amp; Sheet1!D761</f>
        <v/>
      </c>
      <c r="H761" s="38">
        <f>UPPER(Sheet1!J761 &amp; "," &amp; Sheet1!K761 &amp; "," &amp; Sheet1!L761)</f>
        <v/>
      </c>
      <c r="I761" s="45">
        <f>Sheet1!I761</f>
        <v/>
      </c>
      <c r="J761" s="5">
        <f>Sheet1!M761 &amp; "," &amp; TEXT(Sheet1!N761,"dd/mm/yy")</f>
        <v/>
      </c>
      <c r="K761" s="5" t="inlineStr">
        <is>
          <t>PRINTED</t>
        </is>
      </c>
      <c r="L761" t="inlineStr">
        <is>
          <t>25/03/2026</t>
        </is>
      </c>
      <c r="M761" s="30" t="inlineStr">
        <is>
          <t>MANISH KATARIA, VICE CONSUL</t>
        </is>
      </c>
      <c r="N761" s="30" t="n"/>
    </row>
    <row r="762">
      <c r="A762" s="4">
        <f>Sheet1!A762 &amp; "/" &amp; "2025"</f>
        <v/>
      </c>
      <c r="B762" s="5">
        <f>Sheet1!E762</f>
        <v/>
      </c>
      <c r="C762" s="6">
        <f>UPPER(Sheet1!B762)</f>
        <v/>
      </c>
      <c r="D762" s="7">
        <f>IF(Sheet1!F762="F","FEMALE","MALE")</f>
        <v/>
      </c>
      <c r="E762" s="6">
        <f>UPPER(Sheet1!G762)</f>
        <v/>
      </c>
      <c r="F762" s="6">
        <f>UPPER(Sheet1!H762)</f>
        <v/>
      </c>
      <c r="G762" s="5">
        <f>TEXT(Sheet1!C762,"dd/mm/yyyy") &amp; "," &amp; Sheet1!D762</f>
        <v/>
      </c>
      <c r="H762" s="38">
        <f>UPPER(Sheet1!J762 &amp; "," &amp; Sheet1!K762 &amp; "," &amp; Sheet1!L762)</f>
        <v/>
      </c>
      <c r="I762" s="45">
        <f>Sheet1!I762</f>
        <v/>
      </c>
      <c r="J762" s="5">
        <f>Sheet1!M762 &amp; "," &amp; TEXT(Sheet1!N762,"dd/mm/yy")</f>
        <v/>
      </c>
      <c r="K762" s="5" t="inlineStr">
        <is>
          <t>PRINTED</t>
        </is>
      </c>
      <c r="L762" t="inlineStr">
        <is>
          <t>25/03/2026</t>
        </is>
      </c>
      <c r="M762" s="30" t="inlineStr">
        <is>
          <t>MANISH KATARIA, VICE CONSUL</t>
        </is>
      </c>
      <c r="N762" s="30" t="n"/>
    </row>
    <row r="763">
      <c r="A763" s="4">
        <f>Sheet1!A763 &amp; "/" &amp; "2025"</f>
        <v/>
      </c>
      <c r="B763" s="5">
        <f>Sheet1!E763</f>
        <v/>
      </c>
      <c r="C763" s="6">
        <f>UPPER(Sheet1!B763)</f>
        <v/>
      </c>
      <c r="D763" s="7">
        <f>IF(Sheet1!F763="F","FEMALE","MALE")</f>
        <v/>
      </c>
      <c r="E763" s="6">
        <f>UPPER(Sheet1!G763)</f>
        <v/>
      </c>
      <c r="F763" s="6">
        <f>UPPER(Sheet1!H763)</f>
        <v/>
      </c>
      <c r="G763" s="5">
        <f>TEXT(Sheet1!C763,"dd/mm/yyyy") &amp; "," &amp; Sheet1!D763</f>
        <v/>
      </c>
      <c r="H763" s="38">
        <f>UPPER(Sheet1!J763 &amp; "," &amp; Sheet1!K763 &amp; "," &amp; Sheet1!L763)</f>
        <v/>
      </c>
      <c r="I763" s="45">
        <f>Sheet1!I763</f>
        <v/>
      </c>
      <c r="J763" s="5">
        <f>Sheet1!M763 &amp; "," &amp; TEXT(Sheet1!N763,"dd/mm/yy")</f>
        <v/>
      </c>
      <c r="K763" s="5" t="inlineStr">
        <is>
          <t>PRINTED</t>
        </is>
      </c>
      <c r="L763" t="inlineStr">
        <is>
          <t>25/03/2026</t>
        </is>
      </c>
      <c r="M763" s="30" t="inlineStr">
        <is>
          <t>MANISH KATARIA, VICE CONSUL</t>
        </is>
      </c>
      <c r="N763" s="30" t="n"/>
    </row>
    <row r="764">
      <c r="A764" s="4">
        <f>Sheet1!A764 &amp; "/" &amp; "2025"</f>
        <v/>
      </c>
      <c r="B764" s="5">
        <f>Sheet1!E764</f>
        <v/>
      </c>
      <c r="C764" s="6">
        <f>UPPER(Sheet1!B764)</f>
        <v/>
      </c>
      <c r="D764" s="7">
        <f>IF(Sheet1!F764="F","FEMALE","MALE")</f>
        <v/>
      </c>
      <c r="E764" s="6">
        <f>UPPER(Sheet1!G764)</f>
        <v/>
      </c>
      <c r="F764" s="6">
        <f>UPPER(Sheet1!H764)</f>
        <v/>
      </c>
      <c r="G764" s="5">
        <f>TEXT(Sheet1!C764,"dd/mm/yyyy") &amp; "," &amp; Sheet1!D764</f>
        <v/>
      </c>
      <c r="H764" s="38">
        <f>UPPER(Sheet1!J764 &amp; "," &amp; Sheet1!K764 &amp; "," &amp; Sheet1!L764)</f>
        <v/>
      </c>
      <c r="I764" s="45">
        <f>Sheet1!I764</f>
        <v/>
      </c>
      <c r="J764" s="5">
        <f>Sheet1!M764 &amp; "," &amp; TEXT(Sheet1!N764,"dd/mm/yy")</f>
        <v/>
      </c>
      <c r="K764" s="5" t="inlineStr">
        <is>
          <t>PRINTED</t>
        </is>
      </c>
      <c r="L764" t="inlineStr">
        <is>
          <t>25/03/2026</t>
        </is>
      </c>
      <c r="M764" s="30" t="inlineStr">
        <is>
          <t>MANISH KATARIA, VICE CONSUL</t>
        </is>
      </c>
      <c r="N764" s="30" t="n"/>
    </row>
    <row r="765">
      <c r="A765" s="4">
        <f>Sheet1!A765 &amp; "/" &amp; "2025"</f>
        <v/>
      </c>
      <c r="B765" s="5">
        <f>Sheet1!E765</f>
        <v/>
      </c>
      <c r="C765" s="6">
        <f>UPPER(Sheet1!B765)</f>
        <v/>
      </c>
      <c r="D765" s="7">
        <f>IF(Sheet1!F765="F","FEMALE","MALE")</f>
        <v/>
      </c>
      <c r="E765" s="6">
        <f>UPPER(Sheet1!G765)</f>
        <v/>
      </c>
      <c r="F765" s="6">
        <f>UPPER(Sheet1!H765)</f>
        <v/>
      </c>
      <c r="G765" s="5">
        <f>TEXT(Sheet1!C765,"dd/mm/yyyy") &amp; "," &amp; Sheet1!D765</f>
        <v/>
      </c>
      <c r="H765" s="38">
        <f>UPPER(Sheet1!J765 &amp; "," &amp; Sheet1!K765 &amp; "," &amp; Sheet1!L765)</f>
        <v/>
      </c>
      <c r="I765" s="45">
        <f>Sheet1!I765</f>
        <v/>
      </c>
      <c r="J765" s="5">
        <f>Sheet1!M765 &amp; "," &amp; TEXT(Sheet1!N765,"dd/mm/yy")</f>
        <v/>
      </c>
      <c r="K765" s="5" t="inlineStr">
        <is>
          <t>PRINTED</t>
        </is>
      </c>
      <c r="L765" t="inlineStr">
        <is>
          <t>25/03/2026</t>
        </is>
      </c>
      <c r="M765" s="30" t="inlineStr">
        <is>
          <t>MANISH KATARIA, VICE CONSUL</t>
        </is>
      </c>
      <c r="N765" s="30" t="n"/>
    </row>
    <row r="766">
      <c r="A766" s="4">
        <f>Sheet1!A766 &amp; "/" &amp; "2025"</f>
        <v/>
      </c>
      <c r="B766" s="5">
        <f>Sheet1!E766</f>
        <v/>
      </c>
      <c r="C766" s="6">
        <f>UPPER(Sheet1!B766)</f>
        <v/>
      </c>
      <c r="D766" s="7">
        <f>IF(Sheet1!F766="F","FEMALE","MALE")</f>
        <v/>
      </c>
      <c r="E766" s="6">
        <f>UPPER(Sheet1!G766)</f>
        <v/>
      </c>
      <c r="F766" s="6">
        <f>UPPER(Sheet1!H766)</f>
        <v/>
      </c>
      <c r="G766" s="5">
        <f>TEXT(Sheet1!C766,"dd/mm/yyyy") &amp; "," &amp; Sheet1!D766</f>
        <v/>
      </c>
      <c r="H766" s="38">
        <f>UPPER(Sheet1!J766 &amp; "," &amp; Sheet1!K766 &amp; "," &amp; Sheet1!L766)</f>
        <v/>
      </c>
      <c r="I766" s="45">
        <f>Sheet1!I766</f>
        <v/>
      </c>
      <c r="J766" s="5">
        <f>Sheet1!M766 &amp; "," &amp; TEXT(Sheet1!N766,"dd/mm/yy")</f>
        <v/>
      </c>
      <c r="K766" s="5" t="inlineStr">
        <is>
          <t>PRINTED</t>
        </is>
      </c>
      <c r="L766" t="inlineStr">
        <is>
          <t>25/03/2026</t>
        </is>
      </c>
      <c r="M766" s="30" t="inlineStr">
        <is>
          <t>MANISH KATARIA, VICE CONSUL</t>
        </is>
      </c>
      <c r="N766" s="30" t="n"/>
    </row>
    <row r="767">
      <c r="A767" s="4">
        <f>Sheet1!A767 &amp; "/" &amp; "2025"</f>
        <v/>
      </c>
      <c r="B767" s="5">
        <f>Sheet1!E767</f>
        <v/>
      </c>
      <c r="C767" s="6">
        <f>UPPER(Sheet1!B767)</f>
        <v/>
      </c>
      <c r="D767" s="7">
        <f>IF(Sheet1!F767="F","FEMALE","MALE")</f>
        <v/>
      </c>
      <c r="E767" s="6">
        <f>UPPER(Sheet1!G767)</f>
        <v/>
      </c>
      <c r="F767" s="6">
        <f>UPPER(Sheet1!H767)</f>
        <v/>
      </c>
      <c r="G767" s="5">
        <f>TEXT(Sheet1!C767,"dd/mm/yyyy") &amp; "," &amp; Sheet1!D767</f>
        <v/>
      </c>
      <c r="H767" s="38">
        <f>UPPER(Sheet1!J767 &amp; "," &amp; Sheet1!K767 &amp; "," &amp; Sheet1!L767)</f>
        <v/>
      </c>
      <c r="I767" s="45">
        <f>Sheet1!I767</f>
        <v/>
      </c>
      <c r="J767" s="5">
        <f>Sheet1!M767 &amp; "," &amp; TEXT(Sheet1!N767,"dd/mm/yy")</f>
        <v/>
      </c>
      <c r="K767" s="5" t="inlineStr">
        <is>
          <t>PRINTED</t>
        </is>
      </c>
      <c r="L767" t="inlineStr">
        <is>
          <t>25/03/2026</t>
        </is>
      </c>
      <c r="M767" s="30" t="inlineStr">
        <is>
          <t>MANISH KATARIA, VICE CONSUL</t>
        </is>
      </c>
      <c r="N767" s="30" t="n"/>
    </row>
    <row r="768">
      <c r="A768" s="4">
        <f>Sheet1!A768 &amp; "/" &amp; "2025"</f>
        <v/>
      </c>
      <c r="B768" s="5">
        <f>Sheet1!E768</f>
        <v/>
      </c>
      <c r="C768" s="6">
        <f>UPPER(Sheet1!B768)</f>
        <v/>
      </c>
      <c r="D768" s="7">
        <f>IF(Sheet1!F768="F","FEMALE","MALE")</f>
        <v/>
      </c>
      <c r="E768" s="6">
        <f>UPPER(Sheet1!G768)</f>
        <v/>
      </c>
      <c r="F768" s="6">
        <f>UPPER(Sheet1!H768)</f>
        <v/>
      </c>
      <c r="G768" s="5">
        <f>TEXT(Sheet1!C768,"dd/mm/yyyy") &amp; "," &amp; Sheet1!D768</f>
        <v/>
      </c>
      <c r="H768" s="38">
        <f>UPPER(Sheet1!J768 &amp; "," &amp; Sheet1!K768 &amp; "," &amp; Sheet1!L768)</f>
        <v/>
      </c>
      <c r="I768" s="45">
        <f>Sheet1!I768</f>
        <v/>
      </c>
      <c r="J768" s="5">
        <f>Sheet1!M768 &amp; "," &amp; TEXT(Sheet1!N768,"dd/mm/yy")</f>
        <v/>
      </c>
      <c r="K768" s="5" t="inlineStr">
        <is>
          <t>PRINTED</t>
        </is>
      </c>
      <c r="L768" t="inlineStr">
        <is>
          <t>25/03/2026</t>
        </is>
      </c>
      <c r="M768" s="30" t="inlineStr">
        <is>
          <t>MANISH KATARIA, VICE CONSUL</t>
        </is>
      </c>
      <c r="N768" s="30" t="n"/>
    </row>
    <row r="769">
      <c r="A769" s="4">
        <f>Sheet1!A769 &amp; "/" &amp; "2025"</f>
        <v/>
      </c>
      <c r="B769" s="5">
        <f>Sheet1!E769</f>
        <v/>
      </c>
      <c r="C769" s="6">
        <f>UPPER(Sheet1!B769)</f>
        <v/>
      </c>
      <c r="D769" s="7">
        <f>IF(Sheet1!F769="F","FEMALE","MALE")</f>
        <v/>
      </c>
      <c r="E769" s="6">
        <f>UPPER(Sheet1!G769)</f>
        <v/>
      </c>
      <c r="F769" s="6">
        <f>UPPER(Sheet1!H769)</f>
        <v/>
      </c>
      <c r="G769" s="5">
        <f>TEXT(Sheet1!C769,"dd/mm/yyyy") &amp; "," &amp; Sheet1!D769</f>
        <v/>
      </c>
      <c r="H769" s="38">
        <f>UPPER(Sheet1!J769 &amp; "," &amp; Sheet1!K769 &amp; "," &amp; Sheet1!L769)</f>
        <v/>
      </c>
      <c r="I769" s="45">
        <f>Sheet1!I769</f>
        <v/>
      </c>
      <c r="J769" s="5">
        <f>Sheet1!M769 &amp; "," &amp; TEXT(Sheet1!N769,"dd/mm/yy")</f>
        <v/>
      </c>
      <c r="K769" s="5" t="inlineStr">
        <is>
          <t>PRINTED</t>
        </is>
      </c>
      <c r="L769" t="inlineStr">
        <is>
          <t>25/03/2026</t>
        </is>
      </c>
      <c r="M769" s="30" t="inlineStr">
        <is>
          <t>MANISH KATARIA, VICE CONSUL</t>
        </is>
      </c>
      <c r="N769" s="30" t="n"/>
    </row>
    <row r="770">
      <c r="A770" s="4">
        <f>Sheet1!A770 &amp; "/" &amp; "2025"</f>
        <v/>
      </c>
      <c r="B770" s="5">
        <f>Sheet1!E770</f>
        <v/>
      </c>
      <c r="C770" s="6">
        <f>UPPER(Sheet1!B770)</f>
        <v/>
      </c>
      <c r="D770" s="7">
        <f>IF(Sheet1!F770="F","FEMALE","MALE")</f>
        <v/>
      </c>
      <c r="E770" s="6">
        <f>UPPER(Sheet1!G770)</f>
        <v/>
      </c>
      <c r="F770" s="6">
        <f>UPPER(Sheet1!H770)</f>
        <v/>
      </c>
      <c r="G770" s="5">
        <f>TEXT(Sheet1!C770,"dd/mm/yyyy") &amp; "," &amp; Sheet1!D770</f>
        <v/>
      </c>
      <c r="H770" s="38">
        <f>UPPER(Sheet1!J770 &amp; "," &amp; Sheet1!K770 &amp; "," &amp; Sheet1!L770)</f>
        <v/>
      </c>
      <c r="I770" s="45">
        <f>Sheet1!I770</f>
        <v/>
      </c>
      <c r="J770" s="5">
        <f>Sheet1!M770 &amp; "," &amp; TEXT(Sheet1!N770,"dd/mm/yy")</f>
        <v/>
      </c>
      <c r="K770" s="5" t="inlineStr">
        <is>
          <t>PRINTED</t>
        </is>
      </c>
      <c r="L770" t="inlineStr">
        <is>
          <t>25/03/2026</t>
        </is>
      </c>
      <c r="M770" s="30" t="inlineStr">
        <is>
          <t>MANISH KATARIA, VICE CONSUL</t>
        </is>
      </c>
      <c r="N770" s="30" t="n"/>
    </row>
    <row r="771">
      <c r="A771" s="4">
        <f>Sheet1!A771 &amp; "/" &amp; "2025"</f>
        <v/>
      </c>
      <c r="B771" s="5">
        <f>Sheet1!E771</f>
        <v/>
      </c>
      <c r="C771" s="6">
        <f>UPPER(Sheet1!B771)</f>
        <v/>
      </c>
      <c r="D771" s="7">
        <f>IF(Sheet1!F771="F","FEMALE","MALE")</f>
        <v/>
      </c>
      <c r="E771" s="6">
        <f>UPPER(Sheet1!G771)</f>
        <v/>
      </c>
      <c r="F771" s="6">
        <f>UPPER(Sheet1!H771)</f>
        <v/>
      </c>
      <c r="G771" s="5">
        <f>TEXT(Sheet1!C771,"dd/mm/yyyy") &amp; "," &amp; Sheet1!D771</f>
        <v/>
      </c>
      <c r="H771" s="38">
        <f>UPPER(Sheet1!J771 &amp; "," &amp; Sheet1!K771 &amp; "," &amp; Sheet1!L771)</f>
        <v/>
      </c>
      <c r="I771" s="45">
        <f>Sheet1!I771</f>
        <v/>
      </c>
      <c r="J771" s="5">
        <f>Sheet1!M771 &amp; "," &amp; TEXT(Sheet1!N771,"dd/mm/yy")</f>
        <v/>
      </c>
      <c r="K771" s="5" t="inlineStr">
        <is>
          <t>PRINTED</t>
        </is>
      </c>
      <c r="L771" t="inlineStr">
        <is>
          <t>25/03/2026</t>
        </is>
      </c>
      <c r="M771" s="30" t="inlineStr">
        <is>
          <t>MANISH KATARIA, VICE CONSUL</t>
        </is>
      </c>
      <c r="N771" s="30" t="n"/>
    </row>
    <row r="772">
      <c r="A772" s="4">
        <f>Sheet1!A772 &amp; "/" &amp; "2025"</f>
        <v/>
      </c>
      <c r="B772" s="5">
        <f>Sheet1!E772</f>
        <v/>
      </c>
      <c r="C772" s="6">
        <f>UPPER(Sheet1!B772)</f>
        <v/>
      </c>
      <c r="D772" s="7">
        <f>IF(Sheet1!F772="F","FEMALE","MALE")</f>
        <v/>
      </c>
      <c r="E772" s="6">
        <f>UPPER(Sheet1!G772)</f>
        <v/>
      </c>
      <c r="F772" s="6">
        <f>UPPER(Sheet1!H772)</f>
        <v/>
      </c>
      <c r="G772" s="5">
        <f>TEXT(Sheet1!C772,"dd/mm/yyyy") &amp; "," &amp; Sheet1!D772</f>
        <v/>
      </c>
      <c r="H772" s="38">
        <f>UPPER(Sheet1!J772 &amp; "," &amp; Sheet1!K772 &amp; "," &amp; Sheet1!L772)</f>
        <v/>
      </c>
      <c r="I772" s="45">
        <f>Sheet1!I772</f>
        <v/>
      </c>
      <c r="J772" s="5">
        <f>Sheet1!M772 &amp; "," &amp; TEXT(Sheet1!N772,"dd/mm/yy")</f>
        <v/>
      </c>
      <c r="K772" s="5" t="inlineStr">
        <is>
          <t>PRINTED</t>
        </is>
      </c>
      <c r="L772" t="inlineStr">
        <is>
          <t>25/03/2026</t>
        </is>
      </c>
      <c r="M772" s="30" t="inlineStr">
        <is>
          <t>MANISH KATARIA, VICE CONSUL</t>
        </is>
      </c>
      <c r="N772" s="30" t="n"/>
    </row>
    <row r="773">
      <c r="A773" s="4">
        <f>Sheet1!A773 &amp; "/" &amp; "2025"</f>
        <v/>
      </c>
      <c r="B773" s="5">
        <f>Sheet1!E773</f>
        <v/>
      </c>
      <c r="C773" s="6">
        <f>UPPER(Sheet1!B773)</f>
        <v/>
      </c>
      <c r="D773" s="7">
        <f>IF(Sheet1!F773="F","FEMALE","MALE")</f>
        <v/>
      </c>
      <c r="E773" s="6">
        <f>UPPER(Sheet1!G773)</f>
        <v/>
      </c>
      <c r="F773" s="6">
        <f>UPPER(Sheet1!H773)</f>
        <v/>
      </c>
      <c r="G773" s="5">
        <f>TEXT(Sheet1!C773,"dd/mm/yyyy") &amp; "," &amp; Sheet1!D773</f>
        <v/>
      </c>
      <c r="H773" s="38">
        <f>UPPER(Sheet1!J773 &amp; "," &amp; Sheet1!K773 &amp; "," &amp; Sheet1!L773)</f>
        <v/>
      </c>
      <c r="I773" s="45">
        <f>Sheet1!I773</f>
        <v/>
      </c>
      <c r="J773" s="5">
        <f>Sheet1!M773 &amp; "," &amp; TEXT(Sheet1!N773,"dd/mm/yy")</f>
        <v/>
      </c>
      <c r="K773" s="5" t="inlineStr">
        <is>
          <t>PRINTED</t>
        </is>
      </c>
      <c r="L773" t="inlineStr">
        <is>
          <t>25/03/2026</t>
        </is>
      </c>
      <c r="M773" s="30" t="inlineStr">
        <is>
          <t>MANISH KATARIA, VICE CONSUL</t>
        </is>
      </c>
      <c r="N773" s="30" t="n"/>
    </row>
    <row r="774">
      <c r="A774" s="4">
        <f>Sheet1!A774 &amp; "/" &amp; "2025"</f>
        <v/>
      </c>
      <c r="B774" s="5">
        <f>Sheet1!E774</f>
        <v/>
      </c>
      <c r="C774" s="6">
        <f>UPPER(Sheet1!B774)</f>
        <v/>
      </c>
      <c r="D774" s="7">
        <f>IF(Sheet1!F774="F","FEMALE","MALE")</f>
        <v/>
      </c>
      <c r="E774" s="6">
        <f>UPPER(Sheet1!G774)</f>
        <v/>
      </c>
      <c r="F774" s="6">
        <f>UPPER(Sheet1!H774)</f>
        <v/>
      </c>
      <c r="G774" s="5">
        <f>TEXT(Sheet1!C774,"dd/mm/yyyy") &amp; "," &amp; Sheet1!D774</f>
        <v/>
      </c>
      <c r="H774" s="38">
        <f>UPPER(Sheet1!J774 &amp; "," &amp; Sheet1!K774 &amp; "," &amp; Sheet1!L774)</f>
        <v/>
      </c>
      <c r="I774" s="45">
        <f>Sheet1!I774</f>
        <v/>
      </c>
      <c r="J774" s="5">
        <f>Sheet1!M774 &amp; "," &amp; TEXT(Sheet1!N774,"dd/mm/yy")</f>
        <v/>
      </c>
      <c r="K774" s="5" t="inlineStr">
        <is>
          <t>PRINTED</t>
        </is>
      </c>
      <c r="L774" t="inlineStr">
        <is>
          <t>25/03/2026</t>
        </is>
      </c>
      <c r="M774" s="30" t="inlineStr">
        <is>
          <t>MANISH KATARIA, VICE CONSUL</t>
        </is>
      </c>
      <c r="N774" s="30" t="n"/>
    </row>
    <row r="775">
      <c r="A775" s="4">
        <f>Sheet1!A775 &amp; "/" &amp; "2025"</f>
        <v/>
      </c>
      <c r="B775" s="5">
        <f>Sheet1!E775</f>
        <v/>
      </c>
      <c r="C775" s="6">
        <f>UPPER(Sheet1!B775)</f>
        <v/>
      </c>
      <c r="D775" s="7">
        <f>IF(Sheet1!F775="F","FEMALE","MALE")</f>
        <v/>
      </c>
      <c r="E775" s="6">
        <f>UPPER(Sheet1!G775)</f>
        <v/>
      </c>
      <c r="F775" s="6">
        <f>UPPER(Sheet1!H775)</f>
        <v/>
      </c>
      <c r="G775" s="5">
        <f>TEXT(Sheet1!C775,"dd/mm/yyyy") &amp; "," &amp; Sheet1!D775</f>
        <v/>
      </c>
      <c r="H775" s="38">
        <f>UPPER(Sheet1!J775 &amp; "," &amp; Sheet1!K775 &amp; "," &amp; Sheet1!L775)</f>
        <v/>
      </c>
      <c r="I775" s="45">
        <f>Sheet1!I775</f>
        <v/>
      </c>
      <c r="J775" s="5">
        <f>Sheet1!M775 &amp; "," &amp; TEXT(Sheet1!N775,"dd/mm/yy")</f>
        <v/>
      </c>
      <c r="K775" s="5" t="inlineStr">
        <is>
          <t>PRINTED</t>
        </is>
      </c>
      <c r="L775" t="inlineStr">
        <is>
          <t>25/03/2026</t>
        </is>
      </c>
      <c r="M775" s="30" t="inlineStr">
        <is>
          <t>MANISH KATARIA, VICE CONSUL</t>
        </is>
      </c>
      <c r="N775" s="30" t="n"/>
    </row>
    <row r="776">
      <c r="A776" s="4">
        <f>Sheet1!A776 &amp; "/" &amp; "2025"</f>
        <v/>
      </c>
      <c r="B776" s="5">
        <f>Sheet1!E776</f>
        <v/>
      </c>
      <c r="C776" s="6">
        <f>UPPER(Sheet1!B776)</f>
        <v/>
      </c>
      <c r="D776" s="7">
        <f>IF(Sheet1!F776="F","FEMALE","MALE")</f>
        <v/>
      </c>
      <c r="E776" s="6">
        <f>UPPER(Sheet1!G776)</f>
        <v/>
      </c>
      <c r="F776" s="6">
        <f>UPPER(Sheet1!H776)</f>
        <v/>
      </c>
      <c r="G776" s="5">
        <f>TEXT(Sheet1!C776,"dd/mm/yyyy") &amp; "," &amp; Sheet1!D776</f>
        <v/>
      </c>
      <c r="H776" s="38">
        <f>UPPER(Sheet1!J776 &amp; "," &amp; Sheet1!K776 &amp; "," &amp; Sheet1!L776)</f>
        <v/>
      </c>
      <c r="I776" s="45">
        <f>Sheet1!I776</f>
        <v/>
      </c>
      <c r="J776" s="5">
        <f>Sheet1!M776 &amp; "," &amp; TEXT(Sheet1!N776,"dd/mm/yy")</f>
        <v/>
      </c>
      <c r="K776" s="5" t="inlineStr">
        <is>
          <t>PRINTED</t>
        </is>
      </c>
      <c r="L776" t="inlineStr">
        <is>
          <t>25/03/2026</t>
        </is>
      </c>
      <c r="M776" s="30" t="inlineStr">
        <is>
          <t>MANISH KATARIA, VICE CONSUL</t>
        </is>
      </c>
      <c r="N776" s="30" t="n"/>
    </row>
    <row r="777">
      <c r="A777" s="4">
        <f>Sheet1!A777 &amp; "/" &amp; "2025"</f>
        <v/>
      </c>
      <c r="B777" s="5">
        <f>Sheet1!E777</f>
        <v/>
      </c>
      <c r="C777" s="6">
        <f>UPPER(Sheet1!B777)</f>
        <v/>
      </c>
      <c r="D777" s="7">
        <f>IF(Sheet1!F777="F","FEMALE","MALE")</f>
        <v/>
      </c>
      <c r="E777" s="6">
        <f>UPPER(Sheet1!G777)</f>
        <v/>
      </c>
      <c r="F777" s="6">
        <f>UPPER(Sheet1!H777)</f>
        <v/>
      </c>
      <c r="G777" s="5">
        <f>TEXT(Sheet1!C777,"dd/mm/yyyy") &amp; "," &amp; Sheet1!D777</f>
        <v/>
      </c>
      <c r="H777" s="38">
        <f>UPPER(Sheet1!J777 &amp; "," &amp; Sheet1!K777 &amp; "," &amp; Sheet1!L777)</f>
        <v/>
      </c>
      <c r="I777" s="45">
        <f>Sheet1!I777</f>
        <v/>
      </c>
      <c r="J777" s="5">
        <f>Sheet1!M777 &amp; "," &amp; TEXT(Sheet1!N777,"dd/mm/yy")</f>
        <v/>
      </c>
      <c r="K777" s="5" t="inlineStr">
        <is>
          <t>PRINTED</t>
        </is>
      </c>
      <c r="L777" t="inlineStr">
        <is>
          <t>25/03/2026</t>
        </is>
      </c>
      <c r="M777" s="30" t="inlineStr">
        <is>
          <t>MANISH KATARIA, VICE CONSUL</t>
        </is>
      </c>
      <c r="N777" s="30" t="n"/>
    </row>
    <row r="778">
      <c r="A778" s="4">
        <f>Sheet1!A778 &amp; "/" &amp; "2025"</f>
        <v/>
      </c>
      <c r="B778" s="5">
        <f>Sheet1!E778</f>
        <v/>
      </c>
      <c r="C778" s="6">
        <f>UPPER(Sheet1!B778)</f>
        <v/>
      </c>
      <c r="D778" s="7">
        <f>IF(Sheet1!F778="F","FEMALE","MALE")</f>
        <v/>
      </c>
      <c r="E778" s="6">
        <f>UPPER(Sheet1!G778)</f>
        <v/>
      </c>
      <c r="F778" s="6">
        <f>UPPER(Sheet1!H778)</f>
        <v/>
      </c>
      <c r="G778" s="5">
        <f>TEXT(Sheet1!C778,"dd/mm/yyyy") &amp; "," &amp; Sheet1!D778</f>
        <v/>
      </c>
      <c r="H778" s="38">
        <f>UPPER(Sheet1!J778 &amp; "," &amp; Sheet1!K778 &amp; "," &amp; Sheet1!L778)</f>
        <v/>
      </c>
      <c r="I778" s="45">
        <f>Sheet1!I778</f>
        <v/>
      </c>
      <c r="J778" s="5">
        <f>Sheet1!M778 &amp; "," &amp; TEXT(Sheet1!N778,"dd/mm/yy")</f>
        <v/>
      </c>
      <c r="K778" s="5" t="inlineStr">
        <is>
          <t>PRINTED</t>
        </is>
      </c>
      <c r="L778" t="inlineStr">
        <is>
          <t>25/03/2026</t>
        </is>
      </c>
      <c r="M778" s="30" t="inlineStr">
        <is>
          <t>MANISH KATARIA, VICE CONSUL</t>
        </is>
      </c>
      <c r="N778" s="30" t="n"/>
    </row>
    <row r="779">
      <c r="A779" s="4">
        <f>Sheet1!A779 &amp; "/" &amp; "2025"</f>
        <v/>
      </c>
      <c r="B779" s="5">
        <f>Sheet1!E779</f>
        <v/>
      </c>
      <c r="C779" s="6">
        <f>UPPER(Sheet1!B779)</f>
        <v/>
      </c>
      <c r="D779" s="7">
        <f>IF(Sheet1!F779="F","FEMALE","MALE")</f>
        <v/>
      </c>
      <c r="E779" s="6">
        <f>UPPER(Sheet1!G779)</f>
        <v/>
      </c>
      <c r="F779" s="6">
        <f>UPPER(Sheet1!H779)</f>
        <v/>
      </c>
      <c r="G779" s="5">
        <f>TEXT(Sheet1!C779,"dd/mm/yyyy") &amp; "," &amp; Sheet1!D779</f>
        <v/>
      </c>
      <c r="H779" s="38">
        <f>UPPER(Sheet1!J779 &amp; "," &amp; Sheet1!K779 &amp; "," &amp; Sheet1!L779)</f>
        <v/>
      </c>
      <c r="I779" s="45">
        <f>Sheet1!I779</f>
        <v/>
      </c>
      <c r="J779" s="5">
        <f>Sheet1!M779 &amp; "," &amp; TEXT(Sheet1!N779,"dd/mm/yy")</f>
        <v/>
      </c>
      <c r="K779" s="5" t="inlineStr">
        <is>
          <t>PRINTED</t>
        </is>
      </c>
      <c r="L779" t="inlineStr">
        <is>
          <t>25/03/2026</t>
        </is>
      </c>
      <c r="M779" s="30" t="inlineStr">
        <is>
          <t>MANISH KATARIA, VICE CONSUL</t>
        </is>
      </c>
      <c r="N779" s="30" t="n"/>
    </row>
    <row r="780">
      <c r="A780" s="4">
        <f>Sheet1!A780 &amp; "/" &amp; "2025"</f>
        <v/>
      </c>
      <c r="B780" s="5">
        <f>Sheet1!E780</f>
        <v/>
      </c>
      <c r="C780" s="6">
        <f>UPPER(Sheet1!B780)</f>
        <v/>
      </c>
      <c r="D780" s="7">
        <f>IF(Sheet1!F780="F","FEMALE","MALE")</f>
        <v/>
      </c>
      <c r="E780" s="6">
        <f>UPPER(Sheet1!G780)</f>
        <v/>
      </c>
      <c r="F780" s="6">
        <f>UPPER(Sheet1!H780)</f>
        <v/>
      </c>
      <c r="G780" s="5">
        <f>TEXT(Sheet1!C780,"dd/mm/yyyy") &amp; "," &amp; Sheet1!D780</f>
        <v/>
      </c>
      <c r="H780" s="38">
        <f>UPPER(Sheet1!J780 &amp; "," &amp; Sheet1!K780 &amp; "," &amp; Sheet1!L780)</f>
        <v/>
      </c>
      <c r="I780" s="45">
        <f>Sheet1!I780</f>
        <v/>
      </c>
      <c r="J780" s="5">
        <f>Sheet1!M780 &amp; "," &amp; TEXT(Sheet1!N780,"dd/mm/yy")</f>
        <v/>
      </c>
      <c r="K780" s="5" t="inlineStr">
        <is>
          <t>PRINTED</t>
        </is>
      </c>
      <c r="L780" t="inlineStr">
        <is>
          <t>25/03/2026</t>
        </is>
      </c>
      <c r="M780" s="30" t="inlineStr">
        <is>
          <t>MANISH KATARIA, VICE CONSUL</t>
        </is>
      </c>
      <c r="N780" s="30" t="n"/>
    </row>
    <row r="781">
      <c r="A781" s="4">
        <f>Sheet1!A781 &amp; "/" &amp; "2025"</f>
        <v/>
      </c>
      <c r="B781" s="5">
        <f>Sheet1!E781</f>
        <v/>
      </c>
      <c r="C781" s="6">
        <f>UPPER(Sheet1!B781)</f>
        <v/>
      </c>
      <c r="D781" s="7">
        <f>IF(Sheet1!F781="F","FEMALE","MALE")</f>
        <v/>
      </c>
      <c r="E781" s="6">
        <f>UPPER(Sheet1!G781)</f>
        <v/>
      </c>
      <c r="F781" s="6">
        <f>UPPER(Sheet1!H781)</f>
        <v/>
      </c>
      <c r="G781" s="5">
        <f>TEXT(Sheet1!C781,"dd/mm/yyyy") &amp; "," &amp; Sheet1!D781</f>
        <v/>
      </c>
      <c r="H781" s="38">
        <f>UPPER(Sheet1!J781 &amp; "," &amp; Sheet1!K781 &amp; "," &amp; Sheet1!L781)</f>
        <v/>
      </c>
      <c r="I781" s="45">
        <f>Sheet1!I781</f>
        <v/>
      </c>
      <c r="J781" s="5">
        <f>Sheet1!M781 &amp; "," &amp; TEXT(Sheet1!N781,"dd/mm/yy")</f>
        <v/>
      </c>
      <c r="K781" s="5" t="inlineStr">
        <is>
          <t>PRINTED</t>
        </is>
      </c>
      <c r="L781" t="inlineStr">
        <is>
          <t>25/03/2026</t>
        </is>
      </c>
      <c r="M781" s="30" t="inlineStr">
        <is>
          <t>MANISH KATARIA, VICE CONSUL</t>
        </is>
      </c>
      <c r="N781" s="30" t="n"/>
    </row>
    <row r="782">
      <c r="A782" s="4">
        <f>Sheet1!A782 &amp; "/" &amp; "2025"</f>
        <v/>
      </c>
      <c r="B782" s="5">
        <f>Sheet1!E782</f>
        <v/>
      </c>
      <c r="C782" s="6">
        <f>UPPER(Sheet1!B782)</f>
        <v/>
      </c>
      <c r="D782" s="7">
        <f>IF(Sheet1!F782="F","FEMALE","MALE")</f>
        <v/>
      </c>
      <c r="E782" s="6">
        <f>UPPER(Sheet1!G782)</f>
        <v/>
      </c>
      <c r="F782" s="6">
        <f>UPPER(Sheet1!H782)</f>
        <v/>
      </c>
      <c r="G782" s="5">
        <f>TEXT(Sheet1!C782,"dd/mm/yyyy") &amp; "," &amp; Sheet1!D782</f>
        <v/>
      </c>
      <c r="H782" s="38">
        <f>UPPER(Sheet1!J782 &amp; "," &amp; Sheet1!K782 &amp; "," &amp; Sheet1!L782)</f>
        <v/>
      </c>
      <c r="I782" s="45">
        <f>Sheet1!I782</f>
        <v/>
      </c>
      <c r="J782" s="5">
        <f>Sheet1!M782 &amp; "," &amp; TEXT(Sheet1!N782,"dd/mm/yy")</f>
        <v/>
      </c>
      <c r="K782" s="5" t="inlineStr">
        <is>
          <t>PRINTED</t>
        </is>
      </c>
      <c r="L782" t="inlineStr">
        <is>
          <t>25/03/2026</t>
        </is>
      </c>
      <c r="M782" s="30" t="inlineStr">
        <is>
          <t>MANISH KATARIA, VICE CONSUL</t>
        </is>
      </c>
      <c r="N782" s="30" t="n"/>
    </row>
    <row r="783">
      <c r="A783" s="4">
        <f>Sheet1!A783 &amp; "/" &amp; "2025"</f>
        <v/>
      </c>
      <c r="B783" s="5">
        <f>Sheet1!E783</f>
        <v/>
      </c>
      <c r="C783" s="6">
        <f>UPPER(Sheet1!B783)</f>
        <v/>
      </c>
      <c r="D783" s="7">
        <f>IF(Sheet1!F783="F","FEMALE","MALE")</f>
        <v/>
      </c>
      <c r="E783" s="6">
        <f>UPPER(Sheet1!G783)</f>
        <v/>
      </c>
      <c r="F783" s="6">
        <f>UPPER(Sheet1!H783)</f>
        <v/>
      </c>
      <c r="G783" s="5">
        <f>TEXT(Sheet1!C783,"dd/mm/yyyy") &amp; "," &amp; Sheet1!D783</f>
        <v/>
      </c>
      <c r="H783" s="38">
        <f>UPPER(Sheet1!J783 &amp; "," &amp; Sheet1!K783 &amp; "," &amp; Sheet1!L783)</f>
        <v/>
      </c>
      <c r="I783" s="45">
        <f>Sheet1!I783</f>
        <v/>
      </c>
      <c r="J783" s="5">
        <f>Sheet1!M783 &amp; "," &amp; TEXT(Sheet1!N783,"dd/mm/yy")</f>
        <v/>
      </c>
      <c r="K783" s="5" t="inlineStr">
        <is>
          <t>PRINTED</t>
        </is>
      </c>
      <c r="L783" t="inlineStr">
        <is>
          <t>25/03/2026</t>
        </is>
      </c>
      <c r="M783" s="30" t="inlineStr">
        <is>
          <t>MANISH KATARIA, VICE CONSUL</t>
        </is>
      </c>
      <c r="N783" s="30" t="n"/>
    </row>
    <row r="784">
      <c r="A784" s="4">
        <f>Sheet1!A784 &amp; "/" &amp; "2025"</f>
        <v/>
      </c>
      <c r="B784" s="5">
        <f>Sheet1!E784</f>
        <v/>
      </c>
      <c r="C784" s="6">
        <f>UPPER(Sheet1!B784)</f>
        <v/>
      </c>
      <c r="D784" s="7">
        <f>IF(Sheet1!F784="F","FEMALE","MALE")</f>
        <v/>
      </c>
      <c r="E784" s="6">
        <f>UPPER(Sheet1!G784)</f>
        <v/>
      </c>
      <c r="F784" s="6">
        <f>UPPER(Sheet1!H784)</f>
        <v/>
      </c>
      <c r="G784" s="5">
        <f>TEXT(Sheet1!C784,"dd/mm/yyyy") &amp; "," &amp; Sheet1!D784</f>
        <v/>
      </c>
      <c r="H784" s="38">
        <f>UPPER(Sheet1!J784 &amp; "," &amp; Sheet1!K784 &amp; "," &amp; Sheet1!L784)</f>
        <v/>
      </c>
      <c r="I784" s="45">
        <f>Sheet1!I784</f>
        <v/>
      </c>
      <c r="J784" s="5">
        <f>Sheet1!M784 &amp; "," &amp; TEXT(Sheet1!N784,"dd/mm/yy")</f>
        <v/>
      </c>
      <c r="K784" s="5" t="inlineStr">
        <is>
          <t>PRINTED</t>
        </is>
      </c>
      <c r="L784" t="inlineStr">
        <is>
          <t>25/03/2026</t>
        </is>
      </c>
      <c r="M784" s="30" t="inlineStr">
        <is>
          <t>MANISH KATARIA, VICE CONSUL</t>
        </is>
      </c>
      <c r="N784" s="30" t="n"/>
    </row>
    <row r="785">
      <c r="A785" s="4">
        <f>Sheet1!A785 &amp; "/" &amp; "2025"</f>
        <v/>
      </c>
      <c r="B785" s="5">
        <f>Sheet1!E785</f>
        <v/>
      </c>
      <c r="C785" s="6">
        <f>UPPER(Sheet1!B785)</f>
        <v/>
      </c>
      <c r="D785" s="7">
        <f>IF(Sheet1!F785="F","FEMALE","MALE")</f>
        <v/>
      </c>
      <c r="E785" s="6">
        <f>UPPER(Sheet1!G785)</f>
        <v/>
      </c>
      <c r="F785" s="6">
        <f>UPPER(Sheet1!H785)</f>
        <v/>
      </c>
      <c r="G785" s="5">
        <f>TEXT(Sheet1!C785,"dd/mm/yyyy") &amp; "," &amp; Sheet1!D785</f>
        <v/>
      </c>
      <c r="H785" s="38">
        <f>UPPER(Sheet1!J785 &amp; "," &amp; Sheet1!K785 &amp; "," &amp; Sheet1!L785)</f>
        <v/>
      </c>
      <c r="I785" s="45">
        <f>Sheet1!I785</f>
        <v/>
      </c>
      <c r="J785" s="5">
        <f>Sheet1!M785 &amp; "," &amp; TEXT(Sheet1!N785,"dd/mm/yy")</f>
        <v/>
      </c>
      <c r="K785" s="5" t="inlineStr">
        <is>
          <t>PRINTED</t>
        </is>
      </c>
      <c r="L785" t="inlineStr">
        <is>
          <t>25/03/2026</t>
        </is>
      </c>
      <c r="M785" s="30" t="inlineStr">
        <is>
          <t>MANISH KATARIA, VICE CONSUL</t>
        </is>
      </c>
      <c r="N785" s="30" t="n"/>
    </row>
    <row r="786">
      <c r="A786" s="4">
        <f>Sheet1!A786 &amp; "/" &amp; "2025"</f>
        <v/>
      </c>
      <c r="B786" s="5">
        <f>Sheet1!E786</f>
        <v/>
      </c>
      <c r="C786" s="6">
        <f>UPPER(Sheet1!B786)</f>
        <v/>
      </c>
      <c r="D786" s="7">
        <f>IF(Sheet1!F786="F","FEMALE","MALE")</f>
        <v/>
      </c>
      <c r="E786" s="6">
        <f>UPPER(Sheet1!G786)</f>
        <v/>
      </c>
      <c r="F786" s="6">
        <f>UPPER(Sheet1!H786)</f>
        <v/>
      </c>
      <c r="G786" s="5">
        <f>TEXT(Sheet1!C786,"dd/mm/yyyy") &amp; "," &amp; Sheet1!D786</f>
        <v/>
      </c>
      <c r="H786" s="38">
        <f>UPPER(Sheet1!J786 &amp; "," &amp; Sheet1!K786 &amp; "," &amp; Sheet1!L786)</f>
        <v/>
      </c>
      <c r="I786" s="45">
        <f>Sheet1!I786</f>
        <v/>
      </c>
      <c r="J786" s="5">
        <f>Sheet1!M786 &amp; "," &amp; TEXT(Sheet1!N786,"dd/mm/yy")</f>
        <v/>
      </c>
      <c r="K786" s="5" t="inlineStr">
        <is>
          <t>PRINTED</t>
        </is>
      </c>
      <c r="L786" t="inlineStr">
        <is>
          <t>25/03/2026</t>
        </is>
      </c>
      <c r="M786" s="30" t="inlineStr">
        <is>
          <t>MANISH KATARIA, VICE CONSUL</t>
        </is>
      </c>
      <c r="N786" s="30" t="n"/>
    </row>
    <row r="787">
      <c r="A787" s="4">
        <f>Sheet1!A787 &amp; "/" &amp; "2025"</f>
        <v/>
      </c>
      <c r="B787" s="5">
        <f>Sheet1!E787</f>
        <v/>
      </c>
      <c r="C787" s="6">
        <f>UPPER(Sheet1!B787)</f>
        <v/>
      </c>
      <c r="D787" s="7">
        <f>IF(Sheet1!F787="F","FEMALE","MALE")</f>
        <v/>
      </c>
      <c r="E787" s="6">
        <f>UPPER(Sheet1!G787)</f>
        <v/>
      </c>
      <c r="F787" s="6">
        <f>UPPER(Sheet1!H787)</f>
        <v/>
      </c>
      <c r="G787" s="5">
        <f>TEXT(Sheet1!C787,"dd/mm/yyyy") &amp; "," &amp; Sheet1!D787</f>
        <v/>
      </c>
      <c r="H787" s="38">
        <f>UPPER(Sheet1!J787 &amp; "," &amp; Sheet1!K787 &amp; "," &amp; Sheet1!L787)</f>
        <v/>
      </c>
      <c r="I787" s="45">
        <f>Sheet1!I787</f>
        <v/>
      </c>
      <c r="J787" s="5">
        <f>Sheet1!M787 &amp; "," &amp; TEXT(Sheet1!N787,"dd/mm/yy")</f>
        <v/>
      </c>
      <c r="K787" s="5" t="inlineStr">
        <is>
          <t>PRINTED</t>
        </is>
      </c>
      <c r="L787" t="inlineStr">
        <is>
          <t>25/03/2026</t>
        </is>
      </c>
      <c r="M787" s="30" t="inlineStr">
        <is>
          <t>MANISH KATARIA, VICE CONSUL</t>
        </is>
      </c>
      <c r="N787" s="30" t="n"/>
    </row>
    <row r="788">
      <c r="A788" s="4">
        <f>Sheet1!A788 &amp; "/" &amp; "2025"</f>
        <v/>
      </c>
      <c r="B788" s="5">
        <f>Sheet1!E788</f>
        <v/>
      </c>
      <c r="C788" s="6">
        <f>UPPER(Sheet1!B788)</f>
        <v/>
      </c>
      <c r="D788" s="7">
        <f>IF(Sheet1!F788="F","FEMALE","MALE")</f>
        <v/>
      </c>
      <c r="E788" s="6">
        <f>UPPER(Sheet1!G788)</f>
        <v/>
      </c>
      <c r="F788" s="6">
        <f>UPPER(Sheet1!H788)</f>
        <v/>
      </c>
      <c r="G788" s="5">
        <f>TEXT(Sheet1!C788,"dd/mm/yyyy") &amp; "," &amp; Sheet1!D788</f>
        <v/>
      </c>
      <c r="H788" s="38">
        <f>UPPER(Sheet1!J788 &amp; "," &amp; Sheet1!K788 &amp; "," &amp; Sheet1!L788)</f>
        <v/>
      </c>
      <c r="I788" s="45">
        <f>Sheet1!I788</f>
        <v/>
      </c>
      <c r="J788" s="5">
        <f>Sheet1!M788 &amp; "," &amp; TEXT(Sheet1!N788,"dd/mm/yy")</f>
        <v/>
      </c>
      <c r="K788" s="5" t="inlineStr">
        <is>
          <t>PRINTED</t>
        </is>
      </c>
      <c r="L788" t="inlineStr">
        <is>
          <t>25/03/2026</t>
        </is>
      </c>
      <c r="M788" s="30" t="inlineStr">
        <is>
          <t>MANISH KATARIA, VICE CONSUL</t>
        </is>
      </c>
      <c r="N788" s="30" t="n"/>
    </row>
    <row r="789">
      <c r="A789" s="4">
        <f>Sheet1!A789 &amp; "/" &amp; "2025"</f>
        <v/>
      </c>
      <c r="B789" s="5">
        <f>Sheet1!E789</f>
        <v/>
      </c>
      <c r="C789" s="6">
        <f>UPPER(Sheet1!B789)</f>
        <v/>
      </c>
      <c r="D789" s="7">
        <f>IF(Sheet1!F789="F","FEMALE","MALE")</f>
        <v/>
      </c>
      <c r="E789" s="6">
        <f>UPPER(Sheet1!G789)</f>
        <v/>
      </c>
      <c r="F789" s="6">
        <f>UPPER(Sheet1!H789)</f>
        <v/>
      </c>
      <c r="G789" s="5">
        <f>TEXT(Sheet1!C789,"dd/mm/yyyy") &amp; "," &amp; Sheet1!D789</f>
        <v/>
      </c>
      <c r="H789" s="38">
        <f>UPPER(Sheet1!J789 &amp; "," &amp; Sheet1!K789 &amp; "," &amp; Sheet1!L789)</f>
        <v/>
      </c>
      <c r="I789" s="45">
        <f>Sheet1!I789</f>
        <v/>
      </c>
      <c r="J789" s="5">
        <f>Sheet1!M789 &amp; "," &amp; TEXT(Sheet1!N789,"dd/mm/yy")</f>
        <v/>
      </c>
      <c r="K789" s="5" t="inlineStr">
        <is>
          <t>PRINTED</t>
        </is>
      </c>
      <c r="L789" t="inlineStr">
        <is>
          <t>25/03/2026</t>
        </is>
      </c>
      <c r="M789" s="30" t="inlineStr">
        <is>
          <t>MANISH KATARIA, VICE CONSUL</t>
        </is>
      </c>
      <c r="N789" s="30" t="n"/>
    </row>
    <row r="790">
      <c r="A790" s="4">
        <f>Sheet1!A790 &amp; "/" &amp; "2025"</f>
        <v/>
      </c>
      <c r="B790" s="5">
        <f>Sheet1!E790</f>
        <v/>
      </c>
      <c r="C790" s="6">
        <f>UPPER(Sheet1!B790)</f>
        <v/>
      </c>
      <c r="D790" s="7">
        <f>IF(Sheet1!F790="F","FEMALE","MALE")</f>
        <v/>
      </c>
      <c r="E790" s="6">
        <f>UPPER(Sheet1!G790)</f>
        <v/>
      </c>
      <c r="F790" s="6">
        <f>UPPER(Sheet1!H790)</f>
        <v/>
      </c>
      <c r="G790" s="5">
        <f>TEXT(Sheet1!C790,"dd/mm/yyyy") &amp; "," &amp; Sheet1!D790</f>
        <v/>
      </c>
      <c r="H790" s="38">
        <f>UPPER(Sheet1!J790 &amp; "," &amp; Sheet1!K790 &amp; "," &amp; Sheet1!L790)</f>
        <v/>
      </c>
      <c r="I790" s="45">
        <f>Sheet1!I790</f>
        <v/>
      </c>
      <c r="J790" s="5">
        <f>Sheet1!M790 &amp; "," &amp; TEXT(Sheet1!N790,"dd/mm/yy")</f>
        <v/>
      </c>
      <c r="K790" s="5" t="inlineStr">
        <is>
          <t>PRINTED</t>
        </is>
      </c>
      <c r="L790" t="inlineStr">
        <is>
          <t>25/03/2026</t>
        </is>
      </c>
      <c r="M790" s="30" t="inlineStr">
        <is>
          <t>MANISH KATARIA, VICE CONSUL</t>
        </is>
      </c>
      <c r="N790" s="30" t="n"/>
    </row>
    <row r="791">
      <c r="A791" s="4">
        <f>Sheet1!A791 &amp; "/" &amp; "2025"</f>
        <v/>
      </c>
      <c r="B791" s="5">
        <f>Sheet1!E791</f>
        <v/>
      </c>
      <c r="C791" s="6">
        <f>UPPER(Sheet1!B791)</f>
        <v/>
      </c>
      <c r="D791" s="7">
        <f>IF(Sheet1!F791="F","FEMALE","MALE")</f>
        <v/>
      </c>
      <c r="E791" s="6">
        <f>UPPER(Sheet1!G791)</f>
        <v/>
      </c>
      <c r="F791" s="6">
        <f>UPPER(Sheet1!H791)</f>
        <v/>
      </c>
      <c r="G791" s="5">
        <f>TEXT(Sheet1!C791,"dd/mm/yyyy") &amp; "," &amp; Sheet1!D791</f>
        <v/>
      </c>
      <c r="H791" s="38">
        <f>UPPER(Sheet1!J791 &amp; "," &amp; Sheet1!K791 &amp; "," &amp; Sheet1!L791)</f>
        <v/>
      </c>
      <c r="I791" s="45">
        <f>Sheet1!I791</f>
        <v/>
      </c>
      <c r="J791" s="5">
        <f>Sheet1!M791 &amp; "," &amp; TEXT(Sheet1!N791,"dd/mm/yy")</f>
        <v/>
      </c>
      <c r="K791" s="5" t="inlineStr">
        <is>
          <t>PRINTED</t>
        </is>
      </c>
      <c r="L791" t="inlineStr">
        <is>
          <t>25/03/2026</t>
        </is>
      </c>
      <c r="M791" s="30" t="inlineStr">
        <is>
          <t>MANISH KATARIA, VICE CONSUL</t>
        </is>
      </c>
      <c r="N791" s="30" t="n"/>
    </row>
    <row r="792">
      <c r="A792" s="4">
        <f>Sheet1!A792 &amp; "/" &amp; "2025"</f>
        <v/>
      </c>
      <c r="B792" s="5">
        <f>Sheet1!E792</f>
        <v/>
      </c>
      <c r="C792" s="6">
        <f>UPPER(Sheet1!B792)</f>
        <v/>
      </c>
      <c r="D792" s="7">
        <f>IF(Sheet1!F792="F","FEMALE","MALE")</f>
        <v/>
      </c>
      <c r="E792" s="6">
        <f>UPPER(Sheet1!G792)</f>
        <v/>
      </c>
      <c r="F792" s="6">
        <f>UPPER(Sheet1!H792)</f>
        <v/>
      </c>
      <c r="G792" s="5">
        <f>TEXT(Sheet1!C792,"dd/mm/yyyy") &amp; "," &amp; Sheet1!D792</f>
        <v/>
      </c>
      <c r="H792" s="38">
        <f>UPPER(Sheet1!J792 &amp; "," &amp; Sheet1!K792 &amp; "," &amp; Sheet1!L792)</f>
        <v/>
      </c>
      <c r="I792" s="45">
        <f>Sheet1!I792</f>
        <v/>
      </c>
      <c r="J792" s="5">
        <f>Sheet1!M792 &amp; "," &amp; TEXT(Sheet1!N792,"dd/mm/yy")</f>
        <v/>
      </c>
      <c r="K792" s="5" t="inlineStr">
        <is>
          <t>PRINTED</t>
        </is>
      </c>
      <c r="L792" t="inlineStr">
        <is>
          <t>25/03/2026</t>
        </is>
      </c>
      <c r="M792" s="30" t="inlineStr">
        <is>
          <t>MANISH KATARIA, VICE CONSUL</t>
        </is>
      </c>
      <c r="N792" s="30" t="n"/>
    </row>
    <row r="793">
      <c r="A793" s="4">
        <f>Sheet1!A793 &amp; "/" &amp; "2025"</f>
        <v/>
      </c>
      <c r="B793" s="5">
        <f>Sheet1!E793</f>
        <v/>
      </c>
      <c r="C793" s="6">
        <f>UPPER(Sheet1!B793)</f>
        <v/>
      </c>
      <c r="D793" s="7">
        <f>IF(Sheet1!F793="F","FEMALE","MALE")</f>
        <v/>
      </c>
      <c r="E793" s="6">
        <f>UPPER(Sheet1!G793)</f>
        <v/>
      </c>
      <c r="F793" s="6">
        <f>UPPER(Sheet1!H793)</f>
        <v/>
      </c>
      <c r="G793" s="5">
        <f>TEXT(Sheet1!C793,"dd/mm/yyyy") &amp; "," &amp; Sheet1!D793</f>
        <v/>
      </c>
      <c r="H793" s="38">
        <f>UPPER(Sheet1!J793 &amp; "," &amp; Sheet1!K793 &amp; "," &amp; Sheet1!L793)</f>
        <v/>
      </c>
      <c r="I793" s="45">
        <f>Sheet1!I793</f>
        <v/>
      </c>
      <c r="J793" s="5">
        <f>Sheet1!M793 &amp; "," &amp; TEXT(Sheet1!N793,"dd/mm/yy")</f>
        <v/>
      </c>
      <c r="K793" s="5" t="inlineStr">
        <is>
          <t>PRINTED</t>
        </is>
      </c>
      <c r="L793" t="inlineStr">
        <is>
          <t>25/03/2026</t>
        </is>
      </c>
      <c r="M793" s="30" t="inlineStr">
        <is>
          <t>MANISH KATARIA, VICE CONSUL</t>
        </is>
      </c>
      <c r="N793" s="30" t="n"/>
    </row>
    <row r="794">
      <c r="A794" s="4">
        <f>Sheet1!A794 &amp; "/" &amp; "2025"</f>
        <v/>
      </c>
      <c r="B794" s="5">
        <f>Sheet1!E794</f>
        <v/>
      </c>
      <c r="C794" s="6">
        <f>UPPER(Sheet1!B794)</f>
        <v/>
      </c>
      <c r="D794" s="7">
        <f>IF(Sheet1!F794="F","FEMALE","MALE")</f>
        <v/>
      </c>
      <c r="E794" s="6">
        <f>UPPER(Sheet1!G794)</f>
        <v/>
      </c>
      <c r="F794" s="6">
        <f>UPPER(Sheet1!H794)</f>
        <v/>
      </c>
      <c r="G794" s="5">
        <f>TEXT(Sheet1!C794,"dd/mm/yyyy") &amp; "," &amp; Sheet1!D794</f>
        <v/>
      </c>
      <c r="H794" s="38">
        <f>UPPER(Sheet1!J794 &amp; "," &amp; Sheet1!K794 &amp; "," &amp; Sheet1!L794)</f>
        <v/>
      </c>
      <c r="I794" s="45">
        <f>Sheet1!I794</f>
        <v/>
      </c>
      <c r="J794" s="5">
        <f>Sheet1!M794 &amp; "," &amp; TEXT(Sheet1!N794,"dd/mm/yy")</f>
        <v/>
      </c>
      <c r="K794" s="5" t="inlineStr">
        <is>
          <t>PRINTED</t>
        </is>
      </c>
      <c r="L794" t="inlineStr">
        <is>
          <t>25/03/2026</t>
        </is>
      </c>
      <c r="M794" s="30" t="inlineStr">
        <is>
          <t>MANISH KATARIA, VICE CONSUL</t>
        </is>
      </c>
      <c r="N794" s="30" t="n"/>
    </row>
    <row r="795">
      <c r="A795" s="4">
        <f>Sheet1!A795 &amp; "/" &amp; "2025"</f>
        <v/>
      </c>
      <c r="B795" s="5">
        <f>Sheet1!E795</f>
        <v/>
      </c>
      <c r="C795" s="6">
        <f>UPPER(Sheet1!B795)</f>
        <v/>
      </c>
      <c r="D795" s="7">
        <f>IF(Sheet1!F795="F","FEMALE","MALE")</f>
        <v/>
      </c>
      <c r="E795" s="6">
        <f>UPPER(Sheet1!G795)</f>
        <v/>
      </c>
      <c r="F795" s="6">
        <f>UPPER(Sheet1!H795)</f>
        <v/>
      </c>
      <c r="G795" s="5">
        <f>TEXT(Sheet1!C795,"dd/mm/yyyy") &amp; "," &amp; Sheet1!D795</f>
        <v/>
      </c>
      <c r="H795" s="38">
        <f>UPPER(Sheet1!J795 &amp; "," &amp; Sheet1!K795 &amp; "," &amp; Sheet1!L795)</f>
        <v/>
      </c>
      <c r="I795" s="45">
        <f>Sheet1!I795</f>
        <v/>
      </c>
      <c r="J795" s="5">
        <f>Sheet1!M795 &amp; "," &amp; TEXT(Sheet1!N795,"dd/mm/yy")</f>
        <v/>
      </c>
      <c r="K795" s="5" t="inlineStr">
        <is>
          <t>PRINTED</t>
        </is>
      </c>
      <c r="L795" t="inlineStr">
        <is>
          <t>25/03/2026</t>
        </is>
      </c>
      <c r="M795" s="30" t="inlineStr">
        <is>
          <t>MANISH KATARIA, VICE CONSUL</t>
        </is>
      </c>
      <c r="N795" s="30" t="n"/>
    </row>
    <row r="796">
      <c r="A796" s="4">
        <f>Sheet1!A796 &amp; "/" &amp; "2025"</f>
        <v/>
      </c>
      <c r="B796" s="5">
        <f>Sheet1!E796</f>
        <v/>
      </c>
      <c r="C796" s="6">
        <f>UPPER(Sheet1!B796)</f>
        <v/>
      </c>
      <c r="D796" s="7">
        <f>IF(Sheet1!F796="F","FEMALE","MALE")</f>
        <v/>
      </c>
      <c r="E796" s="6">
        <f>UPPER(Sheet1!G796)</f>
        <v/>
      </c>
      <c r="F796" s="6">
        <f>UPPER(Sheet1!H796)</f>
        <v/>
      </c>
      <c r="G796" s="5">
        <f>TEXT(Sheet1!C796,"dd/mm/yyyy") &amp; "," &amp; Sheet1!D796</f>
        <v/>
      </c>
      <c r="H796" s="38">
        <f>UPPER(Sheet1!J796 &amp; "," &amp; Sheet1!K796 &amp; "," &amp; Sheet1!L796)</f>
        <v/>
      </c>
      <c r="I796" s="45">
        <f>Sheet1!I796</f>
        <v/>
      </c>
      <c r="J796" s="5">
        <f>Sheet1!M796 &amp; "," &amp; TEXT(Sheet1!N796,"dd/mm/yy")</f>
        <v/>
      </c>
      <c r="K796" s="5" t="inlineStr">
        <is>
          <t>PRINTED</t>
        </is>
      </c>
      <c r="L796" t="inlineStr">
        <is>
          <t>25/03/2026</t>
        </is>
      </c>
      <c r="M796" s="30" t="inlineStr">
        <is>
          <t>MANISH KATARIA, VICE CONSUL</t>
        </is>
      </c>
      <c r="N796" s="30" t="n"/>
    </row>
    <row r="797">
      <c r="A797" s="4">
        <f>Sheet1!A797 &amp; "/" &amp; "2025"</f>
        <v/>
      </c>
      <c r="B797" s="5">
        <f>Sheet1!E797</f>
        <v/>
      </c>
      <c r="C797" s="6">
        <f>UPPER(Sheet1!B797)</f>
        <v/>
      </c>
      <c r="D797" s="7">
        <f>IF(Sheet1!F797="F","FEMALE","MALE")</f>
        <v/>
      </c>
      <c r="E797" s="6">
        <f>UPPER(Sheet1!G797)</f>
        <v/>
      </c>
      <c r="F797" s="6">
        <f>UPPER(Sheet1!H797)</f>
        <v/>
      </c>
      <c r="G797" s="5">
        <f>TEXT(Sheet1!C797,"dd/mm/yyyy") &amp; "," &amp; Sheet1!D797</f>
        <v/>
      </c>
      <c r="H797" s="38">
        <f>UPPER(Sheet1!J797 &amp; "," &amp; Sheet1!K797 &amp; "," &amp; Sheet1!L797)</f>
        <v/>
      </c>
      <c r="I797" s="45">
        <f>Sheet1!I797</f>
        <v/>
      </c>
      <c r="J797" s="5">
        <f>Sheet1!M797 &amp; "," &amp; TEXT(Sheet1!N797,"dd/mm/yy")</f>
        <v/>
      </c>
      <c r="K797" s="5" t="inlineStr">
        <is>
          <t>PRINTED</t>
        </is>
      </c>
      <c r="L797" t="inlineStr">
        <is>
          <t>25/03/2026</t>
        </is>
      </c>
      <c r="M797" s="30" t="inlineStr">
        <is>
          <t>MANISH KATARIA, VICE CONSUL</t>
        </is>
      </c>
      <c r="N797" s="30" t="n"/>
    </row>
    <row r="798">
      <c r="A798" s="4">
        <f>Sheet1!A798 &amp; "/" &amp; "2025"</f>
        <v/>
      </c>
      <c r="B798" s="5">
        <f>Sheet1!E798</f>
        <v/>
      </c>
      <c r="C798" s="6">
        <f>UPPER(Sheet1!B798)</f>
        <v/>
      </c>
      <c r="D798" s="7">
        <f>IF(Sheet1!F798="F","FEMALE","MALE")</f>
        <v/>
      </c>
      <c r="E798" s="6">
        <f>UPPER(Sheet1!G798)</f>
        <v/>
      </c>
      <c r="F798" s="6">
        <f>UPPER(Sheet1!H798)</f>
        <v/>
      </c>
      <c r="G798" s="5">
        <f>TEXT(Sheet1!C798,"dd/mm/yyyy") &amp; "," &amp; Sheet1!D798</f>
        <v/>
      </c>
      <c r="H798" s="38">
        <f>UPPER(Sheet1!J798 &amp; "," &amp; Sheet1!K798 &amp; "," &amp; Sheet1!L798)</f>
        <v/>
      </c>
      <c r="I798" s="45">
        <f>Sheet1!I798</f>
        <v/>
      </c>
      <c r="J798" s="5">
        <f>Sheet1!M798 &amp; "," &amp; TEXT(Sheet1!N798,"dd/mm/yy")</f>
        <v/>
      </c>
      <c r="K798" s="5" t="inlineStr">
        <is>
          <t>PRINTED</t>
        </is>
      </c>
      <c r="L798" t="inlineStr">
        <is>
          <t>25/03/2026</t>
        </is>
      </c>
      <c r="M798" s="30" t="inlineStr">
        <is>
          <t>MANISH KATARIA, VICE CONSUL</t>
        </is>
      </c>
      <c r="N798" s="30" t="n"/>
    </row>
    <row r="799">
      <c r="A799" s="4">
        <f>Sheet1!A799 &amp; "/" &amp; "2025"</f>
        <v/>
      </c>
      <c r="B799" s="5">
        <f>Sheet1!E799</f>
        <v/>
      </c>
      <c r="C799" s="6">
        <f>UPPER(Sheet1!B799)</f>
        <v/>
      </c>
      <c r="D799" s="7">
        <f>IF(Sheet1!F799="F","FEMALE","MALE")</f>
        <v/>
      </c>
      <c r="E799" s="6">
        <f>UPPER(Sheet1!G799)</f>
        <v/>
      </c>
      <c r="F799" s="6">
        <f>UPPER(Sheet1!H799)</f>
        <v/>
      </c>
      <c r="G799" s="5">
        <f>TEXT(Sheet1!C799,"dd/mm/yyyy") &amp; "," &amp; Sheet1!D799</f>
        <v/>
      </c>
      <c r="H799" s="38">
        <f>UPPER(Sheet1!J799 &amp; "," &amp; Sheet1!K799 &amp; "," &amp; Sheet1!L799)</f>
        <v/>
      </c>
      <c r="I799" s="45">
        <f>Sheet1!I799</f>
        <v/>
      </c>
      <c r="J799" s="5">
        <f>Sheet1!M799 &amp; "," &amp; TEXT(Sheet1!N799,"dd/mm/yy")</f>
        <v/>
      </c>
      <c r="K799" s="5" t="inlineStr">
        <is>
          <t>PRINTED</t>
        </is>
      </c>
      <c r="L799" t="inlineStr">
        <is>
          <t>25/03/2026</t>
        </is>
      </c>
      <c r="M799" s="30" t="inlineStr">
        <is>
          <t>MANISH KATARIA, VICE CONSUL</t>
        </is>
      </c>
      <c r="N799" s="30" t="n"/>
    </row>
    <row r="800">
      <c r="A800" s="4">
        <f>Sheet1!A800 &amp; "/" &amp; "2025"</f>
        <v/>
      </c>
      <c r="B800" s="5">
        <f>Sheet1!E800</f>
        <v/>
      </c>
      <c r="C800" s="6">
        <f>UPPER(Sheet1!B800)</f>
        <v/>
      </c>
      <c r="D800" s="7">
        <f>IF(Sheet1!F800="F","FEMALE","MALE")</f>
        <v/>
      </c>
      <c r="E800" s="6">
        <f>UPPER(Sheet1!G800)</f>
        <v/>
      </c>
      <c r="F800" s="6">
        <f>UPPER(Sheet1!H800)</f>
        <v/>
      </c>
      <c r="G800" s="5">
        <f>TEXT(Sheet1!C800,"dd/mm/yyyy") &amp; "," &amp; Sheet1!D800</f>
        <v/>
      </c>
      <c r="H800" s="38">
        <f>UPPER(Sheet1!J800 &amp; "," &amp; Sheet1!K800 &amp; "," &amp; Sheet1!L800)</f>
        <v/>
      </c>
      <c r="I800" s="45">
        <f>Sheet1!I800</f>
        <v/>
      </c>
      <c r="J800" s="5">
        <f>Sheet1!M800 &amp; "," &amp; TEXT(Sheet1!N800,"dd/mm/yy")</f>
        <v/>
      </c>
      <c r="K800" s="5" t="inlineStr">
        <is>
          <t>PRINTED</t>
        </is>
      </c>
      <c r="L800" t="inlineStr">
        <is>
          <t>25/03/2026</t>
        </is>
      </c>
      <c r="M800" s="30" t="inlineStr">
        <is>
          <t>MANISH KATARIA, VICE CONSUL</t>
        </is>
      </c>
      <c r="N800" s="30" t="n"/>
    </row>
    <row r="801">
      <c r="A801" s="4">
        <f>Sheet1!A801 &amp; "/" &amp; "2025"</f>
        <v/>
      </c>
      <c r="B801" s="5">
        <f>Sheet1!E801</f>
        <v/>
      </c>
      <c r="C801" s="6">
        <f>UPPER(Sheet1!B801)</f>
        <v/>
      </c>
      <c r="D801" s="7">
        <f>IF(Sheet1!F801="F","FEMALE","MALE")</f>
        <v/>
      </c>
      <c r="E801" s="6">
        <f>UPPER(Sheet1!G801)</f>
        <v/>
      </c>
      <c r="F801" s="6">
        <f>UPPER(Sheet1!H801)</f>
        <v/>
      </c>
      <c r="G801" s="5">
        <f>TEXT(Sheet1!C801,"dd/mm/yyyy") &amp; "," &amp; Sheet1!D801</f>
        <v/>
      </c>
      <c r="H801" s="38">
        <f>UPPER(Sheet1!J801 &amp; "," &amp; Sheet1!K801 &amp; "," &amp; Sheet1!L801)</f>
        <v/>
      </c>
      <c r="I801" s="45">
        <f>Sheet1!I801</f>
        <v/>
      </c>
      <c r="J801" s="5">
        <f>Sheet1!M801 &amp; "," &amp; TEXT(Sheet1!N801,"dd/mm/yy")</f>
        <v/>
      </c>
      <c r="K801" s="5" t="inlineStr">
        <is>
          <t>PRINTED</t>
        </is>
      </c>
      <c r="L801" t="inlineStr">
        <is>
          <t>25/03/2026</t>
        </is>
      </c>
      <c r="M801" s="30" t="inlineStr">
        <is>
          <t>MANISH KATARIA, VICE CONSUL</t>
        </is>
      </c>
      <c r="N801" s="30" t="n"/>
    </row>
    <row r="802">
      <c r="A802" s="4">
        <f>Sheet1!A802 &amp; "/" &amp; "2025"</f>
        <v/>
      </c>
      <c r="B802" s="5">
        <f>Sheet1!E802</f>
        <v/>
      </c>
      <c r="C802" s="6">
        <f>UPPER(Sheet1!B802)</f>
        <v/>
      </c>
      <c r="D802" s="7">
        <f>IF(Sheet1!F802="F","FEMALE","MALE")</f>
        <v/>
      </c>
      <c r="E802" s="6">
        <f>UPPER(Sheet1!G802)</f>
        <v/>
      </c>
      <c r="F802" s="6">
        <f>UPPER(Sheet1!H802)</f>
        <v/>
      </c>
      <c r="G802" s="5">
        <f>TEXT(Sheet1!C802,"dd/mm/yyyy") &amp; "," &amp; Sheet1!D802</f>
        <v/>
      </c>
      <c r="H802" s="38">
        <f>UPPER(Sheet1!J802 &amp; "," &amp; Sheet1!K802 &amp; "," &amp; Sheet1!L802)</f>
        <v/>
      </c>
      <c r="I802" s="45">
        <f>Sheet1!I802</f>
        <v/>
      </c>
      <c r="J802" s="5">
        <f>Sheet1!M802 &amp; "," &amp; TEXT(Sheet1!N802,"dd/mm/yy")</f>
        <v/>
      </c>
      <c r="K802" s="5" t="inlineStr">
        <is>
          <t>PRINTED</t>
        </is>
      </c>
      <c r="L802" t="inlineStr">
        <is>
          <t>25/03/2026</t>
        </is>
      </c>
      <c r="M802" s="30" t="inlineStr">
        <is>
          <t>MANISH KATARIA, VICE CONSUL</t>
        </is>
      </c>
      <c r="N802" s="30" t="n"/>
    </row>
    <row r="803">
      <c r="A803" s="4">
        <f>Sheet1!A803 &amp; "/" &amp; "2025"</f>
        <v/>
      </c>
      <c r="B803" s="5">
        <f>Sheet1!E803</f>
        <v/>
      </c>
      <c r="C803" s="6">
        <f>UPPER(Sheet1!B803)</f>
        <v/>
      </c>
      <c r="D803" s="7">
        <f>IF(Sheet1!F803="F","FEMALE","MALE")</f>
        <v/>
      </c>
      <c r="E803" s="6">
        <f>UPPER(Sheet1!G803)</f>
        <v/>
      </c>
      <c r="F803" s="6">
        <f>UPPER(Sheet1!H803)</f>
        <v/>
      </c>
      <c r="G803" s="5">
        <f>TEXT(Sheet1!C803,"dd/mm/yyyy") &amp; "," &amp; Sheet1!D803</f>
        <v/>
      </c>
      <c r="H803" s="38">
        <f>UPPER(Sheet1!J803 &amp; "," &amp; Sheet1!K803 &amp; "," &amp; Sheet1!L803)</f>
        <v/>
      </c>
      <c r="I803" s="45">
        <f>Sheet1!I803</f>
        <v/>
      </c>
      <c r="J803" s="5">
        <f>Sheet1!M803 &amp; "," &amp; TEXT(Sheet1!N803,"dd/mm/yy")</f>
        <v/>
      </c>
      <c r="K803" s="5" t="inlineStr">
        <is>
          <t>PRINTED</t>
        </is>
      </c>
      <c r="L803" t="inlineStr">
        <is>
          <t>25/03/2026</t>
        </is>
      </c>
      <c r="M803" s="30" t="inlineStr">
        <is>
          <t>MANISH KATARIA, VICE CONSUL</t>
        </is>
      </c>
      <c r="N803" s="30" t="n"/>
    </row>
    <row r="804">
      <c r="A804" s="4">
        <f>Sheet1!A804 &amp; "/" &amp; "2025"</f>
        <v/>
      </c>
      <c r="B804" s="5">
        <f>Sheet1!E804</f>
        <v/>
      </c>
      <c r="C804" s="6">
        <f>UPPER(Sheet1!B804)</f>
        <v/>
      </c>
      <c r="D804" s="7">
        <f>IF(Sheet1!F804="F","FEMALE","MALE")</f>
        <v/>
      </c>
      <c r="E804" s="6">
        <f>UPPER(Sheet1!G804)</f>
        <v/>
      </c>
      <c r="F804" s="6">
        <f>UPPER(Sheet1!H804)</f>
        <v/>
      </c>
      <c r="G804" s="5">
        <f>TEXT(Sheet1!C804,"dd/mm/yyyy") &amp; "," &amp; Sheet1!D804</f>
        <v/>
      </c>
      <c r="H804" s="38">
        <f>UPPER(Sheet1!J804 &amp; "," &amp; Sheet1!K804 &amp; "," &amp; Sheet1!L804)</f>
        <v/>
      </c>
      <c r="I804" s="45">
        <f>Sheet1!I804</f>
        <v/>
      </c>
      <c r="J804" s="5">
        <f>Sheet1!M804 &amp; "," &amp; TEXT(Sheet1!N804,"dd/mm/yy")</f>
        <v/>
      </c>
      <c r="K804" s="5" t="inlineStr">
        <is>
          <t>PRINTED</t>
        </is>
      </c>
      <c r="L804" t="inlineStr">
        <is>
          <t>25/03/2026</t>
        </is>
      </c>
      <c r="M804" s="30" t="inlineStr">
        <is>
          <t>MANISH KATARIA, VICE CONSUL</t>
        </is>
      </c>
      <c r="N804" s="30" t="n"/>
    </row>
    <row r="805">
      <c r="A805" s="4">
        <f>Sheet1!A805 &amp; "/" &amp; "2025"</f>
        <v/>
      </c>
      <c r="B805" s="5">
        <f>Sheet1!E805</f>
        <v/>
      </c>
      <c r="C805" s="6">
        <f>UPPER(Sheet1!B805)</f>
        <v/>
      </c>
      <c r="D805" s="7">
        <f>IF(Sheet1!F805="F","FEMALE","MALE")</f>
        <v/>
      </c>
      <c r="E805" s="6">
        <f>UPPER(Sheet1!G805)</f>
        <v/>
      </c>
      <c r="F805" s="6">
        <f>UPPER(Sheet1!H805)</f>
        <v/>
      </c>
      <c r="G805" s="5">
        <f>TEXT(Sheet1!C805,"dd/mm/yyyy") &amp; "," &amp; Sheet1!D805</f>
        <v/>
      </c>
      <c r="H805" s="38">
        <f>UPPER(Sheet1!J805 &amp; "," &amp; Sheet1!K805 &amp; "," &amp; Sheet1!L805)</f>
        <v/>
      </c>
      <c r="I805" s="45">
        <f>Sheet1!I805</f>
        <v/>
      </c>
      <c r="J805" s="5">
        <f>Sheet1!M805 &amp; "," &amp; TEXT(Sheet1!N805,"dd/mm/yy")</f>
        <v/>
      </c>
      <c r="K805" s="5" t="inlineStr">
        <is>
          <t>PRINTED</t>
        </is>
      </c>
      <c r="L805" t="inlineStr">
        <is>
          <t>25/03/2026</t>
        </is>
      </c>
      <c r="M805" s="30" t="inlineStr">
        <is>
          <t>MANISH KATARIA, VICE CONSUL</t>
        </is>
      </c>
      <c r="N805" s="30" t="n"/>
    </row>
    <row r="806">
      <c r="A806" s="4">
        <f>Sheet1!A806 &amp; "/" &amp; "2025"</f>
        <v/>
      </c>
      <c r="B806" s="5">
        <f>Sheet1!E806</f>
        <v/>
      </c>
      <c r="C806" s="6">
        <f>UPPER(Sheet1!B806)</f>
        <v/>
      </c>
      <c r="D806" s="7">
        <f>IF(Sheet1!F806="F","FEMALE","MALE")</f>
        <v/>
      </c>
      <c r="E806" s="6">
        <f>UPPER(Sheet1!G806)</f>
        <v/>
      </c>
      <c r="F806" s="6">
        <f>UPPER(Sheet1!H806)</f>
        <v/>
      </c>
      <c r="G806" s="5">
        <f>TEXT(Sheet1!C806,"dd/mm/yyyy") &amp; "," &amp; Sheet1!D806</f>
        <v/>
      </c>
      <c r="H806" s="38">
        <f>UPPER(Sheet1!J806 &amp; "," &amp; Sheet1!K806 &amp; "," &amp; Sheet1!L806)</f>
        <v/>
      </c>
      <c r="I806" s="45">
        <f>Sheet1!I806</f>
        <v/>
      </c>
      <c r="J806" s="5">
        <f>Sheet1!M806 &amp; "," &amp; TEXT(Sheet1!N806,"dd/mm/yy")</f>
        <v/>
      </c>
      <c r="K806" s="5" t="inlineStr">
        <is>
          <t>PRINTED</t>
        </is>
      </c>
      <c r="L806" t="inlineStr">
        <is>
          <t>25/03/2026</t>
        </is>
      </c>
      <c r="M806" s="30" t="inlineStr">
        <is>
          <t>MANISH KATARIA, VICE CONSUL</t>
        </is>
      </c>
      <c r="N806" s="30" t="n"/>
    </row>
    <row r="807">
      <c r="A807" s="4">
        <f>Sheet1!A807 &amp; "/" &amp; "2025"</f>
        <v/>
      </c>
      <c r="B807" s="5">
        <f>Sheet1!E807</f>
        <v/>
      </c>
      <c r="C807" s="6">
        <f>UPPER(Sheet1!B807)</f>
        <v/>
      </c>
      <c r="D807" s="7">
        <f>IF(Sheet1!F807="F","FEMALE","MALE")</f>
        <v/>
      </c>
      <c r="E807" s="6">
        <f>UPPER(Sheet1!G807)</f>
        <v/>
      </c>
      <c r="F807" s="6">
        <f>UPPER(Sheet1!H807)</f>
        <v/>
      </c>
      <c r="G807" s="5">
        <f>TEXT(Sheet1!C807,"dd/mm/yyyy") &amp; "," &amp; Sheet1!D807</f>
        <v/>
      </c>
      <c r="H807" s="38">
        <f>UPPER(Sheet1!J807 &amp; "," &amp; Sheet1!K807 &amp; "," &amp; Sheet1!L807)</f>
        <v/>
      </c>
      <c r="I807" s="45">
        <f>Sheet1!I807</f>
        <v/>
      </c>
      <c r="J807" s="5">
        <f>Sheet1!M807 &amp; "," &amp; TEXT(Sheet1!N807,"dd/mm/yy")</f>
        <v/>
      </c>
      <c r="K807" s="5" t="inlineStr">
        <is>
          <t>PRINTED</t>
        </is>
      </c>
      <c r="L807" t="inlineStr">
        <is>
          <t>25/03/2026</t>
        </is>
      </c>
      <c r="M807" s="30" t="inlineStr">
        <is>
          <t>MANISH KATARIA, VICE CONSUL</t>
        </is>
      </c>
      <c r="N807" s="30" t="n"/>
    </row>
    <row r="808">
      <c r="A808" s="4">
        <f>Sheet1!A808 &amp; "/" &amp; "2025"</f>
        <v/>
      </c>
      <c r="B808" s="5">
        <f>Sheet1!E808</f>
        <v/>
      </c>
      <c r="C808" s="6">
        <f>UPPER(Sheet1!B808)</f>
        <v/>
      </c>
      <c r="D808" s="7">
        <f>IF(Sheet1!F808="F","FEMALE","MALE")</f>
        <v/>
      </c>
      <c r="E808" s="6">
        <f>UPPER(Sheet1!G808)</f>
        <v/>
      </c>
      <c r="F808" s="6">
        <f>UPPER(Sheet1!H808)</f>
        <v/>
      </c>
      <c r="G808" s="5">
        <f>TEXT(Sheet1!C808,"dd/mm/yyyy") &amp; "," &amp; Sheet1!D808</f>
        <v/>
      </c>
      <c r="H808" s="38">
        <f>UPPER(Sheet1!J808 &amp; "," &amp; Sheet1!K808 &amp; "," &amp; Sheet1!L808)</f>
        <v/>
      </c>
      <c r="I808" s="45">
        <f>Sheet1!I808</f>
        <v/>
      </c>
      <c r="J808" s="5">
        <f>Sheet1!M808 &amp; "," &amp; TEXT(Sheet1!N808,"dd/mm/yy")</f>
        <v/>
      </c>
      <c r="K808" s="5" t="inlineStr">
        <is>
          <t>PRINTED</t>
        </is>
      </c>
      <c r="L808" t="inlineStr">
        <is>
          <t>25/03/2026</t>
        </is>
      </c>
      <c r="M808" s="30" t="inlineStr">
        <is>
          <t>MANISH KATARIA, VICE CONSUL</t>
        </is>
      </c>
      <c r="N808" s="30" t="n"/>
    </row>
    <row r="809">
      <c r="A809" s="4">
        <f>Sheet1!A809 &amp; "/" &amp; "2025"</f>
        <v/>
      </c>
      <c r="B809" s="5">
        <f>Sheet1!E809</f>
        <v/>
      </c>
      <c r="C809" s="6">
        <f>UPPER(Sheet1!B809)</f>
        <v/>
      </c>
      <c r="D809" s="7">
        <f>IF(Sheet1!F809="F","FEMALE","MALE")</f>
        <v/>
      </c>
      <c r="E809" s="6">
        <f>UPPER(Sheet1!G809)</f>
        <v/>
      </c>
      <c r="F809" s="6">
        <f>UPPER(Sheet1!H809)</f>
        <v/>
      </c>
      <c r="G809" s="5">
        <f>TEXT(Sheet1!C809,"dd/mm/yyyy") &amp; "," &amp; Sheet1!D809</f>
        <v/>
      </c>
      <c r="H809" s="38">
        <f>UPPER(Sheet1!J809 &amp; "," &amp; Sheet1!K809 &amp; "," &amp; Sheet1!L809)</f>
        <v/>
      </c>
      <c r="I809" s="45">
        <f>Sheet1!I809</f>
        <v/>
      </c>
      <c r="J809" s="5">
        <f>Sheet1!M809 &amp; "," &amp; TEXT(Sheet1!N809,"dd/mm/yy")</f>
        <v/>
      </c>
      <c r="K809" s="5" t="inlineStr">
        <is>
          <t>PRINTED</t>
        </is>
      </c>
      <c r="L809" t="inlineStr">
        <is>
          <t>25/03/2026</t>
        </is>
      </c>
      <c r="M809" s="30" t="inlineStr">
        <is>
          <t>MANISH KATARIA, VICE CONSUL</t>
        </is>
      </c>
      <c r="N809" s="30" t="n"/>
    </row>
    <row r="810">
      <c r="A810" s="4">
        <f>Sheet1!A810 &amp; "/" &amp; "2025"</f>
        <v/>
      </c>
      <c r="B810" s="5">
        <f>Sheet1!E810</f>
        <v/>
      </c>
      <c r="C810" s="6">
        <f>UPPER(Sheet1!B810)</f>
        <v/>
      </c>
      <c r="D810" s="7">
        <f>IF(Sheet1!F810="F","FEMALE","MALE")</f>
        <v/>
      </c>
      <c r="E810" s="6">
        <f>UPPER(Sheet1!G810)</f>
        <v/>
      </c>
      <c r="F810" s="6">
        <f>UPPER(Sheet1!H810)</f>
        <v/>
      </c>
      <c r="G810" s="5">
        <f>TEXT(Sheet1!C810,"dd/mm/yyyy") &amp; "," &amp; Sheet1!D810</f>
        <v/>
      </c>
      <c r="H810" s="38">
        <f>UPPER(Sheet1!J810 &amp; "," &amp; Sheet1!K810 &amp; "," &amp; Sheet1!L810)</f>
        <v/>
      </c>
      <c r="I810" s="45">
        <f>Sheet1!I810</f>
        <v/>
      </c>
      <c r="J810" s="5">
        <f>Sheet1!M810 &amp; "," &amp; TEXT(Sheet1!N810,"dd/mm/yy")</f>
        <v/>
      </c>
      <c r="K810" s="5" t="inlineStr">
        <is>
          <t>PRINTED</t>
        </is>
      </c>
      <c r="L810" t="inlineStr">
        <is>
          <t>25/03/2026</t>
        </is>
      </c>
      <c r="M810" s="30" t="inlineStr">
        <is>
          <t>MANISH KATARIA, VICE CONSUL</t>
        </is>
      </c>
      <c r="N810" s="30" t="n"/>
    </row>
    <row r="811">
      <c r="A811" s="4">
        <f>Sheet1!A811 &amp; "/" &amp; "2025"</f>
        <v/>
      </c>
      <c r="B811" s="5">
        <f>Sheet1!E811</f>
        <v/>
      </c>
      <c r="C811" s="6">
        <f>UPPER(Sheet1!B811)</f>
        <v/>
      </c>
      <c r="D811" s="7">
        <f>IF(Sheet1!F811="F","FEMALE","MALE")</f>
        <v/>
      </c>
      <c r="E811" s="6">
        <f>UPPER(Sheet1!G811)</f>
        <v/>
      </c>
      <c r="F811" s="6">
        <f>UPPER(Sheet1!H811)</f>
        <v/>
      </c>
      <c r="G811" s="5">
        <f>TEXT(Sheet1!C811,"dd/mm/yyyy") &amp; "," &amp; Sheet1!D811</f>
        <v/>
      </c>
      <c r="H811" s="38">
        <f>UPPER(Sheet1!J811 &amp; "," &amp; Sheet1!K811 &amp; "," &amp; Sheet1!L811)</f>
        <v/>
      </c>
      <c r="I811" s="45">
        <f>Sheet1!I811</f>
        <v/>
      </c>
      <c r="J811" s="5">
        <f>Sheet1!M811 &amp; "," &amp; TEXT(Sheet1!N811,"dd/mm/yy")</f>
        <v/>
      </c>
      <c r="K811" s="5" t="inlineStr">
        <is>
          <t>PRINTED</t>
        </is>
      </c>
      <c r="L811" t="inlineStr">
        <is>
          <t>25/03/2026</t>
        </is>
      </c>
      <c r="M811" s="30" t="inlineStr">
        <is>
          <t>MANISH KATARIA, VICE CONSUL</t>
        </is>
      </c>
      <c r="N811" s="30" t="n"/>
    </row>
    <row r="812">
      <c r="A812" s="4">
        <f>Sheet1!A812 &amp; "/" &amp; "2025"</f>
        <v/>
      </c>
      <c r="B812" s="5">
        <f>Sheet1!E812</f>
        <v/>
      </c>
      <c r="C812" s="6">
        <f>UPPER(Sheet1!B812)</f>
        <v/>
      </c>
      <c r="D812" s="7">
        <f>IF(Sheet1!F812="F","FEMALE","MALE")</f>
        <v/>
      </c>
      <c r="E812" s="6">
        <f>UPPER(Sheet1!G812)</f>
        <v/>
      </c>
      <c r="F812" s="6">
        <f>UPPER(Sheet1!H812)</f>
        <v/>
      </c>
      <c r="G812" s="5">
        <f>TEXT(Sheet1!C812,"dd/mm/yyyy") &amp; "," &amp; Sheet1!D812</f>
        <v/>
      </c>
      <c r="H812" s="38">
        <f>UPPER(Sheet1!J812 &amp; "," &amp; Sheet1!K812 &amp; "," &amp; Sheet1!L812)</f>
        <v/>
      </c>
      <c r="I812" s="45">
        <f>Sheet1!I812</f>
        <v/>
      </c>
      <c r="J812" s="5">
        <f>Sheet1!M812 &amp; "," &amp; TEXT(Sheet1!N812,"dd/mm/yy")</f>
        <v/>
      </c>
      <c r="K812" s="5" t="inlineStr">
        <is>
          <t>PRINTED</t>
        </is>
      </c>
      <c r="L812" t="inlineStr">
        <is>
          <t>25/03/2026</t>
        </is>
      </c>
      <c r="M812" s="30" t="inlineStr">
        <is>
          <t>MANISH KATARIA, VICE CONSUL</t>
        </is>
      </c>
      <c r="N812" s="30" t="n"/>
    </row>
    <row r="813">
      <c r="A813" s="4">
        <f>Sheet1!A813 &amp; "/" &amp; "2025"</f>
        <v/>
      </c>
      <c r="B813" s="5">
        <f>Sheet1!E813</f>
        <v/>
      </c>
      <c r="C813" s="6">
        <f>UPPER(Sheet1!B813)</f>
        <v/>
      </c>
      <c r="D813" s="7">
        <f>IF(Sheet1!F813="F","FEMALE","MALE")</f>
        <v/>
      </c>
      <c r="E813" s="6">
        <f>UPPER(Sheet1!G813)</f>
        <v/>
      </c>
      <c r="F813" s="6">
        <f>UPPER(Sheet1!H813)</f>
        <v/>
      </c>
      <c r="G813" s="5">
        <f>TEXT(Sheet1!C813,"dd/mm/yyyy") &amp; "," &amp; Sheet1!D813</f>
        <v/>
      </c>
      <c r="H813" s="38">
        <f>UPPER(Sheet1!J813 &amp; "," &amp; Sheet1!K813 &amp; "," &amp; Sheet1!L813)</f>
        <v/>
      </c>
      <c r="I813" s="45">
        <f>Sheet1!I813</f>
        <v/>
      </c>
      <c r="J813" s="5">
        <f>Sheet1!M813 &amp; "," &amp; TEXT(Sheet1!N813,"dd/mm/yy")</f>
        <v/>
      </c>
      <c r="K813" s="5" t="inlineStr">
        <is>
          <t>PRINTED</t>
        </is>
      </c>
      <c r="L813" t="inlineStr">
        <is>
          <t>25/03/2026</t>
        </is>
      </c>
      <c r="M813" s="30" t="inlineStr">
        <is>
          <t>MANISH KATARIA, VICE CONSUL</t>
        </is>
      </c>
      <c r="N813" s="30" t="n"/>
    </row>
    <row r="814">
      <c r="A814" s="4">
        <f>Sheet1!A814 &amp; "/" &amp; "2025"</f>
        <v/>
      </c>
      <c r="B814" s="5">
        <f>Sheet1!E814</f>
        <v/>
      </c>
      <c r="C814" s="6">
        <f>UPPER(Sheet1!B814)</f>
        <v/>
      </c>
      <c r="D814" s="7">
        <f>IF(Sheet1!F814="F","FEMALE","MALE")</f>
        <v/>
      </c>
      <c r="E814" s="6">
        <f>UPPER(Sheet1!G814)</f>
        <v/>
      </c>
      <c r="F814" s="6">
        <f>UPPER(Sheet1!H814)</f>
        <v/>
      </c>
      <c r="G814" s="5">
        <f>TEXT(Sheet1!C814,"dd/mm/yyyy") &amp; "," &amp; Sheet1!D814</f>
        <v/>
      </c>
      <c r="H814" s="38">
        <f>UPPER(Sheet1!J814 &amp; "," &amp; Sheet1!K814 &amp; "," &amp; Sheet1!L814)</f>
        <v/>
      </c>
      <c r="I814" s="45">
        <f>Sheet1!I814</f>
        <v/>
      </c>
      <c r="J814" s="5">
        <f>Sheet1!M814 &amp; "," &amp; TEXT(Sheet1!N814,"dd/mm/yy")</f>
        <v/>
      </c>
      <c r="K814" s="5" t="inlineStr">
        <is>
          <t>PRINTED</t>
        </is>
      </c>
      <c r="L814" t="inlineStr">
        <is>
          <t>25/03/2026</t>
        </is>
      </c>
      <c r="M814" s="30" t="inlineStr">
        <is>
          <t>MANISH KATARIA, VICE CONSUL</t>
        </is>
      </c>
      <c r="N814" s="30" t="n"/>
    </row>
    <row r="815">
      <c r="A815" s="4">
        <f>Sheet1!A815 &amp; "/" &amp; "2025"</f>
        <v/>
      </c>
      <c r="B815" s="5">
        <f>Sheet1!E815</f>
        <v/>
      </c>
      <c r="C815" s="6">
        <f>UPPER(Sheet1!B815)</f>
        <v/>
      </c>
      <c r="D815" s="7">
        <f>IF(Sheet1!F815="F","FEMALE","MALE")</f>
        <v/>
      </c>
      <c r="E815" s="6">
        <f>UPPER(Sheet1!G815)</f>
        <v/>
      </c>
      <c r="F815" s="6">
        <f>UPPER(Sheet1!H815)</f>
        <v/>
      </c>
      <c r="G815" s="5">
        <f>TEXT(Sheet1!C815,"dd/mm/yyyy") &amp; "," &amp; Sheet1!D815</f>
        <v/>
      </c>
      <c r="H815" s="38">
        <f>UPPER(Sheet1!J815 &amp; "," &amp; Sheet1!K815 &amp; "," &amp; Sheet1!L815)</f>
        <v/>
      </c>
      <c r="I815" s="45">
        <f>Sheet1!I815</f>
        <v/>
      </c>
      <c r="J815" s="5">
        <f>Sheet1!M815 &amp; "," &amp; TEXT(Sheet1!N815,"dd/mm/yy")</f>
        <v/>
      </c>
      <c r="K815" s="5" t="inlineStr">
        <is>
          <t>PRINTED</t>
        </is>
      </c>
      <c r="L815" t="inlineStr">
        <is>
          <t>25/03/2026</t>
        </is>
      </c>
      <c r="M815" s="30" t="inlineStr">
        <is>
          <t>MANISH KATARIA, VICE CONSUL</t>
        </is>
      </c>
      <c r="N815" s="30" t="n"/>
    </row>
    <row r="816">
      <c r="A816" s="4">
        <f>Sheet1!A816 &amp; "/" &amp; "2025"</f>
        <v/>
      </c>
      <c r="B816" s="5">
        <f>Sheet1!E816</f>
        <v/>
      </c>
      <c r="C816" s="6">
        <f>UPPER(Sheet1!B816)</f>
        <v/>
      </c>
      <c r="D816" s="7">
        <f>IF(Sheet1!F816="F","FEMALE","MALE")</f>
        <v/>
      </c>
      <c r="E816" s="6">
        <f>UPPER(Sheet1!G816)</f>
        <v/>
      </c>
      <c r="F816" s="6">
        <f>UPPER(Sheet1!H816)</f>
        <v/>
      </c>
      <c r="G816" s="5">
        <f>TEXT(Sheet1!C816,"dd/mm/yyyy") &amp; "," &amp; Sheet1!D816</f>
        <v/>
      </c>
      <c r="H816" s="38">
        <f>UPPER(Sheet1!J816 &amp; "," &amp; Sheet1!K816 &amp; "," &amp; Sheet1!L816)</f>
        <v/>
      </c>
      <c r="I816" s="45">
        <f>Sheet1!I816</f>
        <v/>
      </c>
      <c r="J816" s="5">
        <f>Sheet1!M816 &amp; "," &amp; TEXT(Sheet1!N816,"dd/mm/yy")</f>
        <v/>
      </c>
      <c r="K816" s="5" t="inlineStr">
        <is>
          <t>PRINTED</t>
        </is>
      </c>
      <c r="L816" t="inlineStr">
        <is>
          <t>25/03/2026</t>
        </is>
      </c>
      <c r="M816" s="30" t="inlineStr">
        <is>
          <t>MANISH KATARIA, VICE CONSUL</t>
        </is>
      </c>
      <c r="N816" s="30" t="n"/>
    </row>
    <row r="817">
      <c r="A817" s="4">
        <f>Sheet1!A817 &amp; "/" &amp; "2025"</f>
        <v/>
      </c>
      <c r="B817" s="5">
        <f>Sheet1!E817</f>
        <v/>
      </c>
      <c r="C817" s="6">
        <f>UPPER(Sheet1!B817)</f>
        <v/>
      </c>
      <c r="D817" s="7">
        <f>IF(Sheet1!F817="F","FEMALE","MALE")</f>
        <v/>
      </c>
      <c r="E817" s="6">
        <f>UPPER(Sheet1!G817)</f>
        <v/>
      </c>
      <c r="F817" s="6">
        <f>UPPER(Sheet1!H817)</f>
        <v/>
      </c>
      <c r="G817" s="5">
        <f>TEXT(Sheet1!C817,"dd/mm/yyyy") &amp; "," &amp; Sheet1!D817</f>
        <v/>
      </c>
      <c r="H817" s="38">
        <f>UPPER(Sheet1!J817 &amp; "," &amp; Sheet1!K817 &amp; "," &amp; Sheet1!L817)</f>
        <v/>
      </c>
      <c r="I817" s="45">
        <f>Sheet1!I817</f>
        <v/>
      </c>
      <c r="J817" s="5">
        <f>Sheet1!M817 &amp; "," &amp; TEXT(Sheet1!N817,"dd/mm/yy")</f>
        <v/>
      </c>
      <c r="K817" s="5" t="inlineStr">
        <is>
          <t>PRINTED</t>
        </is>
      </c>
      <c r="L817" t="inlineStr">
        <is>
          <t>25/03/2026</t>
        </is>
      </c>
      <c r="M817" s="30" t="inlineStr">
        <is>
          <t>MANISH KATARIA, VICE CONSUL</t>
        </is>
      </c>
      <c r="N817" s="30" t="n"/>
    </row>
    <row r="818">
      <c r="A818" s="4">
        <f>Sheet1!A818 &amp; "/" &amp; "2025"</f>
        <v/>
      </c>
      <c r="B818" s="5">
        <f>Sheet1!E818</f>
        <v/>
      </c>
      <c r="C818" s="6">
        <f>UPPER(Sheet1!B818)</f>
        <v/>
      </c>
      <c r="D818" s="7">
        <f>IF(Sheet1!F818="F","FEMALE","MALE")</f>
        <v/>
      </c>
      <c r="E818" s="6">
        <f>UPPER(Sheet1!G818)</f>
        <v/>
      </c>
      <c r="F818" s="6">
        <f>UPPER(Sheet1!H818)</f>
        <v/>
      </c>
      <c r="G818" s="5">
        <f>TEXT(Sheet1!C818,"dd/mm/yyyy") &amp; "," &amp; Sheet1!D818</f>
        <v/>
      </c>
      <c r="H818" s="38">
        <f>UPPER(Sheet1!J818 &amp; "," &amp; Sheet1!K818 &amp; "," &amp; Sheet1!L818)</f>
        <v/>
      </c>
      <c r="I818" s="45">
        <f>Sheet1!I818</f>
        <v/>
      </c>
      <c r="J818" s="5">
        <f>Sheet1!M818 &amp; "," &amp; TEXT(Sheet1!N818,"dd/mm/yy")</f>
        <v/>
      </c>
      <c r="K818" s="5" t="inlineStr">
        <is>
          <t>PRINTED</t>
        </is>
      </c>
      <c r="L818" t="inlineStr">
        <is>
          <t>25/03/2026</t>
        </is>
      </c>
      <c r="M818" s="30" t="inlineStr">
        <is>
          <t>MANISH KATARIA, VICE CONSUL</t>
        </is>
      </c>
      <c r="N818" s="30" t="n"/>
    </row>
    <row r="819">
      <c r="A819" s="4">
        <f>Sheet1!A819 &amp; "/" &amp; "2025"</f>
        <v/>
      </c>
      <c r="B819" s="5">
        <f>Sheet1!E819</f>
        <v/>
      </c>
      <c r="C819" s="6">
        <f>UPPER(Sheet1!B819)</f>
        <v/>
      </c>
      <c r="D819" s="7">
        <f>IF(Sheet1!F819="F","FEMALE","MALE")</f>
        <v/>
      </c>
      <c r="E819" s="6">
        <f>UPPER(Sheet1!G819)</f>
        <v/>
      </c>
      <c r="F819" s="6">
        <f>UPPER(Sheet1!H819)</f>
        <v/>
      </c>
      <c r="G819" s="5">
        <f>TEXT(Sheet1!C819,"dd/mm/yyyy") &amp; "," &amp; Sheet1!D819</f>
        <v/>
      </c>
      <c r="H819" s="38">
        <f>UPPER(Sheet1!J819 &amp; "," &amp; Sheet1!K819 &amp; "," &amp; Sheet1!L819)</f>
        <v/>
      </c>
      <c r="I819" s="45">
        <f>Sheet1!I819</f>
        <v/>
      </c>
      <c r="J819" s="5">
        <f>Sheet1!M819 &amp; "," &amp; TEXT(Sheet1!N819,"dd/mm/yy")</f>
        <v/>
      </c>
      <c r="K819" s="5" t="inlineStr">
        <is>
          <t>PRINTED</t>
        </is>
      </c>
      <c r="L819" t="inlineStr">
        <is>
          <t>25/03/2026</t>
        </is>
      </c>
      <c r="M819" s="30" t="inlineStr">
        <is>
          <t>MANISH KATARIA, VICE CONSUL</t>
        </is>
      </c>
      <c r="N819" s="30" t="n"/>
    </row>
    <row r="820">
      <c r="A820" s="4">
        <f>Sheet1!A820 &amp; "/" &amp; "2025"</f>
        <v/>
      </c>
      <c r="B820" s="5">
        <f>Sheet1!E820</f>
        <v/>
      </c>
      <c r="C820" s="6">
        <f>UPPER(Sheet1!B820)</f>
        <v/>
      </c>
      <c r="D820" s="7">
        <f>IF(Sheet1!F820="F","FEMALE","MALE")</f>
        <v/>
      </c>
      <c r="E820" s="6">
        <f>UPPER(Sheet1!G820)</f>
        <v/>
      </c>
      <c r="F820" s="6">
        <f>UPPER(Sheet1!H820)</f>
        <v/>
      </c>
      <c r="G820" s="5">
        <f>TEXT(Sheet1!C820,"dd/mm/yyyy") &amp; "," &amp; Sheet1!D820</f>
        <v/>
      </c>
      <c r="H820" s="38">
        <f>UPPER(Sheet1!J820 &amp; "," &amp; Sheet1!K820 &amp; "," &amp; Sheet1!L820)</f>
        <v/>
      </c>
      <c r="I820" s="45">
        <f>Sheet1!I820</f>
        <v/>
      </c>
      <c r="J820" s="5">
        <f>Sheet1!M820 &amp; "," &amp; TEXT(Sheet1!N820,"dd/mm/yy")</f>
        <v/>
      </c>
      <c r="K820" s="5" t="inlineStr">
        <is>
          <t>PRINTED</t>
        </is>
      </c>
      <c r="L820" t="inlineStr">
        <is>
          <t>25/03/2026</t>
        </is>
      </c>
      <c r="M820" s="30" t="inlineStr">
        <is>
          <t>MANISH KATARIA, VICE CONSUL</t>
        </is>
      </c>
      <c r="N820" s="30" t="n"/>
    </row>
    <row r="821">
      <c r="A821" s="4">
        <f>Sheet1!A821 &amp; "/" &amp; "2025"</f>
        <v/>
      </c>
      <c r="B821" s="5">
        <f>Sheet1!E821</f>
        <v/>
      </c>
      <c r="C821" s="6">
        <f>UPPER(Sheet1!B821)</f>
        <v/>
      </c>
      <c r="D821" s="7">
        <f>IF(Sheet1!F821="F","FEMALE","MALE")</f>
        <v/>
      </c>
      <c r="E821" s="6">
        <f>UPPER(Sheet1!G821)</f>
        <v/>
      </c>
      <c r="F821" s="6">
        <f>UPPER(Sheet1!H821)</f>
        <v/>
      </c>
      <c r="G821" s="5">
        <f>TEXT(Sheet1!C821,"dd/mm/yyyy") &amp; "," &amp; Sheet1!D821</f>
        <v/>
      </c>
      <c r="H821" s="38">
        <f>UPPER(Sheet1!J821 &amp; "," &amp; Sheet1!K821 &amp; "," &amp; Sheet1!L821)</f>
        <v/>
      </c>
      <c r="I821" s="45">
        <f>Sheet1!I821</f>
        <v/>
      </c>
      <c r="J821" s="5">
        <f>Sheet1!M821 &amp; "," &amp; TEXT(Sheet1!N821,"dd/mm/yy")</f>
        <v/>
      </c>
      <c r="K821" s="5" t="inlineStr">
        <is>
          <t>PRINTED</t>
        </is>
      </c>
      <c r="L821" t="inlineStr">
        <is>
          <t>25/03/2026</t>
        </is>
      </c>
      <c r="M821" s="30" t="inlineStr">
        <is>
          <t>MANISH KATARIA, VICE CONSUL</t>
        </is>
      </c>
      <c r="N821" s="30" t="n"/>
    </row>
    <row r="822">
      <c r="A822" s="4">
        <f>Sheet1!A822 &amp; "/" &amp; "2025"</f>
        <v/>
      </c>
      <c r="B822" s="5">
        <f>Sheet1!E822</f>
        <v/>
      </c>
      <c r="C822" s="6">
        <f>UPPER(Sheet1!B822)</f>
        <v/>
      </c>
      <c r="D822" s="7">
        <f>IF(Sheet1!F822="F","FEMALE","MALE")</f>
        <v/>
      </c>
      <c r="E822" s="6">
        <f>UPPER(Sheet1!G822)</f>
        <v/>
      </c>
      <c r="F822" s="6">
        <f>UPPER(Sheet1!H822)</f>
        <v/>
      </c>
      <c r="G822" s="5">
        <f>TEXT(Sheet1!C822,"dd/mm/yyyy") &amp; "," &amp; Sheet1!D822</f>
        <v/>
      </c>
      <c r="H822" s="38">
        <f>UPPER(Sheet1!J822 &amp; "," &amp; Sheet1!K822 &amp; "," &amp; Sheet1!L822)</f>
        <v/>
      </c>
      <c r="I822" s="45">
        <f>Sheet1!I822</f>
        <v/>
      </c>
      <c r="J822" s="5">
        <f>Sheet1!M822 &amp; "," &amp; TEXT(Sheet1!N822,"dd/mm/yy")</f>
        <v/>
      </c>
      <c r="K822" s="5" t="inlineStr">
        <is>
          <t>PRINTED</t>
        </is>
      </c>
      <c r="L822" t="inlineStr">
        <is>
          <t>25/03/2026</t>
        </is>
      </c>
      <c r="M822" s="30" t="inlineStr">
        <is>
          <t>MANISH KATARIA, VICE CONSUL</t>
        </is>
      </c>
      <c r="N822" s="30" t="n"/>
    </row>
    <row r="823">
      <c r="A823" s="4">
        <f>Sheet1!A823 &amp; "/" &amp; "2025"</f>
        <v/>
      </c>
      <c r="B823" s="5">
        <f>Sheet1!E823</f>
        <v/>
      </c>
      <c r="C823" s="6">
        <f>UPPER(Sheet1!B823)</f>
        <v/>
      </c>
      <c r="D823" s="7">
        <f>IF(Sheet1!F823="F","FEMALE","MALE")</f>
        <v/>
      </c>
      <c r="E823" s="6">
        <f>UPPER(Sheet1!G823)</f>
        <v/>
      </c>
      <c r="F823" s="6">
        <f>UPPER(Sheet1!H823)</f>
        <v/>
      </c>
      <c r="G823" s="5">
        <f>TEXT(Sheet1!C823,"dd/mm/yyyy") &amp; "," &amp; Sheet1!D823</f>
        <v/>
      </c>
      <c r="H823" s="38">
        <f>UPPER(Sheet1!J823 &amp; "," &amp; Sheet1!K823 &amp; "," &amp; Sheet1!L823)</f>
        <v/>
      </c>
      <c r="I823" s="45">
        <f>Sheet1!I823</f>
        <v/>
      </c>
      <c r="J823" s="5">
        <f>Sheet1!M823 &amp; "," &amp; TEXT(Sheet1!N823,"dd/mm/yy")</f>
        <v/>
      </c>
      <c r="K823" s="5" t="inlineStr">
        <is>
          <t>PRINTED</t>
        </is>
      </c>
      <c r="L823" t="inlineStr">
        <is>
          <t>25/03/2026</t>
        </is>
      </c>
      <c r="M823" s="30" t="inlineStr">
        <is>
          <t>MANISH KATARIA, VICE CONSUL</t>
        </is>
      </c>
      <c r="N823" s="30" t="n"/>
    </row>
    <row r="824">
      <c r="A824" s="4">
        <f>Sheet1!A824 &amp; "/" &amp; "2025"</f>
        <v/>
      </c>
      <c r="B824" s="5">
        <f>Sheet1!E824</f>
        <v/>
      </c>
      <c r="C824" s="6">
        <f>UPPER(Sheet1!B824)</f>
        <v/>
      </c>
      <c r="D824" s="7">
        <f>IF(Sheet1!F824="F","FEMALE","MALE")</f>
        <v/>
      </c>
      <c r="E824" s="6">
        <f>UPPER(Sheet1!G824)</f>
        <v/>
      </c>
      <c r="F824" s="6">
        <f>UPPER(Sheet1!H824)</f>
        <v/>
      </c>
      <c r="G824" s="5">
        <f>TEXT(Sheet1!C824,"dd/mm/yyyy") &amp; "," &amp; Sheet1!D824</f>
        <v/>
      </c>
      <c r="H824" s="38">
        <f>UPPER(Sheet1!J824 &amp; "," &amp; Sheet1!K824 &amp; "," &amp; Sheet1!L824)</f>
        <v/>
      </c>
      <c r="I824" s="45">
        <f>Sheet1!I824</f>
        <v/>
      </c>
      <c r="J824" s="5">
        <f>Sheet1!M824 &amp; "," &amp; TEXT(Sheet1!N824,"dd/mm/yy")</f>
        <v/>
      </c>
      <c r="K824" s="5" t="inlineStr">
        <is>
          <t>PRINTED</t>
        </is>
      </c>
      <c r="L824" t="inlineStr">
        <is>
          <t>25/03/2026</t>
        </is>
      </c>
      <c r="M824" s="30" t="inlineStr">
        <is>
          <t>MANISH KATARIA, VICE CONSUL</t>
        </is>
      </c>
      <c r="N824" s="30" t="n"/>
    </row>
    <row r="825">
      <c r="A825" s="4">
        <f>Sheet1!A825 &amp; "/" &amp; "2025"</f>
        <v/>
      </c>
      <c r="B825" s="5">
        <f>Sheet1!E825</f>
        <v/>
      </c>
      <c r="C825" s="6">
        <f>UPPER(Sheet1!B825)</f>
        <v/>
      </c>
      <c r="D825" s="7">
        <f>IF(Sheet1!F825="F","FEMALE","MALE")</f>
        <v/>
      </c>
      <c r="E825" s="6">
        <f>UPPER(Sheet1!G825)</f>
        <v/>
      </c>
      <c r="F825" s="6">
        <f>UPPER(Sheet1!H825)</f>
        <v/>
      </c>
      <c r="G825" s="5">
        <f>TEXT(Sheet1!C825,"dd/mm/yyyy") &amp; "," &amp; Sheet1!D825</f>
        <v/>
      </c>
      <c r="H825" s="38">
        <f>UPPER(Sheet1!J825 &amp; "," &amp; Sheet1!K825 &amp; "," &amp; Sheet1!L825)</f>
        <v/>
      </c>
      <c r="I825" s="45">
        <f>Sheet1!I825</f>
        <v/>
      </c>
      <c r="J825" s="5">
        <f>Sheet1!M825 &amp; "," &amp; TEXT(Sheet1!N825,"dd/mm/yy")</f>
        <v/>
      </c>
      <c r="K825" s="5" t="inlineStr">
        <is>
          <t>PRINTED</t>
        </is>
      </c>
      <c r="L825" t="inlineStr">
        <is>
          <t>25/03/2026</t>
        </is>
      </c>
      <c r="M825" s="30" t="inlineStr">
        <is>
          <t>MANISH KATARIA, VICE CONSUL</t>
        </is>
      </c>
      <c r="N825" s="30" t="n"/>
    </row>
    <row r="826">
      <c r="A826" s="4">
        <f>Sheet1!A826 &amp; "/" &amp; "2025"</f>
        <v/>
      </c>
      <c r="B826" s="5">
        <f>Sheet1!E826</f>
        <v/>
      </c>
      <c r="C826" s="6">
        <f>UPPER(Sheet1!B826)</f>
        <v/>
      </c>
      <c r="D826" s="7">
        <f>IF(Sheet1!F826="F","FEMALE","MALE")</f>
        <v/>
      </c>
      <c r="E826" s="6">
        <f>UPPER(Sheet1!G826)</f>
        <v/>
      </c>
      <c r="F826" s="6">
        <f>UPPER(Sheet1!H826)</f>
        <v/>
      </c>
      <c r="G826" s="5">
        <f>TEXT(Sheet1!C826,"dd/mm/yyyy") &amp; "," &amp; Sheet1!D826</f>
        <v/>
      </c>
      <c r="H826" s="38">
        <f>UPPER(Sheet1!J826 &amp; "," &amp; Sheet1!K826 &amp; "," &amp; Sheet1!L826)</f>
        <v/>
      </c>
      <c r="I826" s="45">
        <f>Sheet1!I826</f>
        <v/>
      </c>
      <c r="J826" s="5">
        <f>Sheet1!M826 &amp; "," &amp; TEXT(Sheet1!N826,"dd/mm/yy")</f>
        <v/>
      </c>
      <c r="K826" s="5" t="inlineStr">
        <is>
          <t>PRINTED</t>
        </is>
      </c>
      <c r="L826" t="inlineStr">
        <is>
          <t>25/03/2026</t>
        </is>
      </c>
      <c r="M826" s="30" t="inlineStr">
        <is>
          <t>MANISH KATARIA, VICE CONSUL</t>
        </is>
      </c>
      <c r="N826" s="30" t="n"/>
    </row>
    <row r="827">
      <c r="A827" s="4">
        <f>Sheet1!A827 &amp; "/" &amp; "2025"</f>
        <v/>
      </c>
      <c r="B827" s="5">
        <f>Sheet1!E827</f>
        <v/>
      </c>
      <c r="C827" s="6">
        <f>UPPER(Sheet1!B827)</f>
        <v/>
      </c>
      <c r="D827" s="7">
        <f>IF(Sheet1!F827="F","FEMALE","MALE")</f>
        <v/>
      </c>
      <c r="E827" s="6">
        <f>UPPER(Sheet1!G827)</f>
        <v/>
      </c>
      <c r="F827" s="6">
        <f>UPPER(Sheet1!H827)</f>
        <v/>
      </c>
      <c r="G827" s="5">
        <f>TEXT(Sheet1!C827,"dd/mm/yyyy") &amp; "," &amp; Sheet1!D827</f>
        <v/>
      </c>
      <c r="H827" s="38">
        <f>UPPER(Sheet1!J827 &amp; "," &amp; Sheet1!K827 &amp; "," &amp; Sheet1!L827)</f>
        <v/>
      </c>
      <c r="I827" s="45">
        <f>Sheet1!I827</f>
        <v/>
      </c>
      <c r="J827" s="5">
        <f>Sheet1!M827 &amp; "," &amp; TEXT(Sheet1!N827,"dd/mm/yy")</f>
        <v/>
      </c>
      <c r="K827" s="5" t="inlineStr">
        <is>
          <t>PRINTED</t>
        </is>
      </c>
      <c r="L827" t="inlineStr">
        <is>
          <t>25/03/2026</t>
        </is>
      </c>
      <c r="M827" s="30" t="inlineStr">
        <is>
          <t>MANISH KATARIA, VICE CONSUL</t>
        </is>
      </c>
      <c r="N827" s="30" t="n"/>
    </row>
    <row r="828">
      <c r="A828" s="4">
        <f>Sheet1!A828 &amp; "/" &amp; "2025"</f>
        <v/>
      </c>
      <c r="B828" s="5">
        <f>Sheet1!E828</f>
        <v/>
      </c>
      <c r="C828" s="6">
        <f>UPPER(Sheet1!B828)</f>
        <v/>
      </c>
      <c r="D828" s="7">
        <f>IF(Sheet1!F828="F","FEMALE","MALE")</f>
        <v/>
      </c>
      <c r="E828" s="6">
        <f>UPPER(Sheet1!G828)</f>
        <v/>
      </c>
      <c r="F828" s="6">
        <f>UPPER(Sheet1!H828)</f>
        <v/>
      </c>
      <c r="G828" s="5">
        <f>TEXT(Sheet1!C828,"dd/mm/yyyy") &amp; "," &amp; Sheet1!D828</f>
        <v/>
      </c>
      <c r="H828" s="38">
        <f>UPPER(Sheet1!J828 &amp; "," &amp; Sheet1!K828 &amp; "," &amp; Sheet1!L828)</f>
        <v/>
      </c>
      <c r="I828" s="45">
        <f>Sheet1!I828</f>
        <v/>
      </c>
      <c r="J828" s="5">
        <f>Sheet1!M828 &amp; "," &amp; TEXT(Sheet1!N828,"dd/mm/yy")</f>
        <v/>
      </c>
      <c r="K828" s="5" t="inlineStr">
        <is>
          <t>PRINTED</t>
        </is>
      </c>
      <c r="L828" t="inlineStr">
        <is>
          <t>25/03/2026</t>
        </is>
      </c>
      <c r="M828" s="30" t="inlineStr">
        <is>
          <t>MANISH KATARIA, VICE CONSUL</t>
        </is>
      </c>
      <c r="N828" s="30" t="n"/>
    </row>
    <row r="829">
      <c r="A829" s="4">
        <f>Sheet1!A829 &amp; "/" &amp; "2025"</f>
        <v/>
      </c>
      <c r="B829" s="5">
        <f>Sheet1!E829</f>
        <v/>
      </c>
      <c r="C829" s="6">
        <f>UPPER(Sheet1!B829)</f>
        <v/>
      </c>
      <c r="D829" s="7">
        <f>IF(Sheet1!F829="F","FEMALE","MALE")</f>
        <v/>
      </c>
      <c r="E829" s="6">
        <f>UPPER(Sheet1!G829)</f>
        <v/>
      </c>
      <c r="F829" s="6">
        <f>UPPER(Sheet1!H829)</f>
        <v/>
      </c>
      <c r="G829" s="5">
        <f>TEXT(Sheet1!C829,"dd/mm/yyyy") &amp; "," &amp; Sheet1!D829</f>
        <v/>
      </c>
      <c r="H829" s="38">
        <f>UPPER(Sheet1!J829 &amp; "," &amp; Sheet1!K829 &amp; "," &amp; Sheet1!L829)</f>
        <v/>
      </c>
      <c r="I829" s="45">
        <f>Sheet1!I829</f>
        <v/>
      </c>
      <c r="J829" s="5">
        <f>Sheet1!M829 &amp; "," &amp; TEXT(Sheet1!N829,"dd/mm/yy")</f>
        <v/>
      </c>
      <c r="K829" s="5" t="inlineStr">
        <is>
          <t>PRINTED</t>
        </is>
      </c>
      <c r="L829" t="inlineStr">
        <is>
          <t>25/03/2026</t>
        </is>
      </c>
      <c r="M829" s="30" t="inlineStr">
        <is>
          <t>MANISH KATARIA, VICE CONSUL</t>
        </is>
      </c>
      <c r="N829" s="30" t="n"/>
    </row>
    <row r="830">
      <c r="A830" s="4">
        <f>Sheet1!A830 &amp; "/" &amp; "2025"</f>
        <v/>
      </c>
      <c r="B830" s="5">
        <f>Sheet1!E830</f>
        <v/>
      </c>
      <c r="C830" s="6">
        <f>UPPER(Sheet1!B830)</f>
        <v/>
      </c>
      <c r="D830" s="7">
        <f>IF(Sheet1!F830="F","FEMALE","MALE")</f>
        <v/>
      </c>
      <c r="E830" s="6">
        <f>UPPER(Sheet1!G830)</f>
        <v/>
      </c>
      <c r="F830" s="6">
        <f>UPPER(Sheet1!H830)</f>
        <v/>
      </c>
      <c r="G830" s="5">
        <f>TEXT(Sheet1!C830,"dd/mm/yyyy") &amp; "," &amp; Sheet1!D830</f>
        <v/>
      </c>
      <c r="H830" s="38">
        <f>UPPER(Sheet1!J830 &amp; "," &amp; Sheet1!K830 &amp; "," &amp; Sheet1!L830)</f>
        <v/>
      </c>
      <c r="I830" s="45">
        <f>Sheet1!I830</f>
        <v/>
      </c>
      <c r="J830" s="5">
        <f>Sheet1!M830 &amp; "," &amp; TEXT(Sheet1!N830,"dd/mm/yy")</f>
        <v/>
      </c>
      <c r="K830" s="5" t="inlineStr">
        <is>
          <t>PRINTED</t>
        </is>
      </c>
      <c r="L830" t="inlineStr">
        <is>
          <t>25/03/2026</t>
        </is>
      </c>
      <c r="M830" s="30" t="inlineStr">
        <is>
          <t>MANISH KATARIA, VICE CONSUL</t>
        </is>
      </c>
      <c r="N830" s="30" t="n"/>
    </row>
    <row r="831">
      <c r="A831" s="4">
        <f>Sheet1!A831 &amp; "/" &amp; "2025"</f>
        <v/>
      </c>
      <c r="B831" s="5">
        <f>Sheet1!E831</f>
        <v/>
      </c>
      <c r="C831" s="6">
        <f>UPPER(Sheet1!B831)</f>
        <v/>
      </c>
      <c r="D831" s="7">
        <f>IF(Sheet1!F831="F","FEMALE","MALE")</f>
        <v/>
      </c>
      <c r="E831" s="6">
        <f>UPPER(Sheet1!G831)</f>
        <v/>
      </c>
      <c r="F831" s="6">
        <f>UPPER(Sheet1!H831)</f>
        <v/>
      </c>
      <c r="G831" s="5">
        <f>TEXT(Sheet1!C831,"dd/mm/yyyy") &amp; "," &amp; Sheet1!D831</f>
        <v/>
      </c>
      <c r="H831" s="38">
        <f>UPPER(Sheet1!J831 &amp; "," &amp; Sheet1!K831 &amp; "," &amp; Sheet1!L831)</f>
        <v/>
      </c>
      <c r="I831" s="45">
        <f>Sheet1!I831</f>
        <v/>
      </c>
      <c r="J831" s="5">
        <f>Sheet1!M831 &amp; "," &amp; TEXT(Sheet1!N831,"dd/mm/yy")</f>
        <v/>
      </c>
      <c r="K831" s="5" t="inlineStr">
        <is>
          <t>PRINTED</t>
        </is>
      </c>
      <c r="L831" t="inlineStr">
        <is>
          <t>25/03/2026</t>
        </is>
      </c>
      <c r="M831" s="30" t="inlineStr">
        <is>
          <t>MANISH KATARIA, VICE CONSUL</t>
        </is>
      </c>
      <c r="N831" s="30" t="n"/>
    </row>
    <row r="832">
      <c r="A832" s="4">
        <f>Sheet1!A832 &amp; "/" &amp; "2025"</f>
        <v/>
      </c>
      <c r="B832" s="5">
        <f>Sheet1!E832</f>
        <v/>
      </c>
      <c r="C832" s="6">
        <f>UPPER(Sheet1!B832)</f>
        <v/>
      </c>
      <c r="D832" s="7">
        <f>IF(Sheet1!F832="F","FEMALE","MALE")</f>
        <v/>
      </c>
      <c r="E832" s="6">
        <f>UPPER(Sheet1!G832)</f>
        <v/>
      </c>
      <c r="F832" s="6">
        <f>UPPER(Sheet1!H832)</f>
        <v/>
      </c>
      <c r="G832" s="5">
        <f>TEXT(Sheet1!C832,"dd/mm/yyyy") &amp; "," &amp; Sheet1!D832</f>
        <v/>
      </c>
      <c r="H832" s="38">
        <f>UPPER(Sheet1!J832 &amp; "," &amp; Sheet1!K832 &amp; "," &amp; Sheet1!L832)</f>
        <v/>
      </c>
      <c r="I832" s="45">
        <f>Sheet1!I832</f>
        <v/>
      </c>
      <c r="J832" s="5">
        <f>Sheet1!M832 &amp; "," &amp; TEXT(Sheet1!N832,"dd/mm/yy")</f>
        <v/>
      </c>
      <c r="K832" s="5" t="inlineStr">
        <is>
          <t>PRINTED</t>
        </is>
      </c>
      <c r="L832" t="inlineStr">
        <is>
          <t>25/03/2026</t>
        </is>
      </c>
      <c r="M832" s="30" t="inlineStr">
        <is>
          <t>MANISH KATARIA, VICE CONSUL</t>
        </is>
      </c>
      <c r="N832" s="30" t="n"/>
    </row>
    <row r="833">
      <c r="A833" s="4">
        <f>Sheet1!A833 &amp; "/" &amp; "2025"</f>
        <v/>
      </c>
      <c r="B833" s="5">
        <f>Sheet1!E833</f>
        <v/>
      </c>
      <c r="C833" s="6">
        <f>UPPER(Sheet1!B833)</f>
        <v/>
      </c>
      <c r="D833" s="7">
        <f>IF(Sheet1!F833="F","FEMALE","MALE")</f>
        <v/>
      </c>
      <c r="E833" s="6">
        <f>UPPER(Sheet1!G833)</f>
        <v/>
      </c>
      <c r="F833" s="6">
        <f>UPPER(Sheet1!H833)</f>
        <v/>
      </c>
      <c r="G833" s="5">
        <f>TEXT(Sheet1!C833,"dd/mm/yyyy") &amp; "," &amp; Sheet1!D833</f>
        <v/>
      </c>
      <c r="H833" s="38">
        <f>UPPER(Sheet1!J833 &amp; "," &amp; Sheet1!K833 &amp; "," &amp; Sheet1!L833)</f>
        <v/>
      </c>
      <c r="I833" s="45">
        <f>Sheet1!I833</f>
        <v/>
      </c>
      <c r="J833" s="5">
        <f>Sheet1!M833 &amp; "," &amp; TEXT(Sheet1!N833,"dd/mm/yy")</f>
        <v/>
      </c>
      <c r="K833" s="5" t="inlineStr">
        <is>
          <t>PRINTED</t>
        </is>
      </c>
      <c r="L833" t="inlineStr">
        <is>
          <t>25/03/2026</t>
        </is>
      </c>
      <c r="M833" s="30" t="inlineStr">
        <is>
          <t>MANISH KATARIA, VICE CONSUL</t>
        </is>
      </c>
      <c r="N833" s="30" t="n"/>
    </row>
    <row r="834">
      <c r="A834" s="4">
        <f>Sheet1!A834 &amp; "/" &amp; "2025"</f>
        <v/>
      </c>
      <c r="B834" s="5">
        <f>Sheet1!E834</f>
        <v/>
      </c>
      <c r="C834" s="6">
        <f>UPPER(Sheet1!B834)</f>
        <v/>
      </c>
      <c r="D834" s="7">
        <f>IF(Sheet1!F834="F","FEMALE","MALE")</f>
        <v/>
      </c>
      <c r="E834" s="6">
        <f>UPPER(Sheet1!G834)</f>
        <v/>
      </c>
      <c r="F834" s="6">
        <f>UPPER(Sheet1!H834)</f>
        <v/>
      </c>
      <c r="G834" s="5">
        <f>TEXT(Sheet1!C834,"dd/mm/yyyy") &amp; "," &amp; Sheet1!D834</f>
        <v/>
      </c>
      <c r="H834" s="38">
        <f>UPPER(Sheet1!J834 &amp; "," &amp; Sheet1!K834 &amp; "," &amp; Sheet1!L834)</f>
        <v/>
      </c>
      <c r="I834" s="45">
        <f>Sheet1!I834</f>
        <v/>
      </c>
      <c r="J834" s="5">
        <f>Sheet1!M834 &amp; "," &amp; TEXT(Sheet1!N834,"dd/mm/yy")</f>
        <v/>
      </c>
      <c r="K834" s="5" t="inlineStr">
        <is>
          <t>PRINTED</t>
        </is>
      </c>
      <c r="L834" t="inlineStr">
        <is>
          <t>25/03/2026</t>
        </is>
      </c>
      <c r="M834" s="30" t="inlineStr">
        <is>
          <t>MANISH KATARIA, VICE CONSUL</t>
        </is>
      </c>
      <c r="N834" s="30" t="n"/>
    </row>
    <row r="835">
      <c r="A835" s="4">
        <f>Sheet1!A835 &amp; "/" &amp; "2025"</f>
        <v/>
      </c>
      <c r="B835" s="5">
        <f>Sheet1!E835</f>
        <v/>
      </c>
      <c r="C835" s="6">
        <f>UPPER(Sheet1!B835)</f>
        <v/>
      </c>
      <c r="D835" s="7">
        <f>IF(Sheet1!F835="F","FEMALE","MALE")</f>
        <v/>
      </c>
      <c r="E835" s="6">
        <f>UPPER(Sheet1!G835)</f>
        <v/>
      </c>
      <c r="F835" s="6">
        <f>UPPER(Sheet1!H835)</f>
        <v/>
      </c>
      <c r="G835" s="5">
        <f>TEXT(Sheet1!C835,"dd/mm/yyyy") &amp; "," &amp; Sheet1!D835</f>
        <v/>
      </c>
      <c r="H835" s="38">
        <f>UPPER(Sheet1!J835 &amp; "," &amp; Sheet1!K835 &amp; "," &amp; Sheet1!L835)</f>
        <v/>
      </c>
      <c r="I835" s="45">
        <f>Sheet1!I835</f>
        <v/>
      </c>
      <c r="J835" s="5">
        <f>Sheet1!M835 &amp; "," &amp; TEXT(Sheet1!N835,"dd/mm/yy")</f>
        <v/>
      </c>
      <c r="K835" s="5" t="inlineStr">
        <is>
          <t>PRINTED</t>
        </is>
      </c>
      <c r="L835" t="inlineStr">
        <is>
          <t>25/03/2026</t>
        </is>
      </c>
      <c r="M835" s="30" t="inlineStr">
        <is>
          <t>MANISH KATARIA, VICE CONSUL</t>
        </is>
      </c>
      <c r="N835" s="30" t="n"/>
    </row>
    <row r="836">
      <c r="A836" s="4">
        <f>Sheet1!A836 &amp; "/" &amp; "2025"</f>
        <v/>
      </c>
      <c r="B836" s="5">
        <f>Sheet1!E836</f>
        <v/>
      </c>
      <c r="C836" s="6">
        <f>UPPER(Sheet1!B836)</f>
        <v/>
      </c>
      <c r="D836" s="7">
        <f>IF(Sheet1!F836="F","FEMALE","MALE")</f>
        <v/>
      </c>
      <c r="E836" s="6">
        <f>UPPER(Sheet1!G836)</f>
        <v/>
      </c>
      <c r="F836" s="6">
        <f>UPPER(Sheet1!H836)</f>
        <v/>
      </c>
      <c r="G836" s="5">
        <f>TEXT(Sheet1!C836,"dd/mm/yyyy") &amp; "," &amp; Sheet1!D836</f>
        <v/>
      </c>
      <c r="H836" s="38">
        <f>UPPER(Sheet1!J836 &amp; "," &amp; Sheet1!K836 &amp; "," &amp; Sheet1!L836)</f>
        <v/>
      </c>
      <c r="I836" s="45">
        <f>Sheet1!I836</f>
        <v/>
      </c>
      <c r="J836" s="5">
        <f>Sheet1!M836 &amp; "," &amp; TEXT(Sheet1!N836,"dd/mm/yy")</f>
        <v/>
      </c>
      <c r="K836" s="5" t="inlineStr">
        <is>
          <t>PRINTED</t>
        </is>
      </c>
      <c r="L836" t="inlineStr">
        <is>
          <t>25/03/2026</t>
        </is>
      </c>
      <c r="M836" s="30" t="inlineStr">
        <is>
          <t>MANISH KATARIA, VICE CONSUL</t>
        </is>
      </c>
      <c r="N836" s="30" t="n"/>
    </row>
    <row r="837">
      <c r="A837" s="4">
        <f>Sheet1!A837 &amp; "/" &amp; "2025"</f>
        <v/>
      </c>
      <c r="B837" s="5">
        <f>Sheet1!E837</f>
        <v/>
      </c>
      <c r="C837" s="6">
        <f>UPPER(Sheet1!B837)</f>
        <v/>
      </c>
      <c r="D837" s="7">
        <f>IF(Sheet1!F837="F","FEMALE","MALE")</f>
        <v/>
      </c>
      <c r="E837" s="6">
        <f>UPPER(Sheet1!G837)</f>
        <v/>
      </c>
      <c r="F837" s="6">
        <f>UPPER(Sheet1!H837)</f>
        <v/>
      </c>
      <c r="G837" s="5">
        <f>TEXT(Sheet1!C837,"dd/mm/yyyy") &amp; "," &amp; Sheet1!D837</f>
        <v/>
      </c>
      <c r="H837" s="38">
        <f>UPPER(Sheet1!J837 &amp; "," &amp; Sheet1!K837 &amp; "," &amp; Sheet1!L837)</f>
        <v/>
      </c>
      <c r="I837" s="45">
        <f>Sheet1!I837</f>
        <v/>
      </c>
      <c r="J837" s="5">
        <f>Sheet1!M837 &amp; "," &amp; TEXT(Sheet1!N837,"dd/mm/yy")</f>
        <v/>
      </c>
      <c r="K837" s="5" t="inlineStr">
        <is>
          <t>PRINTED</t>
        </is>
      </c>
      <c r="L837" t="inlineStr">
        <is>
          <t>25/03/2026</t>
        </is>
      </c>
      <c r="M837" s="30" t="inlineStr">
        <is>
          <t>MANISH KATARIA, VICE CONSUL</t>
        </is>
      </c>
      <c r="N837" s="30" t="n"/>
    </row>
    <row r="838">
      <c r="A838" s="4">
        <f>Sheet1!A838 &amp; "/" &amp; "2025"</f>
        <v/>
      </c>
      <c r="B838" s="5">
        <f>Sheet1!E838</f>
        <v/>
      </c>
      <c r="C838" s="6">
        <f>UPPER(Sheet1!B838)</f>
        <v/>
      </c>
      <c r="D838" s="7">
        <f>IF(Sheet1!F838="F","FEMALE","MALE")</f>
        <v/>
      </c>
      <c r="E838" s="6">
        <f>UPPER(Sheet1!G838)</f>
        <v/>
      </c>
      <c r="F838" s="6">
        <f>UPPER(Sheet1!H838)</f>
        <v/>
      </c>
      <c r="G838" s="5">
        <f>TEXT(Sheet1!C838,"dd/mm/yyyy") &amp; "," &amp; Sheet1!D838</f>
        <v/>
      </c>
      <c r="H838" s="38">
        <f>UPPER(Sheet1!J838 &amp; "," &amp; Sheet1!K838 &amp; "," &amp; Sheet1!L838)</f>
        <v/>
      </c>
      <c r="I838" s="45">
        <f>Sheet1!I838</f>
        <v/>
      </c>
      <c r="J838" s="5">
        <f>Sheet1!M838 &amp; "," &amp; TEXT(Sheet1!N838,"dd/mm/yy")</f>
        <v/>
      </c>
      <c r="K838" s="5" t="inlineStr">
        <is>
          <t>PRINTED</t>
        </is>
      </c>
      <c r="L838" t="inlineStr">
        <is>
          <t>25/03/2026</t>
        </is>
      </c>
      <c r="M838" s="30" t="inlineStr">
        <is>
          <t>MANISH KATARIA, VICE CONSUL</t>
        </is>
      </c>
      <c r="N838" s="30" t="n"/>
    </row>
    <row r="839">
      <c r="A839" s="4">
        <f>Sheet1!A839 &amp; "/" &amp; "2025"</f>
        <v/>
      </c>
      <c r="B839" s="5">
        <f>Sheet1!E839</f>
        <v/>
      </c>
      <c r="C839" s="6">
        <f>UPPER(Sheet1!B839)</f>
        <v/>
      </c>
      <c r="D839" s="7">
        <f>IF(Sheet1!F839="F","FEMALE","MALE")</f>
        <v/>
      </c>
      <c r="E839" s="6">
        <f>UPPER(Sheet1!G839)</f>
        <v/>
      </c>
      <c r="F839" s="6">
        <f>UPPER(Sheet1!H839)</f>
        <v/>
      </c>
      <c r="G839" s="5">
        <f>TEXT(Sheet1!C839,"dd/mm/yyyy") &amp; "," &amp; Sheet1!D839</f>
        <v/>
      </c>
      <c r="H839" s="38">
        <f>UPPER(Sheet1!J839 &amp; "," &amp; Sheet1!K839 &amp; "," &amp; Sheet1!L839)</f>
        <v/>
      </c>
      <c r="I839" s="45">
        <f>Sheet1!I839</f>
        <v/>
      </c>
      <c r="J839" s="5">
        <f>Sheet1!M839 &amp; "," &amp; TEXT(Sheet1!N839,"dd/mm/yy")</f>
        <v/>
      </c>
      <c r="K839" s="5" t="inlineStr">
        <is>
          <t>PRINTED</t>
        </is>
      </c>
      <c r="L839" t="inlineStr">
        <is>
          <t>25/03/2026</t>
        </is>
      </c>
      <c r="M839" s="30" t="inlineStr">
        <is>
          <t>MANISH KATARIA, VICE CONSUL</t>
        </is>
      </c>
      <c r="N839" s="30" t="n"/>
    </row>
    <row r="840">
      <c r="A840" s="4">
        <f>Sheet1!A840 &amp; "/" &amp; "2025"</f>
        <v/>
      </c>
      <c r="B840" s="5">
        <f>Sheet1!E840</f>
        <v/>
      </c>
      <c r="C840" s="6">
        <f>UPPER(Sheet1!B840)</f>
        <v/>
      </c>
      <c r="D840" s="7">
        <f>IF(Sheet1!F840="F","FEMALE","MALE")</f>
        <v/>
      </c>
      <c r="E840" s="6">
        <f>UPPER(Sheet1!G840)</f>
        <v/>
      </c>
      <c r="F840" s="6">
        <f>UPPER(Sheet1!H840)</f>
        <v/>
      </c>
      <c r="G840" s="5">
        <f>TEXT(Sheet1!C840,"dd/mm/yyyy") &amp; "," &amp; Sheet1!D840</f>
        <v/>
      </c>
      <c r="H840" s="38">
        <f>UPPER(Sheet1!J840 &amp; "," &amp; Sheet1!K840 &amp; "," &amp; Sheet1!L840)</f>
        <v/>
      </c>
      <c r="I840" s="45">
        <f>Sheet1!I840</f>
        <v/>
      </c>
      <c r="J840" s="5">
        <f>Sheet1!M840 &amp; "," &amp; TEXT(Sheet1!N840,"dd/mm/yy")</f>
        <v/>
      </c>
      <c r="K840" s="5" t="inlineStr">
        <is>
          <t>PRINTED</t>
        </is>
      </c>
      <c r="L840" t="inlineStr">
        <is>
          <t>25/03/2026</t>
        </is>
      </c>
      <c r="M840" s="30" t="inlineStr">
        <is>
          <t>MANISH KATARIA, VICE CONSUL</t>
        </is>
      </c>
      <c r="N840" s="30" t="n"/>
    </row>
    <row r="841">
      <c r="A841" s="4">
        <f>Sheet1!A841 &amp; "/" &amp; "2025"</f>
        <v/>
      </c>
      <c r="B841" s="5">
        <f>Sheet1!E841</f>
        <v/>
      </c>
      <c r="C841" s="6">
        <f>UPPER(Sheet1!B841)</f>
        <v/>
      </c>
      <c r="D841" s="7">
        <f>IF(Sheet1!F841="F","FEMALE","MALE")</f>
        <v/>
      </c>
      <c r="E841" s="6">
        <f>UPPER(Sheet1!G841)</f>
        <v/>
      </c>
      <c r="F841" s="6">
        <f>UPPER(Sheet1!H841)</f>
        <v/>
      </c>
      <c r="G841" s="5">
        <f>TEXT(Sheet1!C841,"dd/mm/yyyy") &amp; "," &amp; Sheet1!D841</f>
        <v/>
      </c>
      <c r="H841" s="38">
        <f>UPPER(Sheet1!J841 &amp; "," &amp; Sheet1!K841 &amp; "," &amp; Sheet1!L841)</f>
        <v/>
      </c>
      <c r="I841" s="45">
        <f>Sheet1!I841</f>
        <v/>
      </c>
      <c r="J841" s="5">
        <f>Sheet1!M841 &amp; "," &amp; TEXT(Sheet1!N841,"dd/mm/yy")</f>
        <v/>
      </c>
      <c r="K841" s="5" t="inlineStr">
        <is>
          <t>PRINTED</t>
        </is>
      </c>
      <c r="L841" t="inlineStr">
        <is>
          <t>25/03/2026</t>
        </is>
      </c>
      <c r="M841" s="30" t="inlineStr">
        <is>
          <t>MANISH KATARIA, VICE CONSUL</t>
        </is>
      </c>
      <c r="N841" s="30" t="n"/>
    </row>
    <row r="842">
      <c r="A842" s="4">
        <f>Sheet1!A842 &amp; "/" &amp; "2025"</f>
        <v/>
      </c>
      <c r="B842" s="5">
        <f>Sheet1!E842</f>
        <v/>
      </c>
      <c r="C842" s="6">
        <f>UPPER(Sheet1!B842)</f>
        <v/>
      </c>
      <c r="D842" s="7">
        <f>IF(Sheet1!F842="F","FEMALE","MALE")</f>
        <v/>
      </c>
      <c r="E842" s="6">
        <f>UPPER(Sheet1!G842)</f>
        <v/>
      </c>
      <c r="F842" s="6">
        <f>UPPER(Sheet1!H842)</f>
        <v/>
      </c>
      <c r="G842" s="5">
        <f>TEXT(Sheet1!C842,"dd/mm/yyyy") &amp; "," &amp; Sheet1!D842</f>
        <v/>
      </c>
      <c r="H842" s="38">
        <f>UPPER(Sheet1!J842 &amp; "," &amp; Sheet1!K842 &amp; "," &amp; Sheet1!L842)</f>
        <v/>
      </c>
      <c r="I842" s="45">
        <f>Sheet1!I842</f>
        <v/>
      </c>
      <c r="J842" s="5">
        <f>Sheet1!M842 &amp; "," &amp; TEXT(Sheet1!N842,"dd/mm/yy")</f>
        <v/>
      </c>
      <c r="K842" s="5" t="inlineStr">
        <is>
          <t>PRINTED</t>
        </is>
      </c>
      <c r="L842" t="inlineStr">
        <is>
          <t>25/03/2026</t>
        </is>
      </c>
      <c r="M842" s="30" t="inlineStr">
        <is>
          <t>MANISH KATARIA, VICE CONSUL</t>
        </is>
      </c>
      <c r="N842" s="30" t="n"/>
    </row>
    <row r="843">
      <c r="A843" s="4">
        <f>Sheet1!A843 &amp; "/" &amp; "2025"</f>
        <v/>
      </c>
      <c r="B843" s="5">
        <f>Sheet1!E843</f>
        <v/>
      </c>
      <c r="C843" s="6">
        <f>UPPER(Sheet1!B843)</f>
        <v/>
      </c>
      <c r="D843" s="7">
        <f>IF(Sheet1!F843="F","FEMALE","MALE")</f>
        <v/>
      </c>
      <c r="E843" s="6">
        <f>UPPER(Sheet1!G843)</f>
        <v/>
      </c>
      <c r="F843" s="6">
        <f>UPPER(Sheet1!H843)</f>
        <v/>
      </c>
      <c r="G843" s="5">
        <f>TEXT(Sheet1!C843,"dd/mm/yyyy") &amp; "," &amp; Sheet1!D843</f>
        <v/>
      </c>
      <c r="H843" s="38">
        <f>UPPER(Sheet1!J843 &amp; "," &amp; Sheet1!K843 &amp; "," &amp; Sheet1!L843)</f>
        <v/>
      </c>
      <c r="I843" s="45">
        <f>Sheet1!I843</f>
        <v/>
      </c>
      <c r="J843" s="5">
        <f>Sheet1!M843 &amp; "," &amp; TEXT(Sheet1!N843,"dd/mm/yy")</f>
        <v/>
      </c>
      <c r="K843" s="5" t="inlineStr">
        <is>
          <t>PRINTED</t>
        </is>
      </c>
      <c r="L843" t="inlineStr">
        <is>
          <t>25/03/2026</t>
        </is>
      </c>
      <c r="M843" s="30" t="inlineStr">
        <is>
          <t>MANISH KATARIA, VICE CONSUL</t>
        </is>
      </c>
      <c r="N843" s="30" t="n"/>
    </row>
    <row r="844">
      <c r="A844" s="4">
        <f>Sheet1!A844 &amp; "/" &amp; "2025"</f>
        <v/>
      </c>
      <c r="B844" s="5">
        <f>Sheet1!E844</f>
        <v/>
      </c>
      <c r="C844" s="6">
        <f>UPPER(Sheet1!B844)</f>
        <v/>
      </c>
      <c r="D844" s="7">
        <f>IF(Sheet1!F844="F","FEMALE","MALE")</f>
        <v/>
      </c>
      <c r="E844" s="6">
        <f>UPPER(Sheet1!G844)</f>
        <v/>
      </c>
      <c r="F844" s="6">
        <f>UPPER(Sheet1!H844)</f>
        <v/>
      </c>
      <c r="G844" s="5">
        <f>TEXT(Sheet1!C844,"dd/mm/yyyy") &amp; "," &amp; Sheet1!D844</f>
        <v/>
      </c>
      <c r="H844" s="38">
        <f>UPPER(Sheet1!J844 &amp; "," &amp; Sheet1!K844 &amp; "," &amp; Sheet1!L844)</f>
        <v/>
      </c>
      <c r="I844" s="45">
        <f>Sheet1!I844</f>
        <v/>
      </c>
      <c r="J844" s="5">
        <f>Sheet1!M844 &amp; "," &amp; TEXT(Sheet1!N844,"dd/mm/yy")</f>
        <v/>
      </c>
      <c r="K844" s="5" t="inlineStr">
        <is>
          <t>PRINTED</t>
        </is>
      </c>
      <c r="L844" t="inlineStr">
        <is>
          <t>25/03/2026</t>
        </is>
      </c>
      <c r="M844" s="30" t="inlineStr">
        <is>
          <t>MANISH KATARIA, VICE CONSUL</t>
        </is>
      </c>
      <c r="N844" s="30" t="n"/>
    </row>
    <row r="845">
      <c r="A845" s="4">
        <f>Sheet1!A845 &amp; "/" &amp; "2025"</f>
        <v/>
      </c>
      <c r="B845" s="5">
        <f>Sheet1!E845</f>
        <v/>
      </c>
      <c r="C845" s="6">
        <f>UPPER(Sheet1!B845)</f>
        <v/>
      </c>
      <c r="D845" s="7">
        <f>IF(Sheet1!F845="F","FEMALE","MALE")</f>
        <v/>
      </c>
      <c r="E845" s="6">
        <f>UPPER(Sheet1!G845)</f>
        <v/>
      </c>
      <c r="F845" s="6">
        <f>UPPER(Sheet1!H845)</f>
        <v/>
      </c>
      <c r="G845" s="5">
        <f>TEXT(Sheet1!C845,"dd/mm/yyyy") &amp; "," &amp; Sheet1!D845</f>
        <v/>
      </c>
      <c r="H845" s="38">
        <f>UPPER(Sheet1!J845 &amp; "," &amp; Sheet1!K845 &amp; "," &amp; Sheet1!L845)</f>
        <v/>
      </c>
      <c r="I845" s="45">
        <f>Sheet1!I845</f>
        <v/>
      </c>
      <c r="J845" s="5">
        <f>Sheet1!M845 &amp; "," &amp; TEXT(Sheet1!N845,"dd/mm/yy")</f>
        <v/>
      </c>
      <c r="K845" s="5" t="inlineStr">
        <is>
          <t>PRINTED</t>
        </is>
      </c>
      <c r="L845" t="inlineStr">
        <is>
          <t>25/03/2026</t>
        </is>
      </c>
      <c r="M845" s="30" t="inlineStr">
        <is>
          <t>MANISH KATARIA, VICE CONSUL</t>
        </is>
      </c>
      <c r="N845" s="30" t="n"/>
    </row>
    <row r="846">
      <c r="A846" s="4">
        <f>Sheet1!A846 &amp; "/" &amp; "2025"</f>
        <v/>
      </c>
      <c r="B846" s="5">
        <f>Sheet1!E846</f>
        <v/>
      </c>
      <c r="C846" s="6">
        <f>UPPER(Sheet1!B846)</f>
        <v/>
      </c>
      <c r="D846" s="7">
        <f>IF(Sheet1!F846="F","FEMALE","MALE")</f>
        <v/>
      </c>
      <c r="E846" s="6">
        <f>UPPER(Sheet1!G846)</f>
        <v/>
      </c>
      <c r="F846" s="6">
        <f>UPPER(Sheet1!H846)</f>
        <v/>
      </c>
      <c r="G846" s="5">
        <f>TEXT(Sheet1!C846,"dd/mm/yyyy") &amp; "," &amp; Sheet1!D846</f>
        <v/>
      </c>
      <c r="H846" s="38">
        <f>UPPER(Sheet1!J846 &amp; "," &amp; Sheet1!K846 &amp; "," &amp; Sheet1!L846)</f>
        <v/>
      </c>
      <c r="I846" s="45">
        <f>Sheet1!I846</f>
        <v/>
      </c>
      <c r="J846" s="5">
        <f>Sheet1!M846 &amp; "," &amp; TEXT(Sheet1!N846,"dd/mm/yy")</f>
        <v/>
      </c>
      <c r="K846" s="5" t="inlineStr">
        <is>
          <t>PRINTED</t>
        </is>
      </c>
      <c r="L846" t="inlineStr">
        <is>
          <t>25/03/2026</t>
        </is>
      </c>
      <c r="M846" s="30" t="inlineStr">
        <is>
          <t>MANISH KATARIA, VICE CONSUL</t>
        </is>
      </c>
      <c r="N846" s="30" t="n"/>
    </row>
    <row r="847">
      <c r="A847" s="4">
        <f>Sheet1!A847 &amp; "/" &amp; "2025"</f>
        <v/>
      </c>
      <c r="B847" s="5">
        <f>Sheet1!E847</f>
        <v/>
      </c>
      <c r="C847" s="6">
        <f>UPPER(Sheet1!B847)</f>
        <v/>
      </c>
      <c r="D847" s="7">
        <f>IF(Sheet1!F847="F","FEMALE","MALE")</f>
        <v/>
      </c>
      <c r="E847" s="6">
        <f>UPPER(Sheet1!G847)</f>
        <v/>
      </c>
      <c r="F847" s="6">
        <f>UPPER(Sheet1!H847)</f>
        <v/>
      </c>
      <c r="G847" s="5">
        <f>TEXT(Sheet1!C847,"dd/mm/yyyy") &amp; "," &amp; Sheet1!D847</f>
        <v/>
      </c>
      <c r="H847" s="38">
        <f>UPPER(Sheet1!J847 &amp; "," &amp; Sheet1!K847 &amp; "," &amp; Sheet1!L847)</f>
        <v/>
      </c>
      <c r="I847" s="45">
        <f>Sheet1!I847</f>
        <v/>
      </c>
      <c r="J847" s="5">
        <f>Sheet1!M847 &amp; "," &amp; TEXT(Sheet1!N847,"dd/mm/yy")</f>
        <v/>
      </c>
      <c r="K847" s="5" t="inlineStr">
        <is>
          <t>PRINTED</t>
        </is>
      </c>
      <c r="L847" t="inlineStr">
        <is>
          <t>25/03/2026</t>
        </is>
      </c>
      <c r="M847" s="30" t="inlineStr">
        <is>
          <t>MANISH KATARIA, VICE CONSUL</t>
        </is>
      </c>
      <c r="N847" s="30" t="n"/>
    </row>
    <row r="848">
      <c r="A848" s="4">
        <f>Sheet1!A848 &amp; "/" &amp; "2025"</f>
        <v/>
      </c>
      <c r="B848" s="5">
        <f>Sheet1!E848</f>
        <v/>
      </c>
      <c r="C848" s="6">
        <f>UPPER(Sheet1!B848)</f>
        <v/>
      </c>
      <c r="D848" s="7">
        <f>IF(Sheet1!F848="F","FEMALE","MALE")</f>
        <v/>
      </c>
      <c r="E848" s="6">
        <f>UPPER(Sheet1!G848)</f>
        <v/>
      </c>
      <c r="F848" s="6">
        <f>UPPER(Sheet1!H848)</f>
        <v/>
      </c>
      <c r="G848" s="5">
        <f>TEXT(Sheet1!C848,"dd/mm/yyyy") &amp; "," &amp; Sheet1!D848</f>
        <v/>
      </c>
      <c r="H848" s="38">
        <f>UPPER(Sheet1!J848 &amp; "," &amp; Sheet1!K848 &amp; "," &amp; Sheet1!L848)</f>
        <v/>
      </c>
      <c r="I848" s="45">
        <f>Sheet1!I848</f>
        <v/>
      </c>
      <c r="J848" s="5">
        <f>Sheet1!M848 &amp; "," &amp; TEXT(Sheet1!N848,"dd/mm/yy")</f>
        <v/>
      </c>
      <c r="K848" s="5" t="inlineStr">
        <is>
          <t>PRINTED</t>
        </is>
      </c>
      <c r="L848" t="inlineStr">
        <is>
          <t>25/03/2026</t>
        </is>
      </c>
      <c r="M848" s="30" t="inlineStr">
        <is>
          <t>MANISH KATARIA, VICE CONSUL</t>
        </is>
      </c>
      <c r="N848" s="30" t="n"/>
    </row>
    <row r="849">
      <c r="A849" s="4">
        <f>Sheet1!A849 &amp; "/" &amp; "2025"</f>
        <v/>
      </c>
      <c r="B849" s="5">
        <f>Sheet1!E849</f>
        <v/>
      </c>
      <c r="C849" s="6">
        <f>UPPER(Sheet1!B849)</f>
        <v/>
      </c>
      <c r="D849" s="7">
        <f>IF(Sheet1!F849="F","FEMALE","MALE")</f>
        <v/>
      </c>
      <c r="E849" s="6">
        <f>UPPER(Sheet1!G849)</f>
        <v/>
      </c>
      <c r="F849" s="6">
        <f>UPPER(Sheet1!H849)</f>
        <v/>
      </c>
      <c r="G849" s="5">
        <f>TEXT(Sheet1!C849,"dd/mm/yyyy") &amp; "," &amp; Sheet1!D849</f>
        <v/>
      </c>
      <c r="H849" s="38">
        <f>UPPER(Sheet1!J849 &amp; "," &amp; Sheet1!K849 &amp; "," &amp; Sheet1!L849)</f>
        <v/>
      </c>
      <c r="I849" s="45">
        <f>Sheet1!I849</f>
        <v/>
      </c>
      <c r="J849" s="5">
        <f>Sheet1!M849 &amp; "," &amp; TEXT(Sheet1!N849,"dd/mm/yy")</f>
        <v/>
      </c>
      <c r="K849" s="5" t="inlineStr">
        <is>
          <t>PRINTED</t>
        </is>
      </c>
      <c r="L849" t="inlineStr">
        <is>
          <t>25/03/2026</t>
        </is>
      </c>
      <c r="M849" s="30" t="inlineStr">
        <is>
          <t>MANISH KATARIA, VICE CONSUL</t>
        </is>
      </c>
      <c r="N849" s="30" t="n"/>
    </row>
    <row r="850">
      <c r="A850" s="4">
        <f>Sheet1!A850 &amp; "/" &amp; "2025"</f>
        <v/>
      </c>
      <c r="B850" s="5">
        <f>Sheet1!E850</f>
        <v/>
      </c>
      <c r="C850" s="6">
        <f>UPPER(Sheet1!B850)</f>
        <v/>
      </c>
      <c r="D850" s="7">
        <f>IF(Sheet1!F850="F","FEMALE","MALE")</f>
        <v/>
      </c>
      <c r="E850" s="6">
        <f>UPPER(Sheet1!G850)</f>
        <v/>
      </c>
      <c r="F850" s="6">
        <f>UPPER(Sheet1!H850)</f>
        <v/>
      </c>
      <c r="G850" s="5">
        <f>TEXT(Sheet1!C850,"dd/mm/yyyy") &amp; "," &amp; Sheet1!D850</f>
        <v/>
      </c>
      <c r="H850" s="38">
        <f>UPPER(Sheet1!J850 &amp; "," &amp; Sheet1!K850 &amp; "," &amp; Sheet1!L850)</f>
        <v/>
      </c>
      <c r="I850" s="45">
        <f>Sheet1!I850</f>
        <v/>
      </c>
      <c r="J850" s="5">
        <f>Sheet1!M850 &amp; "," &amp; TEXT(Sheet1!N850,"dd/mm/yy")</f>
        <v/>
      </c>
      <c r="K850" s="5" t="inlineStr">
        <is>
          <t>PRINTED</t>
        </is>
      </c>
      <c r="L850" t="inlineStr">
        <is>
          <t>25/03/2026</t>
        </is>
      </c>
      <c r="M850" s="30" t="inlineStr">
        <is>
          <t>MANISH KATARIA, VICE CONSUL</t>
        </is>
      </c>
      <c r="N850" s="30" t="n"/>
    </row>
    <row r="851">
      <c r="A851" s="4">
        <f>Sheet1!A851 &amp; "/" &amp; "2025"</f>
        <v/>
      </c>
      <c r="B851" s="5">
        <f>Sheet1!E851</f>
        <v/>
      </c>
      <c r="C851" s="6">
        <f>UPPER(Sheet1!B851)</f>
        <v/>
      </c>
      <c r="D851" s="7">
        <f>IF(Sheet1!F851="F","FEMALE","MALE")</f>
        <v/>
      </c>
      <c r="E851" s="6">
        <f>UPPER(Sheet1!G851)</f>
        <v/>
      </c>
      <c r="F851" s="6">
        <f>UPPER(Sheet1!H851)</f>
        <v/>
      </c>
      <c r="G851" s="5">
        <f>TEXT(Sheet1!C851,"dd/mm/yyyy") &amp; "," &amp; Sheet1!D851</f>
        <v/>
      </c>
      <c r="H851" s="38">
        <f>UPPER(Sheet1!J851 &amp; "," &amp; Sheet1!K851 &amp; "," &amp; Sheet1!L851)</f>
        <v/>
      </c>
      <c r="I851" s="45">
        <f>Sheet1!I851</f>
        <v/>
      </c>
      <c r="J851" s="5">
        <f>Sheet1!M851 &amp; "," &amp; TEXT(Sheet1!N851,"dd/mm/yy")</f>
        <v/>
      </c>
      <c r="K851" s="5" t="inlineStr">
        <is>
          <t>PRINTED</t>
        </is>
      </c>
      <c r="L851" t="inlineStr">
        <is>
          <t>25/03/2026</t>
        </is>
      </c>
      <c r="M851" s="30" t="inlineStr">
        <is>
          <t>MANISH KATARIA, VICE CONSUL</t>
        </is>
      </c>
      <c r="N851" s="30" t="n"/>
    </row>
    <row r="852">
      <c r="A852" s="4">
        <f>Sheet1!A852 &amp; "/" &amp; "2025"</f>
        <v/>
      </c>
      <c r="B852" s="5">
        <f>Sheet1!E852</f>
        <v/>
      </c>
      <c r="C852" s="6">
        <f>UPPER(Sheet1!B852)</f>
        <v/>
      </c>
      <c r="D852" s="7">
        <f>IF(Sheet1!F852="F","FEMALE","MALE")</f>
        <v/>
      </c>
      <c r="E852" s="6">
        <f>UPPER(Sheet1!G852)</f>
        <v/>
      </c>
      <c r="F852" s="6">
        <f>UPPER(Sheet1!H852)</f>
        <v/>
      </c>
      <c r="G852" s="5">
        <f>TEXT(Sheet1!C852,"dd/mm/yyyy") &amp; "," &amp; Sheet1!D852</f>
        <v/>
      </c>
      <c r="H852" s="38">
        <f>UPPER(Sheet1!J852 &amp; "," &amp; Sheet1!K852 &amp; "," &amp; Sheet1!L852)</f>
        <v/>
      </c>
      <c r="I852" s="45">
        <f>Sheet1!I852</f>
        <v/>
      </c>
      <c r="J852" s="5">
        <f>Sheet1!M852 &amp; "," &amp; TEXT(Sheet1!N852,"dd/mm/yy")</f>
        <v/>
      </c>
      <c r="K852" s="5" t="inlineStr">
        <is>
          <t>PRINTED</t>
        </is>
      </c>
      <c r="L852" t="inlineStr">
        <is>
          <t>25/03/2026</t>
        </is>
      </c>
      <c r="M852" s="30" t="inlineStr">
        <is>
          <t>MANISH KATARIA, VICE CONSUL</t>
        </is>
      </c>
      <c r="N852" s="30" t="n"/>
    </row>
    <row r="853">
      <c r="A853" s="4">
        <f>Sheet1!A853 &amp; "/" &amp; "2025"</f>
        <v/>
      </c>
      <c r="B853" s="5">
        <f>Sheet1!E853</f>
        <v/>
      </c>
      <c r="C853" s="6">
        <f>UPPER(Sheet1!B853)</f>
        <v/>
      </c>
      <c r="D853" s="7">
        <f>IF(Sheet1!F853="F","FEMALE","MALE")</f>
        <v/>
      </c>
      <c r="E853" s="6">
        <f>UPPER(Sheet1!G853)</f>
        <v/>
      </c>
      <c r="F853" s="6">
        <f>UPPER(Sheet1!H853)</f>
        <v/>
      </c>
      <c r="G853" s="5">
        <f>TEXT(Sheet1!C853,"dd/mm/yyyy") &amp; "," &amp; Sheet1!D853</f>
        <v/>
      </c>
      <c r="H853" s="38">
        <f>UPPER(Sheet1!J853 &amp; "," &amp; Sheet1!K853 &amp; "," &amp; Sheet1!L853)</f>
        <v/>
      </c>
      <c r="I853" s="45">
        <f>Sheet1!I853</f>
        <v/>
      </c>
      <c r="J853" s="5">
        <f>Sheet1!M853 &amp; "," &amp; TEXT(Sheet1!N853,"dd/mm/yy")</f>
        <v/>
      </c>
      <c r="K853" s="5" t="inlineStr">
        <is>
          <t>PRINTED</t>
        </is>
      </c>
      <c r="L853" t="inlineStr">
        <is>
          <t>25/03/2026</t>
        </is>
      </c>
      <c r="M853" s="30" t="inlineStr">
        <is>
          <t>MANISH KATARIA, VICE CONSUL</t>
        </is>
      </c>
      <c r="N853" s="30" t="n"/>
    </row>
    <row r="854">
      <c r="A854" s="4">
        <f>Sheet1!A854 &amp; "/" &amp; "2025"</f>
        <v/>
      </c>
      <c r="B854" s="5">
        <f>Sheet1!E854</f>
        <v/>
      </c>
      <c r="C854" s="6">
        <f>UPPER(Sheet1!B854)</f>
        <v/>
      </c>
      <c r="D854" s="7">
        <f>IF(Sheet1!F854="F","FEMALE","MALE")</f>
        <v/>
      </c>
      <c r="E854" s="6">
        <f>UPPER(Sheet1!G854)</f>
        <v/>
      </c>
      <c r="F854" s="6">
        <f>UPPER(Sheet1!H854)</f>
        <v/>
      </c>
      <c r="G854" s="5">
        <f>TEXT(Sheet1!C854,"dd/mm/yyyy") &amp; "," &amp; Sheet1!D854</f>
        <v/>
      </c>
      <c r="H854" s="38">
        <f>UPPER(Sheet1!J854 &amp; "," &amp; Sheet1!K854 &amp; "," &amp; Sheet1!L854)</f>
        <v/>
      </c>
      <c r="I854" s="45">
        <f>Sheet1!I854</f>
        <v/>
      </c>
      <c r="J854" s="5">
        <f>Sheet1!M854 &amp; "," &amp; TEXT(Sheet1!N854,"dd/mm/yy")</f>
        <v/>
      </c>
      <c r="K854" s="5" t="inlineStr">
        <is>
          <t>PRINTED</t>
        </is>
      </c>
      <c r="L854" t="inlineStr">
        <is>
          <t>25/03/2026</t>
        </is>
      </c>
      <c r="M854" s="30" t="inlineStr">
        <is>
          <t>MANISH KATARIA, VICE CONSUL</t>
        </is>
      </c>
      <c r="N854" s="30" t="n"/>
    </row>
    <row r="855">
      <c r="A855" s="4">
        <f>Sheet1!A855 &amp; "/" &amp; "2025"</f>
        <v/>
      </c>
      <c r="B855" s="5">
        <f>Sheet1!E855</f>
        <v/>
      </c>
      <c r="C855" s="6">
        <f>UPPER(Sheet1!B855)</f>
        <v/>
      </c>
      <c r="D855" s="7">
        <f>IF(Sheet1!F855="F","FEMALE","MALE")</f>
        <v/>
      </c>
      <c r="E855" s="6">
        <f>UPPER(Sheet1!G855)</f>
        <v/>
      </c>
      <c r="F855" s="6">
        <f>UPPER(Sheet1!H855)</f>
        <v/>
      </c>
      <c r="G855" s="5">
        <f>TEXT(Sheet1!C855,"dd/mm/yyyy") &amp; "," &amp; Sheet1!D855</f>
        <v/>
      </c>
      <c r="H855" s="38">
        <f>UPPER(Sheet1!J855 &amp; "," &amp; Sheet1!K855 &amp; "," &amp; Sheet1!L855)</f>
        <v/>
      </c>
      <c r="I855" s="45">
        <f>Sheet1!I855</f>
        <v/>
      </c>
      <c r="J855" s="5">
        <f>Sheet1!M855 &amp; "," &amp; TEXT(Sheet1!N855,"dd/mm/yy")</f>
        <v/>
      </c>
      <c r="K855" s="5" t="inlineStr">
        <is>
          <t>PRINTED</t>
        </is>
      </c>
      <c r="L855" t="inlineStr">
        <is>
          <t>25/03/2026</t>
        </is>
      </c>
      <c r="M855" s="30" t="inlineStr">
        <is>
          <t>MANISH KATARIA, VICE CONSUL</t>
        </is>
      </c>
      <c r="N855" s="30" t="n"/>
    </row>
    <row r="856">
      <c r="A856" s="4">
        <f>Sheet1!A856 &amp; "/" &amp; "2025"</f>
        <v/>
      </c>
      <c r="B856" s="5">
        <f>Sheet1!E856</f>
        <v/>
      </c>
      <c r="C856" s="6">
        <f>UPPER(Sheet1!B856)</f>
        <v/>
      </c>
      <c r="D856" s="7">
        <f>IF(Sheet1!F856="F","FEMALE","MALE")</f>
        <v/>
      </c>
      <c r="E856" s="6">
        <f>UPPER(Sheet1!G856)</f>
        <v/>
      </c>
      <c r="F856" s="6">
        <f>UPPER(Sheet1!H856)</f>
        <v/>
      </c>
      <c r="G856" s="5">
        <f>TEXT(Sheet1!C856,"dd/mm/yyyy") &amp; "," &amp; Sheet1!D856</f>
        <v/>
      </c>
      <c r="H856" s="38">
        <f>UPPER(Sheet1!J856 &amp; "," &amp; Sheet1!K856 &amp; "," &amp; Sheet1!L856)</f>
        <v/>
      </c>
      <c r="I856" s="45">
        <f>Sheet1!I856</f>
        <v/>
      </c>
      <c r="J856" s="5">
        <f>Sheet1!M856 &amp; "," &amp; TEXT(Sheet1!N856,"dd/mm/yy")</f>
        <v/>
      </c>
      <c r="K856" s="5" t="inlineStr">
        <is>
          <t>PRINTED</t>
        </is>
      </c>
      <c r="L856" t="inlineStr">
        <is>
          <t>25/03/2026</t>
        </is>
      </c>
      <c r="M856" s="30" t="inlineStr">
        <is>
          <t>MANISH KATARIA, VICE CONSUL</t>
        </is>
      </c>
      <c r="N856" s="30" t="n"/>
    </row>
    <row r="857">
      <c r="A857" s="4">
        <f>Sheet1!A857 &amp; "/" &amp; "2025"</f>
        <v/>
      </c>
      <c r="B857" s="5">
        <f>Sheet1!E857</f>
        <v/>
      </c>
      <c r="C857" s="6">
        <f>UPPER(Sheet1!B857)</f>
        <v/>
      </c>
      <c r="D857" s="7">
        <f>IF(Sheet1!F857="F","FEMALE","MALE")</f>
        <v/>
      </c>
      <c r="E857" s="6">
        <f>UPPER(Sheet1!G857)</f>
        <v/>
      </c>
      <c r="F857" s="6">
        <f>UPPER(Sheet1!H857)</f>
        <v/>
      </c>
      <c r="G857" s="5">
        <f>TEXT(Sheet1!C857,"dd/mm/yyyy") &amp; "," &amp; Sheet1!D857</f>
        <v/>
      </c>
      <c r="H857" s="38">
        <f>UPPER(Sheet1!J857 &amp; "," &amp; Sheet1!K857 &amp; "," &amp; Sheet1!L857)</f>
        <v/>
      </c>
      <c r="I857" s="45">
        <f>Sheet1!I857</f>
        <v/>
      </c>
      <c r="J857" s="5">
        <f>Sheet1!M857 &amp; "," &amp; TEXT(Sheet1!N857,"dd/mm/yy")</f>
        <v/>
      </c>
      <c r="K857" s="5" t="inlineStr">
        <is>
          <t>PRINTED</t>
        </is>
      </c>
      <c r="L857" t="inlineStr">
        <is>
          <t>25/03/2026</t>
        </is>
      </c>
      <c r="M857" s="30" t="inlineStr">
        <is>
          <t>MANISH KATARIA, VICE CONSUL</t>
        </is>
      </c>
      <c r="N857" s="30" t="n"/>
    </row>
    <row r="858">
      <c r="A858" s="4">
        <f>Sheet1!A858 &amp; "/" &amp; "2025"</f>
        <v/>
      </c>
      <c r="B858" s="5">
        <f>Sheet1!E858</f>
        <v/>
      </c>
      <c r="C858" s="6">
        <f>UPPER(Sheet1!B858)</f>
        <v/>
      </c>
      <c r="D858" s="7">
        <f>IF(Sheet1!F858="F","FEMALE","MALE")</f>
        <v/>
      </c>
      <c r="E858" s="6">
        <f>UPPER(Sheet1!G858)</f>
        <v/>
      </c>
      <c r="F858" s="6">
        <f>UPPER(Sheet1!H858)</f>
        <v/>
      </c>
      <c r="G858" s="5">
        <f>TEXT(Sheet1!C858,"dd/mm/yyyy") &amp; "," &amp; Sheet1!D858</f>
        <v/>
      </c>
      <c r="H858" s="38">
        <f>UPPER(Sheet1!J858 &amp; "," &amp; Sheet1!K858 &amp; "," &amp; Sheet1!L858)</f>
        <v/>
      </c>
      <c r="I858" s="45">
        <f>Sheet1!I858</f>
        <v/>
      </c>
      <c r="J858" s="5">
        <f>Sheet1!M858 &amp; "," &amp; TEXT(Sheet1!N858,"dd/mm/yy")</f>
        <v/>
      </c>
      <c r="K858" s="5" t="inlineStr">
        <is>
          <t>PRINTED</t>
        </is>
      </c>
      <c r="L858" t="inlineStr">
        <is>
          <t>25/03/2026</t>
        </is>
      </c>
      <c r="M858" s="30" t="inlineStr">
        <is>
          <t>MANISH KATARIA, VICE CONSUL</t>
        </is>
      </c>
      <c r="N858" s="30" t="n"/>
    </row>
    <row r="859">
      <c r="A859" s="4">
        <f>Sheet1!A859 &amp; "/" &amp; "2025"</f>
        <v/>
      </c>
      <c r="B859" s="5">
        <f>Sheet1!E859</f>
        <v/>
      </c>
      <c r="C859" s="6">
        <f>UPPER(Sheet1!B859)</f>
        <v/>
      </c>
      <c r="D859" s="7">
        <f>IF(Sheet1!F859="F","FEMALE","MALE")</f>
        <v/>
      </c>
      <c r="E859" s="6">
        <f>UPPER(Sheet1!G859)</f>
        <v/>
      </c>
      <c r="F859" s="6">
        <f>UPPER(Sheet1!H859)</f>
        <v/>
      </c>
      <c r="G859" s="5">
        <f>TEXT(Sheet1!C859,"dd/mm/yyyy") &amp; "," &amp; Sheet1!D859</f>
        <v/>
      </c>
      <c r="H859" s="38">
        <f>UPPER(Sheet1!J859 &amp; "," &amp; Sheet1!K859 &amp; "," &amp; Sheet1!L859)</f>
        <v/>
      </c>
      <c r="I859" s="45">
        <f>Sheet1!I859</f>
        <v/>
      </c>
      <c r="J859" s="5">
        <f>Sheet1!M859 &amp; "," &amp; TEXT(Sheet1!N859,"dd/mm/yy")</f>
        <v/>
      </c>
      <c r="K859" s="5" t="inlineStr">
        <is>
          <t>PRINTED</t>
        </is>
      </c>
      <c r="L859" t="inlineStr">
        <is>
          <t>25/03/2026</t>
        </is>
      </c>
      <c r="M859" s="30" t="inlineStr">
        <is>
          <t>MANISH KATARIA, VICE CONSUL</t>
        </is>
      </c>
      <c r="N859" s="30" t="n"/>
    </row>
    <row r="860">
      <c r="A860" s="4">
        <f>Sheet1!A860 &amp; "/" &amp; "2025"</f>
        <v/>
      </c>
      <c r="B860" s="5">
        <f>Sheet1!E860</f>
        <v/>
      </c>
      <c r="C860" s="6">
        <f>UPPER(Sheet1!B860)</f>
        <v/>
      </c>
      <c r="D860" s="7">
        <f>IF(Sheet1!F860="F","FEMALE","MALE")</f>
        <v/>
      </c>
      <c r="E860" s="6">
        <f>UPPER(Sheet1!G860)</f>
        <v/>
      </c>
      <c r="F860" s="6">
        <f>UPPER(Sheet1!H860)</f>
        <v/>
      </c>
      <c r="G860" s="5">
        <f>TEXT(Sheet1!C860,"dd/mm/yyyy") &amp; "," &amp; Sheet1!D860</f>
        <v/>
      </c>
      <c r="H860" s="38">
        <f>UPPER(Sheet1!J860 &amp; "," &amp; Sheet1!K860 &amp; "," &amp; Sheet1!L860)</f>
        <v/>
      </c>
      <c r="I860" s="45">
        <f>Sheet1!I860</f>
        <v/>
      </c>
      <c r="J860" s="5">
        <f>Sheet1!M860 &amp; "," &amp; TEXT(Sheet1!N860,"dd/mm/yy")</f>
        <v/>
      </c>
      <c r="K860" s="5" t="inlineStr">
        <is>
          <t>PRINTED</t>
        </is>
      </c>
      <c r="L860" t="inlineStr">
        <is>
          <t>25/03/2026</t>
        </is>
      </c>
      <c r="M860" s="30" t="inlineStr">
        <is>
          <t>MANISH KATARIA, VICE CONSUL</t>
        </is>
      </c>
      <c r="N860" s="30" t="n"/>
    </row>
    <row r="861">
      <c r="A861" s="4">
        <f>Sheet1!A861 &amp; "/" &amp; "2025"</f>
        <v/>
      </c>
      <c r="B861" s="5">
        <f>Sheet1!E861</f>
        <v/>
      </c>
      <c r="C861" s="6">
        <f>UPPER(Sheet1!B861)</f>
        <v/>
      </c>
      <c r="D861" s="7">
        <f>IF(Sheet1!F861="F","FEMALE","MALE")</f>
        <v/>
      </c>
      <c r="E861" s="6">
        <f>UPPER(Sheet1!G861)</f>
        <v/>
      </c>
      <c r="F861" s="6">
        <f>UPPER(Sheet1!H861)</f>
        <v/>
      </c>
      <c r="G861" s="5">
        <f>TEXT(Sheet1!C861,"dd/mm/yyyy") &amp; "," &amp; Sheet1!D861</f>
        <v/>
      </c>
      <c r="H861" s="38">
        <f>UPPER(Sheet1!J861 &amp; "," &amp; Sheet1!K861 &amp; "," &amp; Sheet1!L861)</f>
        <v/>
      </c>
      <c r="I861" s="45">
        <f>Sheet1!I861</f>
        <v/>
      </c>
      <c r="J861" s="5">
        <f>Sheet1!M861 &amp; "," &amp; TEXT(Sheet1!N861,"dd/mm/yy")</f>
        <v/>
      </c>
      <c r="K861" s="5" t="inlineStr">
        <is>
          <t>PRINTED</t>
        </is>
      </c>
      <c r="L861" t="inlineStr">
        <is>
          <t>25/03/2026</t>
        </is>
      </c>
      <c r="M861" s="30" t="inlineStr">
        <is>
          <t>MANISH KATARIA, VICE CONSUL</t>
        </is>
      </c>
      <c r="N861" s="30" t="n"/>
    </row>
    <row r="862">
      <c r="A862" s="4">
        <f>Sheet1!A862 &amp; "/" &amp; "2025"</f>
        <v/>
      </c>
      <c r="B862" s="5">
        <f>Sheet1!E862</f>
        <v/>
      </c>
      <c r="C862" s="6">
        <f>UPPER(Sheet1!B862)</f>
        <v/>
      </c>
      <c r="D862" s="7">
        <f>IF(Sheet1!F862="F","FEMALE","MALE")</f>
        <v/>
      </c>
      <c r="E862" s="6">
        <f>UPPER(Sheet1!G862)</f>
        <v/>
      </c>
      <c r="F862" s="6">
        <f>UPPER(Sheet1!H862)</f>
        <v/>
      </c>
      <c r="G862" s="5">
        <f>TEXT(Sheet1!C862,"dd/mm/yyyy") &amp; "," &amp; Sheet1!D862</f>
        <v/>
      </c>
      <c r="H862" s="38">
        <f>UPPER(Sheet1!J862 &amp; "," &amp; Sheet1!K862 &amp; "," &amp; Sheet1!L862)</f>
        <v/>
      </c>
      <c r="I862" s="45">
        <f>Sheet1!I862</f>
        <v/>
      </c>
      <c r="J862" s="5">
        <f>Sheet1!M862 &amp; "," &amp; TEXT(Sheet1!N862,"dd/mm/yy")</f>
        <v/>
      </c>
      <c r="K862" s="5" t="inlineStr">
        <is>
          <t>PRINTED</t>
        </is>
      </c>
      <c r="L862" t="inlineStr">
        <is>
          <t>25/03/2026</t>
        </is>
      </c>
      <c r="M862" s="30" t="inlineStr">
        <is>
          <t>MANISH KATARIA, VICE CONSUL</t>
        </is>
      </c>
      <c r="N862" s="30" t="n"/>
    </row>
    <row r="863">
      <c r="A863" s="4">
        <f>Sheet1!A863 &amp; "/" &amp; "2025"</f>
        <v/>
      </c>
      <c r="B863" s="5">
        <f>Sheet1!E863</f>
        <v/>
      </c>
      <c r="C863" s="6">
        <f>UPPER(Sheet1!B863)</f>
        <v/>
      </c>
      <c r="D863" s="7">
        <f>IF(Sheet1!F863="F","FEMALE","MALE")</f>
        <v/>
      </c>
      <c r="E863" s="6">
        <f>UPPER(Sheet1!G863)</f>
        <v/>
      </c>
      <c r="F863" s="6">
        <f>UPPER(Sheet1!H863)</f>
        <v/>
      </c>
      <c r="G863" s="5">
        <f>TEXT(Sheet1!C863,"dd/mm/yyyy") &amp; "," &amp; Sheet1!D863</f>
        <v/>
      </c>
      <c r="H863" s="38">
        <f>UPPER(Sheet1!J863 &amp; "," &amp; Sheet1!K863 &amp; "," &amp; Sheet1!L863)</f>
        <v/>
      </c>
      <c r="I863" s="45">
        <f>Sheet1!I863</f>
        <v/>
      </c>
      <c r="J863" s="5">
        <f>Sheet1!M863 &amp; "," &amp; TEXT(Sheet1!N863,"dd/mm/yy")</f>
        <v/>
      </c>
      <c r="K863" s="5" t="inlineStr">
        <is>
          <t>PRINTED</t>
        </is>
      </c>
      <c r="L863" t="inlineStr">
        <is>
          <t>25/03/2026</t>
        </is>
      </c>
      <c r="M863" s="30" t="inlineStr">
        <is>
          <t>MANISH KATARIA, VICE CONSUL</t>
        </is>
      </c>
      <c r="N863" s="30" t="n"/>
    </row>
    <row r="864">
      <c r="A864" s="4">
        <f>Sheet1!A864 &amp; "/" &amp; "2025"</f>
        <v/>
      </c>
      <c r="B864" s="5">
        <f>Sheet1!E864</f>
        <v/>
      </c>
      <c r="C864" s="6">
        <f>UPPER(Sheet1!B864)</f>
        <v/>
      </c>
      <c r="D864" s="7">
        <f>IF(Sheet1!F864="F","FEMALE","MALE")</f>
        <v/>
      </c>
      <c r="E864" s="6">
        <f>UPPER(Sheet1!G864)</f>
        <v/>
      </c>
      <c r="F864" s="6">
        <f>UPPER(Sheet1!H864)</f>
        <v/>
      </c>
      <c r="G864" s="5">
        <f>TEXT(Sheet1!C864,"dd/mm/yyyy") &amp; "," &amp; Sheet1!D864</f>
        <v/>
      </c>
      <c r="H864" s="38">
        <f>UPPER(Sheet1!J864 &amp; "," &amp; Sheet1!K864 &amp; "," &amp; Sheet1!L864)</f>
        <v/>
      </c>
      <c r="I864" s="45">
        <f>Sheet1!I864</f>
        <v/>
      </c>
      <c r="J864" s="5">
        <f>Sheet1!M864 &amp; "," &amp; TEXT(Sheet1!N864,"dd/mm/yy")</f>
        <v/>
      </c>
      <c r="K864" s="5" t="inlineStr">
        <is>
          <t>PRINTED</t>
        </is>
      </c>
      <c r="L864" t="inlineStr">
        <is>
          <t>25/03/2026</t>
        </is>
      </c>
      <c r="M864" s="30" t="inlineStr">
        <is>
          <t>MANISH KATARIA, VICE CONSUL</t>
        </is>
      </c>
      <c r="N864" s="30" t="n"/>
    </row>
    <row r="865">
      <c r="A865" s="4">
        <f>Sheet1!A865 &amp; "/" &amp; "2025"</f>
        <v/>
      </c>
      <c r="B865" s="5">
        <f>Sheet1!E865</f>
        <v/>
      </c>
      <c r="C865" s="6">
        <f>UPPER(Sheet1!B865)</f>
        <v/>
      </c>
      <c r="D865" s="7">
        <f>IF(Sheet1!F865="F","FEMALE","MALE")</f>
        <v/>
      </c>
      <c r="E865" s="6">
        <f>UPPER(Sheet1!G865)</f>
        <v/>
      </c>
      <c r="F865" s="6">
        <f>UPPER(Sheet1!H865)</f>
        <v/>
      </c>
      <c r="G865" s="5">
        <f>TEXT(Sheet1!C865,"dd/mm/yyyy") &amp; "," &amp; Sheet1!D865</f>
        <v/>
      </c>
      <c r="H865" s="38">
        <f>UPPER(Sheet1!J865 &amp; "," &amp; Sheet1!K865 &amp; "," &amp; Sheet1!L865)</f>
        <v/>
      </c>
      <c r="I865" s="45">
        <f>Sheet1!I865</f>
        <v/>
      </c>
      <c r="J865" s="5">
        <f>Sheet1!M865 &amp; "," &amp; TEXT(Sheet1!N865,"dd/mm/yy")</f>
        <v/>
      </c>
      <c r="K865" s="5" t="inlineStr">
        <is>
          <t>PRINTED</t>
        </is>
      </c>
      <c r="L865" t="inlineStr">
        <is>
          <t>25/03/2026</t>
        </is>
      </c>
      <c r="M865" s="30" t="inlineStr">
        <is>
          <t>MANISH KATARIA, VICE CONSUL</t>
        </is>
      </c>
      <c r="N865" s="30" t="n"/>
    </row>
    <row r="866">
      <c r="A866" s="4">
        <f>Sheet1!A866 &amp; "/" &amp; "2025"</f>
        <v/>
      </c>
      <c r="B866" s="5">
        <f>Sheet1!E866</f>
        <v/>
      </c>
      <c r="C866" s="6">
        <f>UPPER(Sheet1!B866)</f>
        <v/>
      </c>
      <c r="D866" s="7">
        <f>IF(Sheet1!F866="F","FEMALE","MALE")</f>
        <v/>
      </c>
      <c r="E866" s="6">
        <f>UPPER(Sheet1!G866)</f>
        <v/>
      </c>
      <c r="F866" s="6">
        <f>UPPER(Sheet1!H866)</f>
        <v/>
      </c>
      <c r="G866" s="5">
        <f>TEXT(Sheet1!C866,"dd/mm/yyyy") &amp; "," &amp; Sheet1!D866</f>
        <v/>
      </c>
      <c r="H866" s="38">
        <f>UPPER(Sheet1!J866 &amp; "," &amp; Sheet1!K866 &amp; "," &amp; Sheet1!L866)</f>
        <v/>
      </c>
      <c r="I866" s="45">
        <f>Sheet1!I866</f>
        <v/>
      </c>
      <c r="J866" s="5">
        <f>Sheet1!M866 &amp; "," &amp; TEXT(Sheet1!N866,"dd/mm/yy")</f>
        <v/>
      </c>
      <c r="K866" s="5" t="inlineStr">
        <is>
          <t>PRINTED</t>
        </is>
      </c>
      <c r="L866" t="inlineStr">
        <is>
          <t>25/03/2026</t>
        </is>
      </c>
      <c r="M866" s="30" t="inlineStr">
        <is>
          <t>MANISH KATARIA, VICE CONSUL</t>
        </is>
      </c>
      <c r="N866" s="30" t="n"/>
    </row>
    <row r="867">
      <c r="A867" s="4">
        <f>Sheet1!A867 &amp; "/" &amp; "2025"</f>
        <v/>
      </c>
      <c r="B867" s="5">
        <f>Sheet1!E867</f>
        <v/>
      </c>
      <c r="C867" s="6">
        <f>UPPER(Sheet1!B867)</f>
        <v/>
      </c>
      <c r="D867" s="7">
        <f>IF(Sheet1!F867="F","FEMALE","MALE")</f>
        <v/>
      </c>
      <c r="E867" s="6">
        <f>UPPER(Sheet1!G867)</f>
        <v/>
      </c>
      <c r="F867" s="6">
        <f>UPPER(Sheet1!H867)</f>
        <v/>
      </c>
      <c r="G867" s="5">
        <f>TEXT(Sheet1!C867,"dd/mm/yyyy") &amp; "," &amp; Sheet1!D867</f>
        <v/>
      </c>
      <c r="H867" s="38">
        <f>UPPER(Sheet1!J867 &amp; "," &amp; Sheet1!K867 &amp; "," &amp; Sheet1!L867)</f>
        <v/>
      </c>
      <c r="I867" s="45">
        <f>Sheet1!I867</f>
        <v/>
      </c>
      <c r="J867" s="5">
        <f>Sheet1!M867 &amp; "," &amp; TEXT(Sheet1!N867,"dd/mm/yy")</f>
        <v/>
      </c>
      <c r="K867" s="5" t="inlineStr">
        <is>
          <t>PRINTED</t>
        </is>
      </c>
      <c r="L867" t="inlineStr">
        <is>
          <t>25/03/2026</t>
        </is>
      </c>
      <c r="M867" s="30" t="inlineStr">
        <is>
          <t>MANISH KATARIA, VICE CONSUL</t>
        </is>
      </c>
      <c r="N867" s="30" t="n"/>
    </row>
    <row r="868">
      <c r="A868" s="4">
        <f>Sheet1!A868 &amp; "/" &amp; "2025"</f>
        <v/>
      </c>
      <c r="B868" s="5">
        <f>Sheet1!E868</f>
        <v/>
      </c>
      <c r="C868" s="6">
        <f>UPPER(Sheet1!B868)</f>
        <v/>
      </c>
      <c r="D868" s="7">
        <f>IF(Sheet1!F868="F","FEMALE","MALE")</f>
        <v/>
      </c>
      <c r="E868" s="6">
        <f>UPPER(Sheet1!G868)</f>
        <v/>
      </c>
      <c r="F868" s="6">
        <f>UPPER(Sheet1!H868)</f>
        <v/>
      </c>
      <c r="G868" s="5">
        <f>TEXT(Sheet1!C868,"dd/mm/yyyy") &amp; "," &amp; Sheet1!D868</f>
        <v/>
      </c>
      <c r="H868" s="38">
        <f>UPPER(Sheet1!J868 &amp; "," &amp; Sheet1!K868 &amp; "," &amp; Sheet1!L868)</f>
        <v/>
      </c>
      <c r="I868" s="45">
        <f>Sheet1!I868</f>
        <v/>
      </c>
      <c r="J868" s="5">
        <f>Sheet1!M868 &amp; "," &amp; TEXT(Sheet1!N868,"dd/mm/yy")</f>
        <v/>
      </c>
      <c r="K868" s="5" t="inlineStr">
        <is>
          <t>PRINTED</t>
        </is>
      </c>
      <c r="L868" t="inlineStr">
        <is>
          <t>25/03/2026</t>
        </is>
      </c>
      <c r="M868" s="30" t="inlineStr">
        <is>
          <t>MANISH KATARIA, VICE CONSUL</t>
        </is>
      </c>
      <c r="N868" s="30" t="n"/>
    </row>
    <row r="869">
      <c r="A869" s="4">
        <f>Sheet1!A869 &amp; "/" &amp; "2025"</f>
        <v/>
      </c>
      <c r="B869" s="5">
        <f>Sheet1!E869</f>
        <v/>
      </c>
      <c r="C869" s="6">
        <f>UPPER(Sheet1!B869)</f>
        <v/>
      </c>
      <c r="D869" s="7">
        <f>IF(Sheet1!F869="F","FEMALE","MALE")</f>
        <v/>
      </c>
      <c r="E869" s="6">
        <f>UPPER(Sheet1!G869)</f>
        <v/>
      </c>
      <c r="F869" s="6">
        <f>UPPER(Sheet1!H869)</f>
        <v/>
      </c>
      <c r="G869" s="5">
        <f>TEXT(Sheet1!C869,"dd/mm/yyyy") &amp; "," &amp; Sheet1!D869</f>
        <v/>
      </c>
      <c r="H869" s="38">
        <f>UPPER(Sheet1!J869 &amp; "," &amp; Sheet1!K869 &amp; "," &amp; Sheet1!L869)</f>
        <v/>
      </c>
      <c r="I869" s="45">
        <f>Sheet1!I869</f>
        <v/>
      </c>
      <c r="J869" s="5">
        <f>Sheet1!M869 &amp; "," &amp; TEXT(Sheet1!N869,"dd/mm/yy")</f>
        <v/>
      </c>
      <c r="K869" s="5" t="inlineStr">
        <is>
          <t>PRINTED</t>
        </is>
      </c>
      <c r="L869" t="inlineStr">
        <is>
          <t>25/03/2026</t>
        </is>
      </c>
      <c r="M869" s="30" t="inlineStr">
        <is>
          <t>MANISH KATARIA, VICE CONSUL</t>
        </is>
      </c>
      <c r="N869" s="30" t="n"/>
    </row>
    <row r="870">
      <c r="A870" s="4">
        <f>Sheet1!A870 &amp; "/" &amp; "2025"</f>
        <v/>
      </c>
      <c r="B870" s="5">
        <f>Sheet1!E870</f>
        <v/>
      </c>
      <c r="C870" s="6">
        <f>UPPER(Sheet1!B870)</f>
        <v/>
      </c>
      <c r="D870" s="7">
        <f>IF(Sheet1!F870="F","FEMALE","MALE")</f>
        <v/>
      </c>
      <c r="E870" s="6">
        <f>UPPER(Sheet1!G870)</f>
        <v/>
      </c>
      <c r="F870" s="6">
        <f>UPPER(Sheet1!H870)</f>
        <v/>
      </c>
      <c r="G870" s="5">
        <f>TEXT(Sheet1!C870,"dd/mm/yyyy") &amp; "," &amp; Sheet1!D870</f>
        <v/>
      </c>
      <c r="H870" s="38">
        <f>UPPER(Sheet1!J870 &amp; "," &amp; Sheet1!K870 &amp; "," &amp; Sheet1!L870)</f>
        <v/>
      </c>
      <c r="I870" s="45">
        <f>Sheet1!I870</f>
        <v/>
      </c>
      <c r="J870" s="5">
        <f>Sheet1!M870 &amp; "," &amp; TEXT(Sheet1!N870,"dd/mm/yy")</f>
        <v/>
      </c>
      <c r="K870" s="5" t="inlineStr">
        <is>
          <t>PRINTED</t>
        </is>
      </c>
      <c r="L870" t="inlineStr">
        <is>
          <t>25/03/2026</t>
        </is>
      </c>
      <c r="M870" s="30" t="inlineStr">
        <is>
          <t>MANISH KATARIA, VICE CONSUL</t>
        </is>
      </c>
      <c r="N870" s="30" t="n"/>
    </row>
    <row r="871">
      <c r="A871" s="4">
        <f>Sheet1!A871 &amp; "/" &amp; "2025"</f>
        <v/>
      </c>
      <c r="B871" s="5">
        <f>Sheet1!E871</f>
        <v/>
      </c>
      <c r="C871" s="6">
        <f>UPPER(Sheet1!B871)</f>
        <v/>
      </c>
      <c r="D871" s="7">
        <f>IF(Sheet1!F871="F","FEMALE","MALE")</f>
        <v/>
      </c>
      <c r="E871" s="6">
        <f>UPPER(Sheet1!G871)</f>
        <v/>
      </c>
      <c r="F871" s="6">
        <f>UPPER(Sheet1!H871)</f>
        <v/>
      </c>
      <c r="G871" s="5">
        <f>TEXT(Sheet1!C871,"dd/mm/yyyy") &amp; "," &amp; Sheet1!D871</f>
        <v/>
      </c>
      <c r="H871" s="38">
        <f>UPPER(Sheet1!J871 &amp; "," &amp; Sheet1!K871 &amp; "," &amp; Sheet1!L871)</f>
        <v/>
      </c>
      <c r="I871" s="45">
        <f>Sheet1!I871</f>
        <v/>
      </c>
      <c r="J871" s="5">
        <f>Sheet1!M871 &amp; "," &amp; TEXT(Sheet1!N871,"dd/mm/yy")</f>
        <v/>
      </c>
      <c r="K871" s="5" t="inlineStr">
        <is>
          <t>PRINTED</t>
        </is>
      </c>
      <c r="L871" t="inlineStr">
        <is>
          <t>25/03/2026</t>
        </is>
      </c>
      <c r="M871" s="30" t="inlineStr">
        <is>
          <t>MANISH KATARIA, VICE CONSUL</t>
        </is>
      </c>
      <c r="N871" s="30" t="n"/>
    </row>
    <row r="872">
      <c r="A872" s="4">
        <f>Sheet1!A872 &amp; "/" &amp; "2025"</f>
        <v/>
      </c>
      <c r="B872" s="5">
        <f>Sheet1!E872</f>
        <v/>
      </c>
      <c r="C872" s="6">
        <f>UPPER(Sheet1!B872)</f>
        <v/>
      </c>
      <c r="D872" s="7">
        <f>IF(Sheet1!F872="F","FEMALE","MALE")</f>
        <v/>
      </c>
      <c r="E872" s="6">
        <f>UPPER(Sheet1!G872)</f>
        <v/>
      </c>
      <c r="F872" s="6">
        <f>UPPER(Sheet1!H872)</f>
        <v/>
      </c>
      <c r="G872" s="5">
        <f>TEXT(Sheet1!C872,"dd/mm/yyyy") &amp; "," &amp; Sheet1!D872</f>
        <v/>
      </c>
      <c r="H872" s="38">
        <f>UPPER(Sheet1!J872 &amp; "," &amp; Sheet1!K872 &amp; "," &amp; Sheet1!L872)</f>
        <v/>
      </c>
      <c r="I872" s="45">
        <f>Sheet1!I872</f>
        <v/>
      </c>
      <c r="J872" s="5">
        <f>Sheet1!M872 &amp; "," &amp; TEXT(Sheet1!N872,"dd/mm/yy")</f>
        <v/>
      </c>
      <c r="K872" s="5" t="inlineStr">
        <is>
          <t>PRINTED</t>
        </is>
      </c>
      <c r="L872" t="inlineStr">
        <is>
          <t>25/03/2026</t>
        </is>
      </c>
      <c r="M872" s="30" t="inlineStr">
        <is>
          <t>MANISH KATARIA, VICE CONSUL</t>
        </is>
      </c>
      <c r="N872" s="30" t="n"/>
    </row>
    <row r="873">
      <c r="A873" s="4">
        <f>Sheet1!A873 &amp; "/" &amp; "2025"</f>
        <v/>
      </c>
      <c r="B873" s="5">
        <f>Sheet1!E873</f>
        <v/>
      </c>
      <c r="C873" s="6">
        <f>UPPER(Sheet1!B873)</f>
        <v/>
      </c>
      <c r="D873" s="7">
        <f>IF(Sheet1!F873="F","FEMALE","MALE")</f>
        <v/>
      </c>
      <c r="E873" s="6">
        <f>UPPER(Sheet1!G873)</f>
        <v/>
      </c>
      <c r="F873" s="6">
        <f>UPPER(Sheet1!H873)</f>
        <v/>
      </c>
      <c r="G873" s="5">
        <f>TEXT(Sheet1!C873,"dd/mm/yyyy") &amp; "," &amp; Sheet1!D873</f>
        <v/>
      </c>
      <c r="H873" s="38">
        <f>UPPER(Sheet1!J873 &amp; "," &amp; Sheet1!K873 &amp; "," &amp; Sheet1!L873)</f>
        <v/>
      </c>
      <c r="I873" s="45">
        <f>Sheet1!I873</f>
        <v/>
      </c>
      <c r="J873" s="5">
        <f>Sheet1!M873 &amp; "," &amp; TEXT(Sheet1!N873,"dd/mm/yy")</f>
        <v/>
      </c>
      <c r="K873" s="5" t="inlineStr">
        <is>
          <t>PRINTED</t>
        </is>
      </c>
      <c r="L873" t="inlineStr">
        <is>
          <t>25/03/2026</t>
        </is>
      </c>
      <c r="M873" s="30" t="inlineStr">
        <is>
          <t>MANISH KATARIA, VICE CONSUL</t>
        </is>
      </c>
      <c r="N873" s="30" t="n"/>
    </row>
    <row r="874">
      <c r="A874" s="4">
        <f>Sheet1!A874 &amp; "/" &amp; "2025"</f>
        <v/>
      </c>
      <c r="B874" s="5">
        <f>Sheet1!E874</f>
        <v/>
      </c>
      <c r="C874" s="6">
        <f>UPPER(Sheet1!B874)</f>
        <v/>
      </c>
      <c r="D874" s="7">
        <f>IF(Sheet1!F874="F","FEMALE","MALE")</f>
        <v/>
      </c>
      <c r="E874" s="6">
        <f>UPPER(Sheet1!G874)</f>
        <v/>
      </c>
      <c r="F874" s="6">
        <f>UPPER(Sheet1!H874)</f>
        <v/>
      </c>
      <c r="G874" s="5">
        <f>TEXT(Sheet1!C874,"dd/mm/yyyy") &amp; "," &amp; Sheet1!D874</f>
        <v/>
      </c>
      <c r="H874" s="38">
        <f>UPPER(Sheet1!J874 &amp; "," &amp; Sheet1!K874 &amp; "," &amp; Sheet1!L874)</f>
        <v/>
      </c>
      <c r="I874" s="45">
        <f>Sheet1!I874</f>
        <v/>
      </c>
      <c r="J874" s="5">
        <f>Sheet1!M874 &amp; "," &amp; TEXT(Sheet1!N874,"dd/mm/yy")</f>
        <v/>
      </c>
      <c r="K874" s="5" t="inlineStr">
        <is>
          <t>PRINTED</t>
        </is>
      </c>
      <c r="L874" t="inlineStr">
        <is>
          <t>25/03/2026</t>
        </is>
      </c>
      <c r="M874" s="30" t="inlineStr">
        <is>
          <t>MANISH KATARIA, VICE CONSUL</t>
        </is>
      </c>
      <c r="N874" s="30" t="n"/>
    </row>
    <row r="875">
      <c r="A875" s="4">
        <f>Sheet1!A875 &amp; "/" &amp; "2025"</f>
        <v/>
      </c>
      <c r="B875" s="5">
        <f>Sheet1!E875</f>
        <v/>
      </c>
      <c r="C875" s="6">
        <f>UPPER(Sheet1!B875)</f>
        <v/>
      </c>
      <c r="D875" s="7">
        <f>IF(Sheet1!F875="F","FEMALE","MALE")</f>
        <v/>
      </c>
      <c r="E875" s="6">
        <f>UPPER(Sheet1!G875)</f>
        <v/>
      </c>
      <c r="F875" s="6">
        <f>UPPER(Sheet1!H875)</f>
        <v/>
      </c>
      <c r="G875" s="5">
        <f>TEXT(Sheet1!C875,"dd/mm/yyyy") &amp; "," &amp; Sheet1!D875</f>
        <v/>
      </c>
      <c r="H875" s="38">
        <f>UPPER(Sheet1!J875 &amp; "," &amp; Sheet1!K875 &amp; "," &amp; Sheet1!L875)</f>
        <v/>
      </c>
      <c r="I875" s="45">
        <f>Sheet1!I875</f>
        <v/>
      </c>
      <c r="J875" s="5">
        <f>Sheet1!M875 &amp; "," &amp; TEXT(Sheet1!N875,"dd/mm/yy")</f>
        <v/>
      </c>
      <c r="K875" s="5" t="inlineStr">
        <is>
          <t>PRINTED</t>
        </is>
      </c>
      <c r="L875" t="inlineStr">
        <is>
          <t>25/03/2026</t>
        </is>
      </c>
      <c r="M875" s="30" t="inlineStr">
        <is>
          <t>MANISH KATARIA, VICE CONSUL</t>
        </is>
      </c>
      <c r="N875" s="30" t="n"/>
    </row>
    <row r="876">
      <c r="A876" s="4">
        <f>Sheet1!A876 &amp; "/" &amp; "2025"</f>
        <v/>
      </c>
      <c r="B876" s="5">
        <f>Sheet1!E876</f>
        <v/>
      </c>
      <c r="C876" s="6">
        <f>UPPER(Sheet1!B876)</f>
        <v/>
      </c>
      <c r="D876" s="7">
        <f>IF(Sheet1!F876="F","FEMALE","MALE")</f>
        <v/>
      </c>
      <c r="E876" s="6">
        <f>UPPER(Sheet1!G876)</f>
        <v/>
      </c>
      <c r="F876" s="6">
        <f>UPPER(Sheet1!H876)</f>
        <v/>
      </c>
      <c r="G876" s="5">
        <f>TEXT(Sheet1!C876,"dd/mm/yyyy") &amp; "," &amp; Sheet1!D876</f>
        <v/>
      </c>
      <c r="H876" s="38">
        <f>UPPER(Sheet1!J876 &amp; "," &amp; Sheet1!K876 &amp; "," &amp; Sheet1!L876)</f>
        <v/>
      </c>
      <c r="I876" s="45">
        <f>Sheet1!I876</f>
        <v/>
      </c>
      <c r="J876" s="5">
        <f>Sheet1!M876 &amp; "," &amp; TEXT(Sheet1!N876,"dd/mm/yy")</f>
        <v/>
      </c>
      <c r="K876" s="5" t="inlineStr">
        <is>
          <t>PRINTED</t>
        </is>
      </c>
      <c r="L876" t="inlineStr">
        <is>
          <t>25/03/2026</t>
        </is>
      </c>
      <c r="M876" s="30" t="inlineStr">
        <is>
          <t>MANISH KATARIA, VICE CONSUL</t>
        </is>
      </c>
      <c r="N876" s="30" t="n"/>
    </row>
    <row r="877">
      <c r="A877" s="4">
        <f>Sheet1!A877 &amp; "/" &amp; "2025"</f>
        <v/>
      </c>
      <c r="B877" s="5">
        <f>Sheet1!E877</f>
        <v/>
      </c>
      <c r="C877" s="6">
        <f>UPPER(Sheet1!B877)</f>
        <v/>
      </c>
      <c r="D877" s="7">
        <f>IF(Sheet1!F877="F","FEMALE","MALE")</f>
        <v/>
      </c>
      <c r="E877" s="6">
        <f>UPPER(Sheet1!G877)</f>
        <v/>
      </c>
      <c r="F877" s="6">
        <f>UPPER(Sheet1!H877)</f>
        <v/>
      </c>
      <c r="G877" s="5">
        <f>TEXT(Sheet1!C877,"dd/mm/yyyy") &amp; "," &amp; Sheet1!D877</f>
        <v/>
      </c>
      <c r="H877" s="38">
        <f>UPPER(Sheet1!J877 &amp; "," &amp; Sheet1!K877 &amp; "," &amp; Sheet1!L877)</f>
        <v/>
      </c>
      <c r="I877" s="45">
        <f>Sheet1!I877</f>
        <v/>
      </c>
      <c r="J877" s="5">
        <f>Sheet1!M877 &amp; "," &amp; TEXT(Sheet1!N877,"dd/mm/yy")</f>
        <v/>
      </c>
      <c r="K877" s="5" t="inlineStr">
        <is>
          <t>PRINTED</t>
        </is>
      </c>
      <c r="L877" t="inlineStr">
        <is>
          <t>25/03/2026</t>
        </is>
      </c>
      <c r="M877" s="30" t="inlineStr">
        <is>
          <t>MANISH KATARIA, VICE CONSUL</t>
        </is>
      </c>
      <c r="N877" s="30" t="n"/>
    </row>
    <row r="878">
      <c r="A878" s="4">
        <f>Sheet1!A878 &amp; "/" &amp; "2025"</f>
        <v/>
      </c>
      <c r="B878" s="5">
        <f>Sheet1!E878</f>
        <v/>
      </c>
      <c r="C878" s="6">
        <f>UPPER(Sheet1!B878)</f>
        <v/>
      </c>
      <c r="D878" s="7">
        <f>IF(Sheet1!F878="F","FEMALE","MALE")</f>
        <v/>
      </c>
      <c r="E878" s="6">
        <f>UPPER(Sheet1!G878)</f>
        <v/>
      </c>
      <c r="F878" s="6">
        <f>UPPER(Sheet1!H878)</f>
        <v/>
      </c>
      <c r="G878" s="5">
        <f>TEXT(Sheet1!C878,"dd/mm/yyyy") &amp; "," &amp; Sheet1!D878</f>
        <v/>
      </c>
      <c r="H878" s="38">
        <f>UPPER(Sheet1!J878 &amp; "," &amp; Sheet1!K878 &amp; "," &amp; Sheet1!L878)</f>
        <v/>
      </c>
      <c r="I878" s="45">
        <f>Sheet1!I878</f>
        <v/>
      </c>
      <c r="J878" s="5">
        <f>Sheet1!M878 &amp; "," &amp; TEXT(Sheet1!N878,"dd/mm/yy")</f>
        <v/>
      </c>
      <c r="K878" s="5" t="inlineStr">
        <is>
          <t>PRINTED</t>
        </is>
      </c>
      <c r="L878" t="inlineStr">
        <is>
          <t>25/03/2026</t>
        </is>
      </c>
      <c r="M878" s="30" t="inlineStr">
        <is>
          <t>MANISH KATARIA, VICE CONSUL</t>
        </is>
      </c>
      <c r="N878" s="30" t="n"/>
    </row>
    <row r="879">
      <c r="A879" s="4">
        <f>Sheet1!A879 &amp; "/" &amp; "2025"</f>
        <v/>
      </c>
      <c r="B879" s="5">
        <f>Sheet1!E879</f>
        <v/>
      </c>
      <c r="C879" s="6">
        <f>UPPER(Sheet1!B879)</f>
        <v/>
      </c>
      <c r="D879" s="7">
        <f>IF(Sheet1!F879="F","FEMALE","MALE")</f>
        <v/>
      </c>
      <c r="E879" s="6">
        <f>UPPER(Sheet1!G879)</f>
        <v/>
      </c>
      <c r="F879" s="6">
        <f>UPPER(Sheet1!H879)</f>
        <v/>
      </c>
      <c r="G879" s="5">
        <f>TEXT(Sheet1!C879,"dd/mm/yyyy") &amp; "," &amp; Sheet1!D879</f>
        <v/>
      </c>
      <c r="H879" s="38">
        <f>UPPER(Sheet1!J879 &amp; "," &amp; Sheet1!K879 &amp; "," &amp; Sheet1!L879)</f>
        <v/>
      </c>
      <c r="I879" s="45">
        <f>Sheet1!I879</f>
        <v/>
      </c>
      <c r="J879" s="5">
        <f>Sheet1!M879 &amp; "," &amp; TEXT(Sheet1!N879,"dd/mm/yy")</f>
        <v/>
      </c>
      <c r="K879" s="5" t="inlineStr">
        <is>
          <t>PRINTED</t>
        </is>
      </c>
      <c r="L879" t="inlineStr">
        <is>
          <t>25/03/2026</t>
        </is>
      </c>
      <c r="M879" s="30" t="inlineStr">
        <is>
          <t>MANISH KATARIA, VICE CONSUL</t>
        </is>
      </c>
      <c r="N879" s="30" t="n"/>
    </row>
    <row r="880">
      <c r="A880" s="4">
        <f>Sheet1!A880 &amp; "/" &amp; "2025"</f>
        <v/>
      </c>
      <c r="B880" s="5">
        <f>Sheet1!E880</f>
        <v/>
      </c>
      <c r="C880" s="6">
        <f>UPPER(Sheet1!B880)</f>
        <v/>
      </c>
      <c r="D880" s="7">
        <f>IF(Sheet1!F880="F","FEMALE","MALE")</f>
        <v/>
      </c>
      <c r="E880" s="6">
        <f>UPPER(Sheet1!G880)</f>
        <v/>
      </c>
      <c r="F880" s="6">
        <f>UPPER(Sheet1!H880)</f>
        <v/>
      </c>
      <c r="G880" s="5">
        <f>TEXT(Sheet1!C880,"dd/mm/yyyy") &amp; "," &amp; Sheet1!D880</f>
        <v/>
      </c>
      <c r="H880" s="38">
        <f>UPPER(Sheet1!J880 &amp; "," &amp; Sheet1!K880 &amp; "," &amp; Sheet1!L880)</f>
        <v/>
      </c>
      <c r="I880" s="45">
        <f>Sheet1!I880</f>
        <v/>
      </c>
      <c r="J880" s="5">
        <f>Sheet1!M880 &amp; "," &amp; TEXT(Sheet1!N880,"dd/mm/yy")</f>
        <v/>
      </c>
      <c r="K880" s="5" t="inlineStr">
        <is>
          <t>PRINTED</t>
        </is>
      </c>
      <c r="L880" t="inlineStr">
        <is>
          <t>25/03/2026</t>
        </is>
      </c>
      <c r="M880" s="30" t="inlineStr">
        <is>
          <t>MANISH KATARIA, VICE CONSUL</t>
        </is>
      </c>
      <c r="N880" s="30" t="n"/>
    </row>
    <row r="881">
      <c r="A881" s="4">
        <f>Sheet1!A881 &amp; "/" &amp; "2025"</f>
        <v/>
      </c>
      <c r="B881" s="5">
        <f>Sheet1!E881</f>
        <v/>
      </c>
      <c r="C881" s="6">
        <f>UPPER(Sheet1!B881)</f>
        <v/>
      </c>
      <c r="D881" s="7">
        <f>IF(Sheet1!F881="F","FEMALE","MALE")</f>
        <v/>
      </c>
      <c r="E881" s="6">
        <f>UPPER(Sheet1!G881)</f>
        <v/>
      </c>
      <c r="F881" s="6">
        <f>UPPER(Sheet1!H881)</f>
        <v/>
      </c>
      <c r="G881" s="5">
        <f>TEXT(Sheet1!C881,"dd/mm/yyyy") &amp; "," &amp; Sheet1!D881</f>
        <v/>
      </c>
      <c r="H881" s="38">
        <f>UPPER(Sheet1!J881 &amp; "," &amp; Sheet1!K881 &amp; "," &amp; Sheet1!L881)</f>
        <v/>
      </c>
      <c r="I881" s="45">
        <f>Sheet1!I881</f>
        <v/>
      </c>
      <c r="J881" s="5">
        <f>Sheet1!M881 &amp; "," &amp; TEXT(Sheet1!N881,"dd/mm/yy")</f>
        <v/>
      </c>
      <c r="K881" s="5" t="inlineStr">
        <is>
          <t>PRINTED</t>
        </is>
      </c>
      <c r="L881" t="inlineStr">
        <is>
          <t>25/03/2026</t>
        </is>
      </c>
      <c r="M881" s="30" t="inlineStr">
        <is>
          <t>MANISH KATARIA, VICE CONSUL</t>
        </is>
      </c>
      <c r="N881" s="30" t="n"/>
    </row>
    <row r="882">
      <c r="A882" s="4">
        <f>Sheet1!A882 &amp; "/" &amp; "2025"</f>
        <v/>
      </c>
      <c r="B882" s="5">
        <f>Sheet1!E882</f>
        <v/>
      </c>
      <c r="C882" s="6">
        <f>UPPER(Sheet1!B882)</f>
        <v/>
      </c>
      <c r="D882" s="7">
        <f>IF(Sheet1!F882="F","FEMALE","MALE")</f>
        <v/>
      </c>
      <c r="E882" s="6">
        <f>UPPER(Sheet1!G882)</f>
        <v/>
      </c>
      <c r="F882" s="6">
        <f>UPPER(Sheet1!H882)</f>
        <v/>
      </c>
      <c r="G882" s="5">
        <f>TEXT(Sheet1!C882,"dd/mm/yyyy") &amp; "," &amp; Sheet1!D882</f>
        <v/>
      </c>
      <c r="H882" s="38">
        <f>UPPER(Sheet1!J882 &amp; "," &amp; Sheet1!K882 &amp; "," &amp; Sheet1!L882)</f>
        <v/>
      </c>
      <c r="I882" s="45">
        <f>Sheet1!I882</f>
        <v/>
      </c>
      <c r="J882" s="5">
        <f>Sheet1!M882 &amp; "," &amp; TEXT(Sheet1!N882,"dd/mm/yy")</f>
        <v/>
      </c>
      <c r="K882" s="5" t="inlineStr">
        <is>
          <t>PRINTED</t>
        </is>
      </c>
      <c r="L882" t="inlineStr">
        <is>
          <t>25/03/2026</t>
        </is>
      </c>
      <c r="M882" s="30" t="inlineStr">
        <is>
          <t>MANISH KATARIA, VICE CONSUL</t>
        </is>
      </c>
      <c r="N882" s="30" t="n"/>
    </row>
    <row r="883">
      <c r="A883" s="4">
        <f>Sheet1!A883 &amp; "/" &amp; "2025"</f>
        <v/>
      </c>
      <c r="B883" s="5">
        <f>Sheet1!E883</f>
        <v/>
      </c>
      <c r="C883" s="6">
        <f>UPPER(Sheet1!B883)</f>
        <v/>
      </c>
      <c r="D883" s="7">
        <f>IF(Sheet1!F883="F","FEMALE","MALE")</f>
        <v/>
      </c>
      <c r="E883" s="6">
        <f>UPPER(Sheet1!G883)</f>
        <v/>
      </c>
      <c r="F883" s="6">
        <f>UPPER(Sheet1!H883)</f>
        <v/>
      </c>
      <c r="G883" s="5">
        <f>TEXT(Sheet1!C883,"dd/mm/yyyy") &amp; "," &amp; Sheet1!D883</f>
        <v/>
      </c>
      <c r="H883" s="38">
        <f>UPPER(Sheet1!J883 &amp; "," &amp; Sheet1!K883 &amp; "," &amp; Sheet1!L883)</f>
        <v/>
      </c>
      <c r="I883" s="45">
        <f>Sheet1!I883</f>
        <v/>
      </c>
      <c r="J883" s="5">
        <f>Sheet1!M883 &amp; "," &amp; TEXT(Sheet1!N883,"dd/mm/yy")</f>
        <v/>
      </c>
      <c r="K883" s="5" t="inlineStr">
        <is>
          <t>PRINTED</t>
        </is>
      </c>
      <c r="L883" t="inlineStr">
        <is>
          <t>25/03/2026</t>
        </is>
      </c>
      <c r="M883" s="30" t="inlineStr">
        <is>
          <t>MANISH KATARIA, VICE CONSUL</t>
        </is>
      </c>
      <c r="N883" s="30" t="n"/>
    </row>
    <row r="884">
      <c r="A884" s="4">
        <f>Sheet1!A884 &amp; "/" &amp; "2025"</f>
        <v/>
      </c>
      <c r="B884" s="5">
        <f>Sheet1!E884</f>
        <v/>
      </c>
      <c r="C884" s="6">
        <f>UPPER(Sheet1!B884)</f>
        <v/>
      </c>
      <c r="D884" s="7">
        <f>IF(Sheet1!F884="F","FEMALE","MALE")</f>
        <v/>
      </c>
      <c r="E884" s="6">
        <f>UPPER(Sheet1!G884)</f>
        <v/>
      </c>
      <c r="F884" s="6">
        <f>UPPER(Sheet1!H884)</f>
        <v/>
      </c>
      <c r="G884" s="5">
        <f>TEXT(Sheet1!C884,"dd/mm/yyyy") &amp; "," &amp; Sheet1!D884</f>
        <v/>
      </c>
      <c r="H884" s="38">
        <f>UPPER(Sheet1!J884 &amp; "," &amp; Sheet1!K884 &amp; "," &amp; Sheet1!L884)</f>
        <v/>
      </c>
      <c r="I884" s="45">
        <f>Sheet1!I884</f>
        <v/>
      </c>
      <c r="J884" s="5">
        <f>Sheet1!M884 &amp; "," &amp; TEXT(Sheet1!N884,"dd/mm/yy")</f>
        <v/>
      </c>
      <c r="K884" s="5" t="inlineStr">
        <is>
          <t>PRINTED</t>
        </is>
      </c>
      <c r="L884" t="inlineStr">
        <is>
          <t>25/03/2026</t>
        </is>
      </c>
      <c r="M884" s="30" t="inlineStr">
        <is>
          <t>MANISH KATARIA, VICE CONSUL</t>
        </is>
      </c>
      <c r="N884" s="30" t="n"/>
    </row>
    <row r="885">
      <c r="A885" s="4">
        <f>Sheet1!A885 &amp; "/" &amp; "2025"</f>
        <v/>
      </c>
      <c r="B885" s="5">
        <f>Sheet1!E885</f>
        <v/>
      </c>
      <c r="C885" s="6">
        <f>UPPER(Sheet1!B885)</f>
        <v/>
      </c>
      <c r="D885" s="7">
        <f>IF(Sheet1!F885="F","FEMALE","MALE")</f>
        <v/>
      </c>
      <c r="E885" s="6">
        <f>UPPER(Sheet1!G885)</f>
        <v/>
      </c>
      <c r="F885" s="6">
        <f>UPPER(Sheet1!H885)</f>
        <v/>
      </c>
      <c r="G885" s="5">
        <f>TEXT(Sheet1!C885,"dd/mm/yyyy") &amp; "," &amp; Sheet1!D885</f>
        <v/>
      </c>
      <c r="H885" s="38">
        <f>UPPER(Sheet1!J885 &amp; "," &amp; Sheet1!K885 &amp; "," &amp; Sheet1!L885)</f>
        <v/>
      </c>
      <c r="I885" s="45">
        <f>Sheet1!I885</f>
        <v/>
      </c>
      <c r="J885" s="5">
        <f>Sheet1!M885 &amp; "," &amp; TEXT(Sheet1!N885,"dd/mm/yy")</f>
        <v/>
      </c>
      <c r="K885" s="5" t="inlineStr">
        <is>
          <t>PRINTED</t>
        </is>
      </c>
      <c r="L885" t="inlineStr">
        <is>
          <t>25/03/2026</t>
        </is>
      </c>
      <c r="M885" s="30" t="inlineStr">
        <is>
          <t>MANISH KATARIA, VICE CONSUL</t>
        </is>
      </c>
      <c r="N885" s="30" t="n"/>
    </row>
    <row r="886">
      <c r="A886" s="4">
        <f>Sheet1!A886 &amp; "/" &amp; "2025"</f>
        <v/>
      </c>
      <c r="B886" s="5">
        <f>Sheet1!E886</f>
        <v/>
      </c>
      <c r="C886" s="6">
        <f>UPPER(Sheet1!B886)</f>
        <v/>
      </c>
      <c r="D886" s="7">
        <f>IF(Sheet1!F886="F","FEMALE","MALE")</f>
        <v/>
      </c>
      <c r="E886" s="6">
        <f>UPPER(Sheet1!G886)</f>
        <v/>
      </c>
      <c r="F886" s="6">
        <f>UPPER(Sheet1!H886)</f>
        <v/>
      </c>
      <c r="G886" s="5">
        <f>TEXT(Sheet1!C886,"dd/mm/yyyy") &amp; "," &amp; Sheet1!D886</f>
        <v/>
      </c>
      <c r="H886" s="38">
        <f>UPPER(Sheet1!J886 &amp; "," &amp; Sheet1!K886 &amp; "," &amp; Sheet1!L886)</f>
        <v/>
      </c>
      <c r="I886" s="45">
        <f>Sheet1!I886</f>
        <v/>
      </c>
      <c r="J886" s="5">
        <f>Sheet1!M886 &amp; "," &amp; TEXT(Sheet1!N886,"dd/mm/yy")</f>
        <v/>
      </c>
      <c r="K886" s="5" t="inlineStr">
        <is>
          <t>PRINTED</t>
        </is>
      </c>
      <c r="L886" t="inlineStr">
        <is>
          <t>25/03/2026</t>
        </is>
      </c>
      <c r="M886" s="30" t="inlineStr">
        <is>
          <t>MANISH KATARIA, VICE CONSUL</t>
        </is>
      </c>
      <c r="N886" s="30" t="n"/>
    </row>
    <row r="887">
      <c r="A887" s="4">
        <f>Sheet1!A887 &amp; "/" &amp; "2025"</f>
        <v/>
      </c>
      <c r="B887" s="5">
        <f>Sheet1!E887</f>
        <v/>
      </c>
      <c r="C887" s="6">
        <f>UPPER(Sheet1!B887)</f>
        <v/>
      </c>
      <c r="D887" s="7">
        <f>IF(Sheet1!F887="F","FEMALE","MALE")</f>
        <v/>
      </c>
      <c r="E887" s="6">
        <f>UPPER(Sheet1!G887)</f>
        <v/>
      </c>
      <c r="F887" s="6">
        <f>UPPER(Sheet1!H887)</f>
        <v/>
      </c>
      <c r="G887" s="5">
        <f>TEXT(Sheet1!C887,"dd/mm/yyyy") &amp; "," &amp; Sheet1!D887</f>
        <v/>
      </c>
      <c r="H887" s="38">
        <f>UPPER(Sheet1!J887 &amp; "," &amp; Sheet1!K887 &amp; "," &amp; Sheet1!L887)</f>
        <v/>
      </c>
      <c r="I887" s="45">
        <f>Sheet1!I887</f>
        <v/>
      </c>
      <c r="J887" s="5">
        <f>Sheet1!M887 &amp; "," &amp; TEXT(Sheet1!N887,"dd/mm/yy")</f>
        <v/>
      </c>
      <c r="K887" s="5" t="inlineStr">
        <is>
          <t>PRINTED</t>
        </is>
      </c>
      <c r="L887" t="inlineStr">
        <is>
          <t>25/03/2026</t>
        </is>
      </c>
      <c r="M887" s="30" t="inlineStr">
        <is>
          <t>MANISH KATARIA, VICE CONSUL</t>
        </is>
      </c>
      <c r="N887" s="30" t="n"/>
    </row>
    <row r="888">
      <c r="A888" s="4">
        <f>Sheet1!A888 &amp; "/" &amp; "2025"</f>
        <v/>
      </c>
      <c r="B888" s="5">
        <f>Sheet1!E888</f>
        <v/>
      </c>
      <c r="C888" s="6">
        <f>UPPER(Sheet1!B888)</f>
        <v/>
      </c>
      <c r="D888" s="7">
        <f>IF(Sheet1!F888="F","FEMALE","MALE")</f>
        <v/>
      </c>
      <c r="E888" s="6">
        <f>UPPER(Sheet1!G888)</f>
        <v/>
      </c>
      <c r="F888" s="6">
        <f>UPPER(Sheet1!H888)</f>
        <v/>
      </c>
      <c r="G888" s="5">
        <f>TEXT(Sheet1!C888,"dd/mm/yyyy") &amp; "," &amp; Sheet1!D888</f>
        <v/>
      </c>
      <c r="H888" s="38">
        <f>UPPER(Sheet1!J888 &amp; "," &amp; Sheet1!K888 &amp; "," &amp; Sheet1!L888)</f>
        <v/>
      </c>
      <c r="I888" s="45">
        <f>Sheet1!I888</f>
        <v/>
      </c>
      <c r="J888" s="5">
        <f>Sheet1!M888 &amp; "," &amp; TEXT(Sheet1!N888,"dd/mm/yy")</f>
        <v/>
      </c>
      <c r="K888" s="5" t="inlineStr">
        <is>
          <t>PRINTED</t>
        </is>
      </c>
      <c r="L888" t="inlineStr">
        <is>
          <t>25/03/2026</t>
        </is>
      </c>
      <c r="M888" s="30" t="inlineStr">
        <is>
          <t>MANISH KATARIA, VICE CONSUL</t>
        </is>
      </c>
      <c r="N888" s="30" t="n"/>
    </row>
    <row r="889">
      <c r="A889" s="4">
        <f>Sheet1!A889 &amp; "/" &amp; "2025"</f>
        <v/>
      </c>
      <c r="B889" s="5">
        <f>Sheet1!E889</f>
        <v/>
      </c>
      <c r="C889" s="6">
        <f>UPPER(Sheet1!B889)</f>
        <v/>
      </c>
      <c r="D889" s="7">
        <f>IF(Sheet1!F889="F","FEMALE","MALE")</f>
        <v/>
      </c>
      <c r="E889" s="6">
        <f>UPPER(Sheet1!G889)</f>
        <v/>
      </c>
      <c r="F889" s="6">
        <f>UPPER(Sheet1!H889)</f>
        <v/>
      </c>
      <c r="G889" s="5">
        <f>TEXT(Sheet1!C889,"dd/mm/yyyy") &amp; "," &amp; Sheet1!D889</f>
        <v/>
      </c>
      <c r="H889" s="38">
        <f>UPPER(Sheet1!J889 &amp; "," &amp; Sheet1!K889 &amp; "," &amp; Sheet1!L889)</f>
        <v/>
      </c>
      <c r="I889" s="45">
        <f>Sheet1!I889</f>
        <v/>
      </c>
      <c r="J889" s="5">
        <f>Sheet1!M889 &amp; "," &amp; TEXT(Sheet1!N889,"dd/mm/yy")</f>
        <v/>
      </c>
      <c r="K889" s="5" t="inlineStr">
        <is>
          <t>PRINTED</t>
        </is>
      </c>
      <c r="L889" t="inlineStr">
        <is>
          <t>25/03/2026</t>
        </is>
      </c>
      <c r="M889" s="30" t="inlineStr">
        <is>
          <t>MANISH KATARIA, VICE CONSUL</t>
        </is>
      </c>
      <c r="N889" s="30" t="n"/>
    </row>
    <row r="890">
      <c r="A890" s="4">
        <f>Sheet1!A890 &amp; "/" &amp; "2025"</f>
        <v/>
      </c>
      <c r="B890" s="5">
        <f>Sheet1!E890</f>
        <v/>
      </c>
      <c r="C890" s="6">
        <f>UPPER(Sheet1!B890)</f>
        <v/>
      </c>
      <c r="D890" s="7">
        <f>IF(Sheet1!F890="F","FEMALE","MALE")</f>
        <v/>
      </c>
      <c r="E890" s="6">
        <f>UPPER(Sheet1!G890)</f>
        <v/>
      </c>
      <c r="F890" s="6">
        <f>UPPER(Sheet1!H890)</f>
        <v/>
      </c>
      <c r="G890" s="5">
        <f>TEXT(Sheet1!C890,"dd/mm/yyyy") &amp; "," &amp; Sheet1!D890</f>
        <v/>
      </c>
      <c r="H890" s="38">
        <f>UPPER(Sheet1!J890 &amp; "," &amp; Sheet1!K890 &amp; "," &amp; Sheet1!L890)</f>
        <v/>
      </c>
      <c r="I890" s="45">
        <f>Sheet1!I890</f>
        <v/>
      </c>
      <c r="J890" s="5">
        <f>Sheet1!M890 &amp; "," &amp; TEXT(Sheet1!N890,"dd/mm/yy")</f>
        <v/>
      </c>
      <c r="K890" s="5" t="inlineStr">
        <is>
          <t>PRINTED</t>
        </is>
      </c>
      <c r="L890" t="inlineStr">
        <is>
          <t>25/03/2026</t>
        </is>
      </c>
      <c r="M890" s="30" t="inlineStr">
        <is>
          <t>MANISH KATARIA, VICE CONSUL</t>
        </is>
      </c>
      <c r="N890" s="30" t="n"/>
    </row>
    <row r="891">
      <c r="A891" s="4">
        <f>Sheet1!A891 &amp; "/" &amp; "2025"</f>
        <v/>
      </c>
      <c r="B891" s="5">
        <f>Sheet1!E891</f>
        <v/>
      </c>
      <c r="C891" s="6">
        <f>UPPER(Sheet1!B891)</f>
        <v/>
      </c>
      <c r="D891" s="7">
        <f>IF(Sheet1!F891="F","FEMALE","MALE")</f>
        <v/>
      </c>
      <c r="E891" s="6">
        <f>UPPER(Sheet1!G891)</f>
        <v/>
      </c>
      <c r="F891" s="6">
        <f>UPPER(Sheet1!H891)</f>
        <v/>
      </c>
      <c r="G891" s="5">
        <f>TEXT(Sheet1!C891,"dd/mm/yyyy") &amp; "," &amp; Sheet1!D891</f>
        <v/>
      </c>
      <c r="H891" s="38">
        <f>UPPER(Sheet1!J891 &amp; "," &amp; Sheet1!K891 &amp; "," &amp; Sheet1!L891)</f>
        <v/>
      </c>
      <c r="I891" s="45">
        <f>Sheet1!I891</f>
        <v/>
      </c>
      <c r="J891" s="5">
        <f>Sheet1!M891 &amp; "," &amp; TEXT(Sheet1!N891,"dd/mm/yy")</f>
        <v/>
      </c>
      <c r="K891" s="5" t="inlineStr">
        <is>
          <t>PRINTED</t>
        </is>
      </c>
      <c r="L891" t="inlineStr">
        <is>
          <t>25/03/2026</t>
        </is>
      </c>
      <c r="M891" s="30" t="inlineStr">
        <is>
          <t>MANISH KATARIA, VICE CONSUL</t>
        </is>
      </c>
      <c r="N891" s="30" t="n"/>
    </row>
    <row r="892">
      <c r="A892" s="4">
        <f>Sheet1!A892 &amp; "/" &amp; "2025"</f>
        <v/>
      </c>
      <c r="B892" s="5">
        <f>Sheet1!E892</f>
        <v/>
      </c>
      <c r="C892" s="6">
        <f>UPPER(Sheet1!B892)</f>
        <v/>
      </c>
      <c r="D892" s="7">
        <f>IF(Sheet1!F892="F","FEMALE","MALE")</f>
        <v/>
      </c>
      <c r="E892" s="6">
        <f>UPPER(Sheet1!G892)</f>
        <v/>
      </c>
      <c r="F892" s="6">
        <f>UPPER(Sheet1!H892)</f>
        <v/>
      </c>
      <c r="G892" s="5">
        <f>TEXT(Sheet1!C892,"dd/mm/yyyy") &amp; "," &amp; Sheet1!D892</f>
        <v/>
      </c>
      <c r="H892" s="38">
        <f>UPPER(Sheet1!J892 &amp; "," &amp; Sheet1!K892 &amp; "," &amp; Sheet1!L892)</f>
        <v/>
      </c>
      <c r="I892" s="45">
        <f>Sheet1!I892</f>
        <v/>
      </c>
      <c r="J892" s="5">
        <f>Sheet1!M892 &amp; "," &amp; TEXT(Sheet1!N892,"dd/mm/yy")</f>
        <v/>
      </c>
      <c r="K892" s="5" t="inlineStr">
        <is>
          <t>PRINTED</t>
        </is>
      </c>
      <c r="L892" t="inlineStr">
        <is>
          <t>25/03/2026</t>
        </is>
      </c>
      <c r="M892" s="30" t="inlineStr">
        <is>
          <t>MANISH KATARIA, VICE CONSUL</t>
        </is>
      </c>
      <c r="N892" s="30" t="n"/>
    </row>
    <row r="893">
      <c r="A893" s="4">
        <f>Sheet1!A893 &amp; "/" &amp; "2025"</f>
        <v/>
      </c>
      <c r="B893" s="5">
        <f>Sheet1!E893</f>
        <v/>
      </c>
      <c r="C893" s="6">
        <f>UPPER(Sheet1!B893)</f>
        <v/>
      </c>
      <c r="D893" s="7">
        <f>IF(Sheet1!F893="F","FEMALE","MALE")</f>
        <v/>
      </c>
      <c r="E893" s="6">
        <f>UPPER(Sheet1!G893)</f>
        <v/>
      </c>
      <c r="F893" s="6">
        <f>UPPER(Sheet1!H893)</f>
        <v/>
      </c>
      <c r="G893" s="5">
        <f>TEXT(Sheet1!C893,"dd/mm/yyyy") &amp; "," &amp; Sheet1!D893</f>
        <v/>
      </c>
      <c r="H893" s="38">
        <f>UPPER(Sheet1!J893 &amp; "," &amp; Sheet1!K893 &amp; "," &amp; Sheet1!L893)</f>
        <v/>
      </c>
      <c r="I893" s="45">
        <f>Sheet1!I893</f>
        <v/>
      </c>
      <c r="J893" s="5">
        <f>Sheet1!M893 &amp; "," &amp; TEXT(Sheet1!N893,"dd/mm/yy")</f>
        <v/>
      </c>
      <c r="K893" s="5" t="inlineStr">
        <is>
          <t>PRINTED</t>
        </is>
      </c>
      <c r="L893" t="inlineStr">
        <is>
          <t>25/03/2026</t>
        </is>
      </c>
      <c r="M893" s="30" t="inlineStr">
        <is>
          <t>MANISH KATARIA, VICE CONSUL</t>
        </is>
      </c>
      <c r="N893" s="30" t="n"/>
    </row>
    <row r="894">
      <c r="A894" s="4">
        <f>Sheet1!A894 &amp; "/" &amp; "2025"</f>
        <v/>
      </c>
      <c r="B894" s="5">
        <f>Sheet1!E894</f>
        <v/>
      </c>
      <c r="C894" s="6">
        <f>UPPER(Sheet1!B894)</f>
        <v/>
      </c>
      <c r="D894" s="7">
        <f>IF(Sheet1!F894="F","FEMALE","MALE")</f>
        <v/>
      </c>
      <c r="E894" s="6">
        <f>UPPER(Sheet1!G894)</f>
        <v/>
      </c>
      <c r="F894" s="6">
        <f>UPPER(Sheet1!H894)</f>
        <v/>
      </c>
      <c r="G894" s="5">
        <f>TEXT(Sheet1!C894,"dd/mm/yyyy") &amp; "," &amp; Sheet1!D894</f>
        <v/>
      </c>
      <c r="H894" s="38">
        <f>UPPER(Sheet1!J894 &amp; "," &amp; Sheet1!K894 &amp; "," &amp; Sheet1!L894)</f>
        <v/>
      </c>
      <c r="I894" s="45">
        <f>Sheet1!I894</f>
        <v/>
      </c>
      <c r="J894" s="5">
        <f>Sheet1!M894 &amp; "," &amp; TEXT(Sheet1!N894,"dd/mm/yy")</f>
        <v/>
      </c>
      <c r="K894" s="5" t="inlineStr">
        <is>
          <t>PRINTED</t>
        </is>
      </c>
      <c r="L894" t="inlineStr">
        <is>
          <t>25/03/2026</t>
        </is>
      </c>
      <c r="M894" s="30" t="inlineStr">
        <is>
          <t>MANISH KATARIA, VICE CONSUL</t>
        </is>
      </c>
      <c r="N894" s="30" t="n"/>
    </row>
    <row r="895">
      <c r="A895" s="4">
        <f>Sheet1!A895 &amp; "/" &amp; "2025"</f>
        <v/>
      </c>
      <c r="B895" s="5">
        <f>Sheet1!E895</f>
        <v/>
      </c>
      <c r="C895" s="6">
        <f>UPPER(Sheet1!B895)</f>
        <v/>
      </c>
      <c r="D895" s="7">
        <f>IF(Sheet1!F895="F","FEMALE","MALE")</f>
        <v/>
      </c>
      <c r="E895" s="6">
        <f>UPPER(Sheet1!G895)</f>
        <v/>
      </c>
      <c r="F895" s="6">
        <f>UPPER(Sheet1!H895)</f>
        <v/>
      </c>
      <c r="G895" s="5">
        <f>TEXT(Sheet1!C895,"dd/mm/yyyy") &amp; "," &amp; Sheet1!D895</f>
        <v/>
      </c>
      <c r="H895" s="38">
        <f>UPPER(Sheet1!J895 &amp; "," &amp; Sheet1!K895 &amp; "," &amp; Sheet1!L895)</f>
        <v/>
      </c>
      <c r="I895" s="45">
        <f>Sheet1!I895</f>
        <v/>
      </c>
      <c r="J895" s="5">
        <f>Sheet1!M895 &amp; "," &amp; TEXT(Sheet1!N895,"dd/mm/yy")</f>
        <v/>
      </c>
      <c r="K895" s="5" t="inlineStr">
        <is>
          <t>PRINTED</t>
        </is>
      </c>
      <c r="L895" t="inlineStr">
        <is>
          <t>25/03/2026</t>
        </is>
      </c>
      <c r="M895" s="30" t="inlineStr">
        <is>
          <t>MANISH KATARIA, VICE CONSUL</t>
        </is>
      </c>
      <c r="N895" s="30" t="n"/>
    </row>
    <row r="896">
      <c r="A896" s="4">
        <f>Sheet1!A896 &amp; "/" &amp; "2025"</f>
        <v/>
      </c>
      <c r="B896" s="5">
        <f>Sheet1!E896</f>
        <v/>
      </c>
      <c r="C896" s="6">
        <f>UPPER(Sheet1!B896)</f>
        <v/>
      </c>
      <c r="D896" s="7">
        <f>IF(Sheet1!F896="F","FEMALE","MALE")</f>
        <v/>
      </c>
      <c r="E896" s="6">
        <f>UPPER(Sheet1!G896)</f>
        <v/>
      </c>
      <c r="F896" s="6">
        <f>UPPER(Sheet1!H896)</f>
        <v/>
      </c>
      <c r="G896" s="5">
        <f>TEXT(Sheet1!C896,"dd/mm/yyyy") &amp; "," &amp; Sheet1!D896</f>
        <v/>
      </c>
      <c r="H896" s="38">
        <f>UPPER(Sheet1!J896 &amp; "," &amp; Sheet1!K896 &amp; "," &amp; Sheet1!L896)</f>
        <v/>
      </c>
      <c r="I896" s="45">
        <f>Sheet1!I896</f>
        <v/>
      </c>
      <c r="J896" s="5">
        <f>Sheet1!M896 &amp; "," &amp; TEXT(Sheet1!N896,"dd/mm/yy")</f>
        <v/>
      </c>
      <c r="K896" s="5" t="inlineStr">
        <is>
          <t>PRINTED</t>
        </is>
      </c>
      <c r="L896" t="inlineStr">
        <is>
          <t>25/03/2026</t>
        </is>
      </c>
      <c r="M896" s="30" t="inlineStr">
        <is>
          <t>MANISH KATARIA, VICE CONSUL</t>
        </is>
      </c>
      <c r="N896" s="30" t="n"/>
    </row>
    <row r="897">
      <c r="A897" s="4">
        <f>Sheet1!A897 &amp; "/" &amp; "2025"</f>
        <v/>
      </c>
      <c r="B897" s="5">
        <f>Sheet1!E897</f>
        <v/>
      </c>
      <c r="C897" s="6">
        <f>UPPER(Sheet1!B897)</f>
        <v/>
      </c>
      <c r="D897" s="7">
        <f>IF(Sheet1!F897="F","FEMALE","MALE")</f>
        <v/>
      </c>
      <c r="E897" s="6">
        <f>UPPER(Sheet1!G897)</f>
        <v/>
      </c>
      <c r="F897" s="6">
        <f>UPPER(Sheet1!H897)</f>
        <v/>
      </c>
      <c r="G897" s="5">
        <f>TEXT(Sheet1!C897,"dd/mm/yyyy") &amp; "," &amp; Sheet1!D897</f>
        <v/>
      </c>
      <c r="H897" s="38">
        <f>UPPER(Sheet1!J897 &amp; "," &amp; Sheet1!K897 &amp; "," &amp; Sheet1!L897)</f>
        <v/>
      </c>
      <c r="I897" s="45">
        <f>Sheet1!I897</f>
        <v/>
      </c>
      <c r="J897" s="5">
        <f>Sheet1!M897 &amp; "," &amp; TEXT(Sheet1!N897,"dd/mm/yy")</f>
        <v/>
      </c>
      <c r="K897" s="5" t="inlineStr">
        <is>
          <t>PRINTED</t>
        </is>
      </c>
      <c r="L897" t="inlineStr">
        <is>
          <t>25/03/2026</t>
        </is>
      </c>
      <c r="M897" s="30" t="inlineStr">
        <is>
          <t>MANISH KATARIA, VICE CONSUL</t>
        </is>
      </c>
      <c r="N897" s="30" t="n"/>
    </row>
    <row r="898">
      <c r="A898" s="4">
        <f>Sheet1!A898 &amp; "/" &amp; "2025"</f>
        <v/>
      </c>
      <c r="B898" s="5">
        <f>Sheet1!E898</f>
        <v/>
      </c>
      <c r="C898" s="6">
        <f>UPPER(Sheet1!B898)</f>
        <v/>
      </c>
      <c r="D898" s="7">
        <f>IF(Sheet1!F898="F","FEMALE","MALE")</f>
        <v/>
      </c>
      <c r="E898" s="6">
        <f>UPPER(Sheet1!G898)</f>
        <v/>
      </c>
      <c r="F898" s="6">
        <f>UPPER(Sheet1!H898)</f>
        <v/>
      </c>
      <c r="G898" s="5">
        <f>TEXT(Sheet1!C898,"dd/mm/yyyy") &amp; "," &amp; Sheet1!D898</f>
        <v/>
      </c>
      <c r="H898" s="38">
        <f>UPPER(Sheet1!J898 &amp; "," &amp; Sheet1!K898 &amp; "," &amp; Sheet1!L898)</f>
        <v/>
      </c>
      <c r="I898" s="45">
        <f>Sheet1!I898</f>
        <v/>
      </c>
      <c r="J898" s="5">
        <f>Sheet1!M898 &amp; "," &amp; TEXT(Sheet1!N898,"dd/mm/yy")</f>
        <v/>
      </c>
      <c r="K898" s="5" t="inlineStr">
        <is>
          <t>PRINTED</t>
        </is>
      </c>
      <c r="L898" t="inlineStr">
        <is>
          <t>25/03/2026</t>
        </is>
      </c>
      <c r="M898" s="30" t="inlineStr">
        <is>
          <t>MANISH KATARIA, VICE CONSUL</t>
        </is>
      </c>
      <c r="N898" s="30" t="n"/>
    </row>
    <row r="899">
      <c r="A899" s="4">
        <f>Sheet1!A899 &amp; "/" &amp; "2025"</f>
        <v/>
      </c>
      <c r="B899" s="5">
        <f>Sheet1!E899</f>
        <v/>
      </c>
      <c r="C899" s="6">
        <f>UPPER(Sheet1!B899)</f>
        <v/>
      </c>
      <c r="D899" s="7">
        <f>IF(Sheet1!F899="F","FEMALE","MALE")</f>
        <v/>
      </c>
      <c r="E899" s="6">
        <f>UPPER(Sheet1!G899)</f>
        <v/>
      </c>
      <c r="F899" s="6">
        <f>UPPER(Sheet1!H899)</f>
        <v/>
      </c>
      <c r="G899" s="5">
        <f>TEXT(Sheet1!C899,"dd/mm/yyyy") &amp; "," &amp; Sheet1!D899</f>
        <v/>
      </c>
      <c r="H899" s="38">
        <f>UPPER(Sheet1!J899 &amp; "," &amp; Sheet1!K899 &amp; "," &amp; Sheet1!L899)</f>
        <v/>
      </c>
      <c r="I899" s="45">
        <f>Sheet1!I899</f>
        <v/>
      </c>
      <c r="J899" s="5">
        <f>Sheet1!M899 &amp; "," &amp; TEXT(Sheet1!N899,"dd/mm/yy")</f>
        <v/>
      </c>
      <c r="K899" s="5" t="inlineStr">
        <is>
          <t>PRINTED</t>
        </is>
      </c>
      <c r="L899" t="inlineStr">
        <is>
          <t>25/03/2026</t>
        </is>
      </c>
      <c r="M899" s="30" t="inlineStr">
        <is>
          <t>MANISH KATARIA, VICE CONSUL</t>
        </is>
      </c>
      <c r="N899" s="30" t="n"/>
    </row>
    <row r="900">
      <c r="A900" s="4">
        <f>Sheet1!A900 &amp; "/" &amp; "2025"</f>
        <v/>
      </c>
      <c r="B900" s="5">
        <f>Sheet1!E900</f>
        <v/>
      </c>
      <c r="C900" s="6">
        <f>UPPER(Sheet1!B900)</f>
        <v/>
      </c>
      <c r="D900" s="7">
        <f>IF(Sheet1!F900="F","FEMALE","MALE")</f>
        <v/>
      </c>
      <c r="E900" s="6">
        <f>UPPER(Sheet1!G900)</f>
        <v/>
      </c>
      <c r="F900" s="6">
        <f>UPPER(Sheet1!H900)</f>
        <v/>
      </c>
      <c r="G900" s="5">
        <f>TEXT(Sheet1!C900,"dd/mm/yyyy") &amp; "," &amp; Sheet1!D900</f>
        <v/>
      </c>
      <c r="H900" s="38">
        <f>UPPER(Sheet1!J900 &amp; "," &amp; Sheet1!K900 &amp; "," &amp; Sheet1!L900)</f>
        <v/>
      </c>
      <c r="I900" s="45">
        <f>Sheet1!I900</f>
        <v/>
      </c>
      <c r="J900" s="5">
        <f>Sheet1!M900 &amp; "," &amp; TEXT(Sheet1!N900,"dd/mm/yy")</f>
        <v/>
      </c>
      <c r="K900" s="5" t="inlineStr">
        <is>
          <t>PRINTED</t>
        </is>
      </c>
      <c r="L900" t="inlineStr">
        <is>
          <t>25/03/2026</t>
        </is>
      </c>
      <c r="M900" s="30" t="inlineStr">
        <is>
          <t>MANISH KATARIA, VICE CONSUL</t>
        </is>
      </c>
      <c r="N900" s="30" t="n"/>
    </row>
    <row r="901">
      <c r="A901" s="4">
        <f>Sheet1!A901 &amp; "/" &amp; "2025"</f>
        <v/>
      </c>
      <c r="B901" s="5">
        <f>Sheet1!E901</f>
        <v/>
      </c>
      <c r="C901" s="6">
        <f>UPPER(Sheet1!B901)</f>
        <v/>
      </c>
      <c r="D901" s="7">
        <f>IF(Sheet1!F901="F","FEMALE","MALE")</f>
        <v/>
      </c>
      <c r="E901" s="6">
        <f>UPPER(Sheet1!G901)</f>
        <v/>
      </c>
      <c r="F901" s="6">
        <f>UPPER(Sheet1!H901)</f>
        <v/>
      </c>
      <c r="G901" s="5">
        <f>TEXT(Sheet1!C901,"dd/mm/yyyy") &amp; "," &amp; Sheet1!D901</f>
        <v/>
      </c>
      <c r="H901" s="38">
        <f>UPPER(Sheet1!J901 &amp; "," &amp; Sheet1!K901 &amp; "," &amp; Sheet1!L901)</f>
        <v/>
      </c>
      <c r="I901" s="45">
        <f>Sheet1!I901</f>
        <v/>
      </c>
      <c r="J901" s="5">
        <f>Sheet1!M901 &amp; "," &amp; TEXT(Sheet1!N901,"dd/mm/yy")</f>
        <v/>
      </c>
      <c r="K901" s="5" t="inlineStr">
        <is>
          <t>PRINTED</t>
        </is>
      </c>
      <c r="L901" t="inlineStr">
        <is>
          <t>25/03/2026</t>
        </is>
      </c>
      <c r="M901" s="30" t="inlineStr">
        <is>
          <t>MANISH KATARIA, VICE CONSUL</t>
        </is>
      </c>
      <c r="N901" s="30" t="n"/>
    </row>
    <row r="902">
      <c r="A902" s="4">
        <f>Sheet1!A902 &amp; "/" &amp; "2025"</f>
        <v/>
      </c>
      <c r="B902" s="5">
        <f>Sheet1!E902</f>
        <v/>
      </c>
      <c r="C902" s="6">
        <f>UPPER(Sheet1!B902)</f>
        <v/>
      </c>
      <c r="D902" s="7">
        <f>IF(Sheet1!F902="F","FEMALE","MALE")</f>
        <v/>
      </c>
      <c r="E902" s="6">
        <f>UPPER(Sheet1!G902)</f>
        <v/>
      </c>
      <c r="F902" s="6">
        <f>UPPER(Sheet1!H902)</f>
        <v/>
      </c>
      <c r="G902" s="5">
        <f>TEXT(Sheet1!C902,"dd/mm/yyyy") &amp; "," &amp; Sheet1!D902</f>
        <v/>
      </c>
      <c r="H902" s="38">
        <f>UPPER(Sheet1!J902 &amp; "," &amp; Sheet1!K902 &amp; "," &amp; Sheet1!L902)</f>
        <v/>
      </c>
      <c r="I902" s="45">
        <f>Sheet1!I902</f>
        <v/>
      </c>
      <c r="J902" s="5">
        <f>Sheet1!M902 &amp; "," &amp; TEXT(Sheet1!N902,"dd/mm/yy")</f>
        <v/>
      </c>
      <c r="K902" s="5" t="inlineStr">
        <is>
          <t>PRINTED</t>
        </is>
      </c>
      <c r="L902" t="inlineStr">
        <is>
          <t>25/03/2026</t>
        </is>
      </c>
      <c r="M902" s="30" t="inlineStr">
        <is>
          <t>MANISH KATARIA, VICE CONSUL</t>
        </is>
      </c>
      <c r="N902" s="30" t="n"/>
    </row>
    <row r="903">
      <c r="A903" s="4">
        <f>Sheet1!A903 &amp; "/" &amp; "2025"</f>
        <v/>
      </c>
      <c r="B903" s="5">
        <f>Sheet1!E903</f>
        <v/>
      </c>
      <c r="C903" s="6">
        <f>UPPER(Sheet1!B903)</f>
        <v/>
      </c>
      <c r="D903" s="7">
        <f>IF(Sheet1!F903="F","FEMALE","MALE")</f>
        <v/>
      </c>
      <c r="E903" s="6">
        <f>UPPER(Sheet1!G903)</f>
        <v/>
      </c>
      <c r="F903" s="6">
        <f>UPPER(Sheet1!H903)</f>
        <v/>
      </c>
      <c r="G903" s="5">
        <f>TEXT(Sheet1!C903,"dd/mm/yyyy") &amp; "," &amp; Sheet1!D903</f>
        <v/>
      </c>
      <c r="H903" s="38">
        <f>UPPER(Sheet1!J903 &amp; "," &amp; Sheet1!K903 &amp; "," &amp; Sheet1!L903)</f>
        <v/>
      </c>
      <c r="I903" s="45">
        <f>Sheet1!I903</f>
        <v/>
      </c>
      <c r="J903" s="5">
        <f>Sheet1!M903 &amp; "," &amp; TEXT(Sheet1!N903,"dd/mm/yy")</f>
        <v/>
      </c>
      <c r="K903" s="5" t="inlineStr">
        <is>
          <t>PRINTED</t>
        </is>
      </c>
      <c r="L903" t="inlineStr">
        <is>
          <t>25/03/2026</t>
        </is>
      </c>
      <c r="M903" s="30" t="inlineStr">
        <is>
          <t>MANISH KATARIA, VICE CONSUL</t>
        </is>
      </c>
      <c r="N903" s="30" t="n"/>
    </row>
    <row r="904">
      <c r="A904" s="4">
        <f>Sheet1!A904 &amp; "/" &amp; "2025"</f>
        <v/>
      </c>
      <c r="B904" s="5">
        <f>Sheet1!E904</f>
        <v/>
      </c>
      <c r="C904" s="6">
        <f>UPPER(Sheet1!B904)</f>
        <v/>
      </c>
      <c r="D904" s="7">
        <f>IF(Sheet1!F904="F","FEMALE","MALE")</f>
        <v/>
      </c>
      <c r="E904" s="6">
        <f>UPPER(Sheet1!G904)</f>
        <v/>
      </c>
      <c r="F904" s="6">
        <f>UPPER(Sheet1!H904)</f>
        <v/>
      </c>
      <c r="G904" s="5">
        <f>TEXT(Sheet1!C904,"dd/mm/yyyy") &amp; "," &amp; Sheet1!D904</f>
        <v/>
      </c>
      <c r="H904" s="38">
        <f>UPPER(Sheet1!J904 &amp; "," &amp; Sheet1!K904 &amp; "," &amp; Sheet1!L904)</f>
        <v/>
      </c>
      <c r="I904" s="45">
        <f>Sheet1!I904</f>
        <v/>
      </c>
      <c r="J904" s="5">
        <f>Sheet1!M904 &amp; "," &amp; TEXT(Sheet1!N904,"dd/mm/yy")</f>
        <v/>
      </c>
      <c r="K904" s="5" t="inlineStr">
        <is>
          <t>PRINTED</t>
        </is>
      </c>
      <c r="L904" t="inlineStr">
        <is>
          <t>25/03/2026</t>
        </is>
      </c>
      <c r="M904" s="30" t="inlineStr">
        <is>
          <t>MANISH KATARIA, VICE CONSUL</t>
        </is>
      </c>
      <c r="N904" s="30" t="n"/>
    </row>
    <row r="905">
      <c r="A905" s="4">
        <f>Sheet1!A905 &amp; "/" &amp; "2025"</f>
        <v/>
      </c>
      <c r="B905" s="5">
        <f>Sheet1!E905</f>
        <v/>
      </c>
      <c r="C905" s="6">
        <f>UPPER(Sheet1!B905)</f>
        <v/>
      </c>
      <c r="D905" s="7">
        <f>IF(Sheet1!F905="F","FEMALE","MALE")</f>
        <v/>
      </c>
      <c r="E905" s="6">
        <f>UPPER(Sheet1!G905)</f>
        <v/>
      </c>
      <c r="F905" s="6">
        <f>UPPER(Sheet1!H905)</f>
        <v/>
      </c>
      <c r="G905" s="5">
        <f>TEXT(Sheet1!C905,"dd/mm/yyyy") &amp; "," &amp; Sheet1!D905</f>
        <v/>
      </c>
      <c r="H905" s="38">
        <f>UPPER(Sheet1!J905 &amp; "," &amp; Sheet1!K905 &amp; "," &amp; Sheet1!L905)</f>
        <v/>
      </c>
      <c r="I905" s="45">
        <f>Sheet1!I905</f>
        <v/>
      </c>
      <c r="J905" s="5">
        <f>Sheet1!M905 &amp; "," &amp; TEXT(Sheet1!N905,"dd/mm/yy")</f>
        <v/>
      </c>
      <c r="K905" s="5" t="inlineStr">
        <is>
          <t>PRINTED</t>
        </is>
      </c>
      <c r="L905" t="inlineStr">
        <is>
          <t>25/03/2026</t>
        </is>
      </c>
      <c r="M905" s="30" t="inlineStr">
        <is>
          <t>MANISH KATARIA, VICE CONSUL</t>
        </is>
      </c>
      <c r="N905" s="30" t="n"/>
    </row>
    <row r="906">
      <c r="A906" s="4">
        <f>Sheet1!A906 &amp; "/" &amp; "2025"</f>
        <v/>
      </c>
      <c r="B906" s="5">
        <f>Sheet1!E906</f>
        <v/>
      </c>
      <c r="C906" s="6">
        <f>UPPER(Sheet1!B906)</f>
        <v/>
      </c>
      <c r="D906" s="7">
        <f>IF(Sheet1!F906="F","FEMALE","MALE")</f>
        <v/>
      </c>
      <c r="E906" s="6">
        <f>UPPER(Sheet1!G906)</f>
        <v/>
      </c>
      <c r="F906" s="6">
        <f>UPPER(Sheet1!H906)</f>
        <v/>
      </c>
      <c r="G906" s="5">
        <f>TEXT(Sheet1!C906,"dd/mm/yyyy") &amp; "," &amp; Sheet1!D906</f>
        <v/>
      </c>
      <c r="H906" s="38">
        <f>UPPER(Sheet1!J906 &amp; "," &amp; Sheet1!K906 &amp; "," &amp; Sheet1!L906)</f>
        <v/>
      </c>
      <c r="I906" s="45">
        <f>Sheet1!I906</f>
        <v/>
      </c>
      <c r="J906" s="5">
        <f>Sheet1!M906 &amp; "," &amp; TEXT(Sheet1!N906,"dd/mm/yy")</f>
        <v/>
      </c>
      <c r="K906" s="5" t="inlineStr">
        <is>
          <t>PRINTED</t>
        </is>
      </c>
      <c r="L906" t="inlineStr">
        <is>
          <t>25/03/2026</t>
        </is>
      </c>
      <c r="M906" s="30" t="inlineStr">
        <is>
          <t>MANISH KATARIA, VICE CONSUL</t>
        </is>
      </c>
      <c r="N906" s="30" t="n"/>
    </row>
    <row r="907">
      <c r="A907" s="4">
        <f>Sheet1!A907 &amp; "/" &amp; "2025"</f>
        <v/>
      </c>
      <c r="B907" s="5">
        <f>Sheet1!E907</f>
        <v/>
      </c>
      <c r="C907" s="6">
        <f>UPPER(Sheet1!B907)</f>
        <v/>
      </c>
      <c r="D907" s="7">
        <f>IF(Sheet1!F907="F","FEMALE","MALE")</f>
        <v/>
      </c>
      <c r="E907" s="6">
        <f>UPPER(Sheet1!G907)</f>
        <v/>
      </c>
      <c r="F907" s="6">
        <f>UPPER(Sheet1!H907)</f>
        <v/>
      </c>
      <c r="G907" s="5">
        <f>TEXT(Sheet1!C907,"dd/mm/yyyy") &amp; "," &amp; Sheet1!D907</f>
        <v/>
      </c>
      <c r="H907" s="38">
        <f>UPPER(Sheet1!J907 &amp; "," &amp; Sheet1!K907 &amp; "," &amp; Sheet1!L907)</f>
        <v/>
      </c>
      <c r="I907" s="45">
        <f>Sheet1!I907</f>
        <v/>
      </c>
      <c r="J907" s="5">
        <f>Sheet1!M907 &amp; "," &amp; TEXT(Sheet1!N907,"dd/mm/yy")</f>
        <v/>
      </c>
      <c r="K907" s="5" t="inlineStr">
        <is>
          <t>PRINTED</t>
        </is>
      </c>
      <c r="L907" t="inlineStr">
        <is>
          <t>25/03/2026</t>
        </is>
      </c>
      <c r="M907" s="30" t="inlineStr">
        <is>
          <t>MANISH KATARIA, VICE CONSUL</t>
        </is>
      </c>
      <c r="N907" s="30" t="n"/>
    </row>
    <row r="908">
      <c r="A908" s="4">
        <f>Sheet1!A908 &amp; "/" &amp; "2025"</f>
        <v/>
      </c>
      <c r="B908" s="5">
        <f>Sheet1!E908</f>
        <v/>
      </c>
      <c r="C908" s="6">
        <f>UPPER(Sheet1!B908)</f>
        <v/>
      </c>
      <c r="D908" s="7">
        <f>IF(Sheet1!F908="F","FEMALE","MALE")</f>
        <v/>
      </c>
      <c r="E908" s="6">
        <f>UPPER(Sheet1!G908)</f>
        <v/>
      </c>
      <c r="F908" s="6">
        <f>UPPER(Sheet1!H908)</f>
        <v/>
      </c>
      <c r="G908" s="5">
        <f>TEXT(Sheet1!C908,"dd/mm/yyyy") &amp; "," &amp; Sheet1!D908</f>
        <v/>
      </c>
      <c r="H908" s="38">
        <f>UPPER(Sheet1!J908 &amp; "," &amp; Sheet1!K908 &amp; "," &amp; Sheet1!L908)</f>
        <v/>
      </c>
      <c r="I908" s="45">
        <f>Sheet1!I908</f>
        <v/>
      </c>
      <c r="J908" s="5">
        <f>Sheet1!M908 &amp; "," &amp; TEXT(Sheet1!N908,"dd/mm/yy")</f>
        <v/>
      </c>
      <c r="K908" s="5" t="inlineStr">
        <is>
          <t>PRINTED</t>
        </is>
      </c>
      <c r="L908" t="inlineStr">
        <is>
          <t>25/03/2026</t>
        </is>
      </c>
      <c r="M908" s="30" t="inlineStr">
        <is>
          <t>MANISH KATARIA, VICE CONSUL</t>
        </is>
      </c>
      <c r="N908" s="30" t="n"/>
    </row>
    <row r="909">
      <c r="A909" s="4">
        <f>Sheet1!A909 &amp; "/" &amp; "2025"</f>
        <v/>
      </c>
      <c r="B909" s="5">
        <f>Sheet1!E909</f>
        <v/>
      </c>
      <c r="C909" s="6">
        <f>UPPER(Sheet1!B909)</f>
        <v/>
      </c>
      <c r="D909" s="7">
        <f>IF(Sheet1!F909="F","FEMALE","MALE")</f>
        <v/>
      </c>
      <c r="E909" s="6">
        <f>UPPER(Sheet1!G909)</f>
        <v/>
      </c>
      <c r="F909" s="6">
        <f>UPPER(Sheet1!H909)</f>
        <v/>
      </c>
      <c r="G909" s="5">
        <f>TEXT(Sheet1!C909,"dd/mm/yyyy") &amp; "," &amp; Sheet1!D909</f>
        <v/>
      </c>
      <c r="H909" s="38">
        <f>UPPER(Sheet1!J909 &amp; "," &amp; Sheet1!K909 &amp; "," &amp; Sheet1!L909)</f>
        <v/>
      </c>
      <c r="I909" s="45">
        <f>Sheet1!I909</f>
        <v/>
      </c>
      <c r="J909" s="5">
        <f>Sheet1!M909 &amp; "," &amp; TEXT(Sheet1!N909,"dd/mm/yy")</f>
        <v/>
      </c>
      <c r="K909" s="5" t="inlineStr">
        <is>
          <t>PRINTED</t>
        </is>
      </c>
      <c r="L909" t="inlineStr">
        <is>
          <t>25/03/2026</t>
        </is>
      </c>
      <c r="M909" s="30" t="inlineStr">
        <is>
          <t>MANISH KATARIA, VICE CONSUL</t>
        </is>
      </c>
      <c r="N909" s="30" t="n"/>
    </row>
    <row r="910">
      <c r="A910" s="4">
        <f>Sheet1!A910 &amp; "/" &amp; "2025"</f>
        <v/>
      </c>
      <c r="B910" s="5">
        <f>Sheet1!E910</f>
        <v/>
      </c>
      <c r="C910" s="6">
        <f>UPPER(Sheet1!B910)</f>
        <v/>
      </c>
      <c r="D910" s="7">
        <f>IF(Sheet1!F910="F","FEMALE","MALE")</f>
        <v/>
      </c>
      <c r="E910" s="6">
        <f>UPPER(Sheet1!G910)</f>
        <v/>
      </c>
      <c r="F910" s="6">
        <f>UPPER(Sheet1!H910)</f>
        <v/>
      </c>
      <c r="G910" s="5">
        <f>TEXT(Sheet1!C910,"dd/mm/yyyy") &amp; "," &amp; Sheet1!D910</f>
        <v/>
      </c>
      <c r="H910" s="38">
        <f>UPPER(Sheet1!J910 &amp; "," &amp; Sheet1!K910 &amp; "," &amp; Sheet1!L910)</f>
        <v/>
      </c>
      <c r="I910" s="45">
        <f>Sheet1!I910</f>
        <v/>
      </c>
      <c r="J910" s="5">
        <f>Sheet1!M910 &amp; "," &amp; TEXT(Sheet1!N910,"dd/mm/yy")</f>
        <v/>
      </c>
      <c r="K910" s="5" t="inlineStr">
        <is>
          <t>PRINTED</t>
        </is>
      </c>
      <c r="L910" t="inlineStr">
        <is>
          <t>25/03/2026</t>
        </is>
      </c>
      <c r="M910" s="30" t="inlineStr">
        <is>
          <t>MANISH KATARIA, VICE CONSUL</t>
        </is>
      </c>
      <c r="N910" s="30" t="n"/>
    </row>
    <row r="911">
      <c r="A911" s="4">
        <f>Sheet1!A911 &amp; "/" &amp; "2025"</f>
        <v/>
      </c>
      <c r="B911" s="5">
        <f>Sheet1!E911</f>
        <v/>
      </c>
      <c r="C911" s="6">
        <f>UPPER(Sheet1!B911)</f>
        <v/>
      </c>
      <c r="D911" s="7">
        <f>IF(Sheet1!F911="F","FEMALE","MALE")</f>
        <v/>
      </c>
      <c r="E911" s="6">
        <f>UPPER(Sheet1!G911)</f>
        <v/>
      </c>
      <c r="F911" s="6">
        <f>UPPER(Sheet1!H911)</f>
        <v/>
      </c>
      <c r="G911" s="5">
        <f>TEXT(Sheet1!C911,"dd/mm/yyyy") &amp; "," &amp; Sheet1!D911</f>
        <v/>
      </c>
      <c r="H911" s="38">
        <f>UPPER(Sheet1!J911 &amp; "," &amp; Sheet1!K911 &amp; "," &amp; Sheet1!L911)</f>
        <v/>
      </c>
      <c r="I911" s="45">
        <f>Sheet1!I911</f>
        <v/>
      </c>
      <c r="J911" s="5">
        <f>Sheet1!M911 &amp; "," &amp; TEXT(Sheet1!N911,"dd/mm/yy")</f>
        <v/>
      </c>
      <c r="K911" s="5" t="inlineStr">
        <is>
          <t>PRINTED</t>
        </is>
      </c>
      <c r="L911" t="inlineStr">
        <is>
          <t>25/03/2026</t>
        </is>
      </c>
      <c r="M911" s="30" t="inlineStr">
        <is>
          <t>MANISH KATARIA, VICE CONSUL</t>
        </is>
      </c>
      <c r="N911" s="30" t="n"/>
    </row>
    <row r="912">
      <c r="A912" s="4">
        <f>Sheet1!A912 &amp; "/" &amp; "2025"</f>
        <v/>
      </c>
      <c r="B912" s="5">
        <f>Sheet1!E912</f>
        <v/>
      </c>
      <c r="C912" s="6">
        <f>UPPER(Sheet1!B912)</f>
        <v/>
      </c>
      <c r="D912" s="7">
        <f>IF(Sheet1!F912="F","FEMALE","MALE")</f>
        <v/>
      </c>
      <c r="E912" s="6">
        <f>UPPER(Sheet1!G912)</f>
        <v/>
      </c>
      <c r="F912" s="6">
        <f>UPPER(Sheet1!H912)</f>
        <v/>
      </c>
      <c r="G912" s="5">
        <f>TEXT(Sheet1!C912,"dd/mm/yyyy") &amp; "," &amp; Sheet1!D912</f>
        <v/>
      </c>
      <c r="H912" s="38">
        <f>UPPER(Sheet1!J912 &amp; "," &amp; Sheet1!K912 &amp; "," &amp; Sheet1!L912)</f>
        <v/>
      </c>
      <c r="I912" s="45">
        <f>Sheet1!I912</f>
        <v/>
      </c>
      <c r="J912" s="5">
        <f>Sheet1!M912 &amp; "," &amp; TEXT(Sheet1!N912,"dd/mm/yy")</f>
        <v/>
      </c>
      <c r="K912" s="5" t="inlineStr">
        <is>
          <t>PRINTED</t>
        </is>
      </c>
      <c r="L912" t="inlineStr">
        <is>
          <t>25/03/2026</t>
        </is>
      </c>
      <c r="M912" s="30" t="inlineStr">
        <is>
          <t>MANISH KATARIA, VICE CONSUL</t>
        </is>
      </c>
      <c r="N912" s="30" t="n"/>
    </row>
    <row r="913">
      <c r="A913" s="4">
        <f>Sheet1!A913 &amp; "/" &amp; "2025"</f>
        <v/>
      </c>
      <c r="B913" s="5">
        <f>Sheet1!E913</f>
        <v/>
      </c>
      <c r="C913" s="6">
        <f>UPPER(Sheet1!B913)</f>
        <v/>
      </c>
      <c r="D913" s="7">
        <f>IF(Sheet1!F913="F","FEMALE","MALE")</f>
        <v/>
      </c>
      <c r="E913" s="6">
        <f>UPPER(Sheet1!G913)</f>
        <v/>
      </c>
      <c r="F913" s="6">
        <f>UPPER(Sheet1!H913)</f>
        <v/>
      </c>
      <c r="G913" s="5">
        <f>TEXT(Sheet1!C913,"dd/mm/yyyy") &amp; "," &amp; Sheet1!D913</f>
        <v/>
      </c>
      <c r="H913" s="38">
        <f>UPPER(Sheet1!J913 &amp; "," &amp; Sheet1!K913 &amp; "," &amp; Sheet1!L913)</f>
        <v/>
      </c>
      <c r="I913" s="45">
        <f>Sheet1!I913</f>
        <v/>
      </c>
      <c r="J913" s="5">
        <f>Sheet1!M913 &amp; "," &amp; TEXT(Sheet1!N913,"dd/mm/yy")</f>
        <v/>
      </c>
      <c r="K913" s="5" t="inlineStr">
        <is>
          <t>PRINTED</t>
        </is>
      </c>
      <c r="L913" t="inlineStr">
        <is>
          <t>25/03/2026</t>
        </is>
      </c>
      <c r="M913" s="30" t="inlineStr">
        <is>
          <t>MANISH KATARIA, VICE CONSUL</t>
        </is>
      </c>
      <c r="N913" s="30" t="n"/>
    </row>
    <row r="914">
      <c r="A914" s="4">
        <f>Sheet1!A914 &amp; "/" &amp; "2025"</f>
        <v/>
      </c>
      <c r="B914" s="5">
        <f>Sheet1!E914</f>
        <v/>
      </c>
      <c r="C914" s="6">
        <f>UPPER(Sheet1!B914)</f>
        <v/>
      </c>
      <c r="D914" s="7">
        <f>IF(Sheet1!F914="F","FEMALE","MALE")</f>
        <v/>
      </c>
      <c r="E914" s="6">
        <f>UPPER(Sheet1!G914)</f>
        <v/>
      </c>
      <c r="F914" s="6">
        <f>UPPER(Sheet1!H914)</f>
        <v/>
      </c>
      <c r="G914" s="5">
        <f>TEXT(Sheet1!C914,"dd/mm/yyyy") &amp; "," &amp; Sheet1!D914</f>
        <v/>
      </c>
      <c r="H914" s="38">
        <f>UPPER(Sheet1!J914 &amp; "," &amp; Sheet1!K914 &amp; "," &amp; Sheet1!L914)</f>
        <v/>
      </c>
      <c r="I914" s="45">
        <f>Sheet1!I914</f>
        <v/>
      </c>
      <c r="J914" s="5">
        <f>Sheet1!M914 &amp; "," &amp; TEXT(Sheet1!N914,"dd/mm/yy")</f>
        <v/>
      </c>
      <c r="K914" s="5" t="inlineStr">
        <is>
          <t>PRINTED</t>
        </is>
      </c>
      <c r="L914" t="inlineStr">
        <is>
          <t>25/03/2026</t>
        </is>
      </c>
      <c r="M914" s="30" t="inlineStr">
        <is>
          <t>MANISH KATARIA, VICE CONSUL</t>
        </is>
      </c>
      <c r="N914" s="30" t="n"/>
    </row>
    <row r="915">
      <c r="A915" s="4">
        <f>Sheet1!A915 &amp; "/" &amp; "2025"</f>
        <v/>
      </c>
      <c r="B915" s="5">
        <f>Sheet1!E915</f>
        <v/>
      </c>
      <c r="C915" s="6">
        <f>UPPER(Sheet1!B915)</f>
        <v/>
      </c>
      <c r="D915" s="7">
        <f>IF(Sheet1!F915="F","FEMALE","MALE")</f>
        <v/>
      </c>
      <c r="E915" s="6">
        <f>UPPER(Sheet1!G915)</f>
        <v/>
      </c>
      <c r="F915" s="6">
        <f>UPPER(Sheet1!H915)</f>
        <v/>
      </c>
      <c r="G915" s="5">
        <f>TEXT(Sheet1!C915,"dd/mm/yyyy") &amp; "," &amp; Sheet1!D915</f>
        <v/>
      </c>
      <c r="H915" s="38">
        <f>UPPER(Sheet1!J915 &amp; "," &amp; Sheet1!K915 &amp; "," &amp; Sheet1!L915)</f>
        <v/>
      </c>
      <c r="I915" s="45">
        <f>Sheet1!I915</f>
        <v/>
      </c>
      <c r="J915" s="5">
        <f>Sheet1!M915 &amp; "," &amp; TEXT(Sheet1!N915,"dd/mm/yy")</f>
        <v/>
      </c>
      <c r="K915" s="5" t="inlineStr">
        <is>
          <t>PRINTED</t>
        </is>
      </c>
      <c r="L915" t="inlineStr">
        <is>
          <t>25/03/2026</t>
        </is>
      </c>
      <c r="M915" s="30" t="inlineStr">
        <is>
          <t>MANISH KATARIA, VICE CONSUL</t>
        </is>
      </c>
      <c r="N915" s="30" t="n"/>
    </row>
    <row r="916">
      <c r="A916" s="4">
        <f>Sheet1!A916 &amp; "/" &amp; "2025"</f>
        <v/>
      </c>
      <c r="B916" s="5">
        <f>Sheet1!E916</f>
        <v/>
      </c>
      <c r="C916" s="6">
        <f>UPPER(Sheet1!B916)</f>
        <v/>
      </c>
      <c r="D916" s="7">
        <f>IF(Sheet1!F916="F","FEMALE","MALE")</f>
        <v/>
      </c>
      <c r="E916" s="6">
        <f>UPPER(Sheet1!G916)</f>
        <v/>
      </c>
      <c r="F916" s="6">
        <f>UPPER(Sheet1!H916)</f>
        <v/>
      </c>
      <c r="G916" s="5">
        <f>TEXT(Sheet1!C916,"dd/mm/yyyy") &amp; "," &amp; Sheet1!D916</f>
        <v/>
      </c>
      <c r="H916" s="38">
        <f>UPPER(Sheet1!J916 &amp; "," &amp; Sheet1!K916 &amp; "," &amp; Sheet1!L916)</f>
        <v/>
      </c>
      <c r="I916" s="45">
        <f>Sheet1!I916</f>
        <v/>
      </c>
      <c r="J916" s="5">
        <f>Sheet1!M916 &amp; "," &amp; TEXT(Sheet1!N916,"dd/mm/yy")</f>
        <v/>
      </c>
      <c r="K916" s="5" t="inlineStr">
        <is>
          <t>PRINTED</t>
        </is>
      </c>
      <c r="L916" t="inlineStr">
        <is>
          <t>25/03/2026</t>
        </is>
      </c>
      <c r="M916" s="30" t="inlineStr">
        <is>
          <t>MANISH KATARIA, VICE CONSUL</t>
        </is>
      </c>
      <c r="N916" s="30" t="n"/>
    </row>
    <row r="917">
      <c r="A917" s="4">
        <f>Sheet1!A917 &amp; "/" &amp; "2025"</f>
        <v/>
      </c>
      <c r="B917" s="5">
        <f>Sheet1!E917</f>
        <v/>
      </c>
      <c r="C917" s="6">
        <f>UPPER(Sheet1!B917)</f>
        <v/>
      </c>
      <c r="D917" s="7">
        <f>IF(Sheet1!F917="F","FEMALE","MALE")</f>
        <v/>
      </c>
      <c r="E917" s="6">
        <f>UPPER(Sheet1!G917)</f>
        <v/>
      </c>
      <c r="F917" s="6">
        <f>UPPER(Sheet1!H917)</f>
        <v/>
      </c>
      <c r="G917" s="5">
        <f>TEXT(Sheet1!C917,"dd/mm/yyyy") &amp; "," &amp; Sheet1!D917</f>
        <v/>
      </c>
      <c r="H917" s="38">
        <f>UPPER(Sheet1!J917 &amp; "," &amp; Sheet1!K917 &amp; "," &amp; Sheet1!L917)</f>
        <v/>
      </c>
      <c r="I917" s="45">
        <f>Sheet1!I917</f>
        <v/>
      </c>
      <c r="J917" s="5">
        <f>Sheet1!M917 &amp; "," &amp; TEXT(Sheet1!N917,"dd/mm/yy")</f>
        <v/>
      </c>
      <c r="K917" s="5" t="inlineStr">
        <is>
          <t>PRINTED</t>
        </is>
      </c>
      <c r="L917" t="inlineStr">
        <is>
          <t>25/03/2026</t>
        </is>
      </c>
      <c r="M917" s="30" t="inlineStr">
        <is>
          <t>MANISH KATARIA, VICE CONSUL</t>
        </is>
      </c>
      <c r="N917" s="30" t="n"/>
    </row>
    <row r="918">
      <c r="A918" s="4">
        <f>Sheet1!A918 &amp; "/" &amp; "2025"</f>
        <v/>
      </c>
      <c r="B918" s="5">
        <f>Sheet1!E918</f>
        <v/>
      </c>
      <c r="C918" s="6">
        <f>UPPER(Sheet1!B918)</f>
        <v/>
      </c>
      <c r="D918" s="7">
        <f>IF(Sheet1!F918="F","FEMALE","MALE")</f>
        <v/>
      </c>
      <c r="E918" s="6">
        <f>UPPER(Sheet1!G918)</f>
        <v/>
      </c>
      <c r="F918" s="6">
        <f>UPPER(Sheet1!H918)</f>
        <v/>
      </c>
      <c r="G918" s="5">
        <f>TEXT(Sheet1!C918,"dd/mm/yyyy") &amp; "," &amp; Sheet1!D918</f>
        <v/>
      </c>
      <c r="H918" s="38">
        <f>UPPER(Sheet1!J918 &amp; "," &amp; Sheet1!K918 &amp; "," &amp; Sheet1!L918)</f>
        <v/>
      </c>
      <c r="I918" s="45">
        <f>Sheet1!I918</f>
        <v/>
      </c>
      <c r="J918" s="5">
        <f>Sheet1!M918 &amp; "," &amp; TEXT(Sheet1!N918,"dd/mm/yy")</f>
        <v/>
      </c>
      <c r="K918" s="5" t="inlineStr">
        <is>
          <t>PRINTED</t>
        </is>
      </c>
      <c r="L918" t="inlineStr">
        <is>
          <t>25/03/2026</t>
        </is>
      </c>
      <c r="M918" s="30" t="inlineStr">
        <is>
          <t>MANISH KATARIA, VICE CONSUL</t>
        </is>
      </c>
      <c r="N918" s="30" t="n"/>
    </row>
    <row r="919">
      <c r="A919" s="4">
        <f>Sheet1!A919 &amp; "/" &amp; "2025"</f>
        <v/>
      </c>
      <c r="B919" s="5">
        <f>Sheet1!E919</f>
        <v/>
      </c>
      <c r="C919" s="6">
        <f>UPPER(Sheet1!B919)</f>
        <v/>
      </c>
      <c r="D919" s="7">
        <f>IF(Sheet1!F919="F","FEMALE","MALE")</f>
        <v/>
      </c>
      <c r="E919" s="6">
        <f>UPPER(Sheet1!G919)</f>
        <v/>
      </c>
      <c r="F919" s="6">
        <f>UPPER(Sheet1!H919)</f>
        <v/>
      </c>
      <c r="G919" s="5">
        <f>TEXT(Sheet1!C919,"dd/mm/yyyy") &amp; "," &amp; Sheet1!D919</f>
        <v/>
      </c>
      <c r="H919" s="38">
        <f>UPPER(Sheet1!J919 &amp; "," &amp; Sheet1!K919 &amp; "," &amp; Sheet1!L919)</f>
        <v/>
      </c>
      <c r="I919" s="45">
        <f>Sheet1!I919</f>
        <v/>
      </c>
      <c r="J919" s="5">
        <f>Sheet1!M919 &amp; "," &amp; TEXT(Sheet1!N919,"dd/mm/yy")</f>
        <v/>
      </c>
      <c r="K919" s="5" t="inlineStr">
        <is>
          <t>PRINTED</t>
        </is>
      </c>
      <c r="L919" t="inlineStr">
        <is>
          <t>25/03/2026</t>
        </is>
      </c>
      <c r="M919" s="30" t="inlineStr">
        <is>
          <t>MANISH KATARIA, VICE CONSUL</t>
        </is>
      </c>
      <c r="N919" s="30" t="n"/>
    </row>
    <row r="920">
      <c r="A920" s="4">
        <f>Sheet1!A920 &amp; "/" &amp; "2025"</f>
        <v/>
      </c>
      <c r="B920" s="5">
        <f>Sheet1!E920</f>
        <v/>
      </c>
      <c r="C920" s="6">
        <f>UPPER(Sheet1!B920)</f>
        <v/>
      </c>
      <c r="D920" s="7">
        <f>IF(Sheet1!F920="F","FEMALE","MALE")</f>
        <v/>
      </c>
      <c r="E920" s="6">
        <f>UPPER(Sheet1!G920)</f>
        <v/>
      </c>
      <c r="F920" s="6">
        <f>UPPER(Sheet1!H920)</f>
        <v/>
      </c>
      <c r="G920" s="5">
        <f>TEXT(Sheet1!C920,"dd/mm/yyyy") &amp; "," &amp; Sheet1!D920</f>
        <v/>
      </c>
      <c r="H920" s="38">
        <f>UPPER(Sheet1!J920 &amp; "," &amp; Sheet1!K920 &amp; "," &amp; Sheet1!L920)</f>
        <v/>
      </c>
      <c r="I920" s="45">
        <f>Sheet1!I920</f>
        <v/>
      </c>
      <c r="J920" s="5">
        <f>Sheet1!M920 &amp; "," &amp; TEXT(Sheet1!N920,"dd/mm/yy")</f>
        <v/>
      </c>
      <c r="K920" s="5" t="inlineStr">
        <is>
          <t>PRINTED</t>
        </is>
      </c>
      <c r="L920" t="inlineStr">
        <is>
          <t>25/03/2026</t>
        </is>
      </c>
      <c r="M920" s="30" t="inlineStr">
        <is>
          <t>MANISH KATARIA, VICE CONSUL</t>
        </is>
      </c>
      <c r="N920" s="30" t="n"/>
    </row>
    <row r="921">
      <c r="A921" s="4">
        <f>Sheet1!A921 &amp; "/" &amp; "2025"</f>
        <v/>
      </c>
      <c r="B921" s="5">
        <f>Sheet1!E921</f>
        <v/>
      </c>
      <c r="C921" s="6">
        <f>UPPER(Sheet1!B921)</f>
        <v/>
      </c>
      <c r="D921" s="7">
        <f>IF(Sheet1!F921="F","FEMALE","MALE")</f>
        <v/>
      </c>
      <c r="E921" s="6">
        <f>UPPER(Sheet1!G921)</f>
        <v/>
      </c>
      <c r="F921" s="6">
        <f>UPPER(Sheet1!H921)</f>
        <v/>
      </c>
      <c r="G921" s="5">
        <f>TEXT(Sheet1!C921,"dd/mm/yyyy") &amp; "," &amp; Sheet1!D921</f>
        <v/>
      </c>
      <c r="H921" s="38">
        <f>UPPER(Sheet1!J921 &amp; "," &amp; Sheet1!K921 &amp; "," &amp; Sheet1!L921)</f>
        <v/>
      </c>
      <c r="I921" s="45">
        <f>Sheet1!I921</f>
        <v/>
      </c>
      <c r="J921" s="5">
        <f>Sheet1!M921 &amp; "," &amp; TEXT(Sheet1!N921,"dd/mm/yy")</f>
        <v/>
      </c>
      <c r="K921" s="5" t="inlineStr">
        <is>
          <t>PRINTED</t>
        </is>
      </c>
      <c r="L921" t="inlineStr">
        <is>
          <t>25/03/2026</t>
        </is>
      </c>
      <c r="M921" s="30" t="inlineStr">
        <is>
          <t>MANISH KATARIA, VICE CONSUL</t>
        </is>
      </c>
      <c r="N921" s="30" t="n"/>
    </row>
    <row r="922">
      <c r="A922" s="4">
        <f>Sheet1!A922 &amp; "/" &amp; "2025"</f>
        <v/>
      </c>
      <c r="B922" s="5">
        <f>Sheet1!E922</f>
        <v/>
      </c>
      <c r="C922" s="6">
        <f>UPPER(Sheet1!B922)</f>
        <v/>
      </c>
      <c r="D922" s="7">
        <f>IF(Sheet1!F922="F","FEMALE","MALE")</f>
        <v/>
      </c>
      <c r="E922" s="6">
        <f>UPPER(Sheet1!G922)</f>
        <v/>
      </c>
      <c r="F922" s="6">
        <f>UPPER(Sheet1!H922)</f>
        <v/>
      </c>
      <c r="G922" s="5">
        <f>TEXT(Sheet1!C922,"dd/mm/yyyy") &amp; "," &amp; Sheet1!D922</f>
        <v/>
      </c>
      <c r="H922" s="38">
        <f>UPPER(Sheet1!J922 &amp; "," &amp; Sheet1!K922 &amp; "," &amp; Sheet1!L922)</f>
        <v/>
      </c>
      <c r="I922" s="45">
        <f>Sheet1!I922</f>
        <v/>
      </c>
      <c r="J922" s="5">
        <f>Sheet1!M922 &amp; "," &amp; TEXT(Sheet1!N922,"dd/mm/yy")</f>
        <v/>
      </c>
      <c r="K922" s="5" t="inlineStr">
        <is>
          <t>PRINTED</t>
        </is>
      </c>
      <c r="L922" t="inlineStr">
        <is>
          <t>25/03/2026</t>
        </is>
      </c>
      <c r="M922" s="30" t="inlineStr">
        <is>
          <t>MANISH KATARIA, VICE CONSUL</t>
        </is>
      </c>
      <c r="N922" s="30" t="n"/>
    </row>
    <row r="923">
      <c r="A923" s="4">
        <f>Sheet1!A923 &amp; "/" &amp; "2025"</f>
        <v/>
      </c>
      <c r="B923" s="5">
        <f>Sheet1!E923</f>
        <v/>
      </c>
      <c r="C923" s="6">
        <f>UPPER(Sheet1!B923)</f>
        <v/>
      </c>
      <c r="D923" s="7">
        <f>IF(Sheet1!F923="F","FEMALE","MALE")</f>
        <v/>
      </c>
      <c r="E923" s="6">
        <f>UPPER(Sheet1!G923)</f>
        <v/>
      </c>
      <c r="F923" s="6">
        <f>UPPER(Sheet1!H923)</f>
        <v/>
      </c>
      <c r="G923" s="5">
        <f>TEXT(Sheet1!C923,"dd/mm/yyyy") &amp; "," &amp; Sheet1!D923</f>
        <v/>
      </c>
      <c r="H923" s="38">
        <f>UPPER(Sheet1!J923 &amp; "," &amp; Sheet1!K923 &amp; "," &amp; Sheet1!L923)</f>
        <v/>
      </c>
      <c r="I923" s="45">
        <f>Sheet1!I923</f>
        <v/>
      </c>
      <c r="J923" s="5">
        <f>Sheet1!M923 &amp; "," &amp; TEXT(Sheet1!N923,"dd/mm/yy")</f>
        <v/>
      </c>
      <c r="K923" s="5" t="inlineStr">
        <is>
          <t>PRINTED</t>
        </is>
      </c>
      <c r="L923" t="inlineStr">
        <is>
          <t>25/03/2026</t>
        </is>
      </c>
      <c r="M923" s="30" t="inlineStr">
        <is>
          <t>MANISH KATARIA, VICE CONSUL</t>
        </is>
      </c>
      <c r="N923" s="30" t="n"/>
    </row>
    <row r="924">
      <c r="A924" s="4">
        <f>Sheet1!A924 &amp; "/" &amp; "2025"</f>
        <v/>
      </c>
      <c r="B924" s="5">
        <f>Sheet1!E924</f>
        <v/>
      </c>
      <c r="C924" s="6">
        <f>UPPER(Sheet1!B924)</f>
        <v/>
      </c>
      <c r="D924" s="7">
        <f>IF(Sheet1!F924="F","FEMALE","MALE")</f>
        <v/>
      </c>
      <c r="E924" s="6">
        <f>UPPER(Sheet1!G924)</f>
        <v/>
      </c>
      <c r="F924" s="6">
        <f>UPPER(Sheet1!H924)</f>
        <v/>
      </c>
      <c r="G924" s="5">
        <f>TEXT(Sheet1!C924,"dd/mm/yyyy") &amp; "," &amp; Sheet1!D924</f>
        <v/>
      </c>
      <c r="H924" s="38">
        <f>UPPER(Sheet1!J924 &amp; "," &amp; Sheet1!K924 &amp; "," &amp; Sheet1!L924)</f>
        <v/>
      </c>
      <c r="I924" s="45">
        <f>Sheet1!I924</f>
        <v/>
      </c>
      <c r="J924" s="5">
        <f>Sheet1!M924 &amp; "," &amp; TEXT(Sheet1!N924,"dd/mm/yy")</f>
        <v/>
      </c>
      <c r="K924" s="5" t="inlineStr">
        <is>
          <t>PRINTED</t>
        </is>
      </c>
      <c r="L924" t="inlineStr">
        <is>
          <t>25/03/2026</t>
        </is>
      </c>
      <c r="M924" s="30" t="inlineStr">
        <is>
          <t>MANISH KATARIA, VICE CONSUL</t>
        </is>
      </c>
      <c r="N924" s="30" t="n"/>
    </row>
    <row r="925">
      <c r="A925" s="4">
        <f>Sheet1!A925 &amp; "/" &amp; "2025"</f>
        <v/>
      </c>
      <c r="B925" s="5">
        <f>Sheet1!E925</f>
        <v/>
      </c>
      <c r="C925" s="6">
        <f>UPPER(Sheet1!B925)</f>
        <v/>
      </c>
      <c r="D925" s="7">
        <f>IF(Sheet1!F925="F","FEMALE","MALE")</f>
        <v/>
      </c>
      <c r="E925" s="6">
        <f>UPPER(Sheet1!G925)</f>
        <v/>
      </c>
      <c r="F925" s="6">
        <f>UPPER(Sheet1!H925)</f>
        <v/>
      </c>
      <c r="G925" s="5">
        <f>TEXT(Sheet1!C925,"dd/mm/yyyy") &amp; "," &amp; Sheet1!D925</f>
        <v/>
      </c>
      <c r="H925" s="38">
        <f>UPPER(Sheet1!J925 &amp; "," &amp; Sheet1!K925 &amp; "," &amp; Sheet1!L925)</f>
        <v/>
      </c>
      <c r="I925" s="45">
        <f>Sheet1!I925</f>
        <v/>
      </c>
      <c r="J925" s="5">
        <f>Sheet1!M925 &amp; "," &amp; TEXT(Sheet1!N925,"dd/mm/yy")</f>
        <v/>
      </c>
      <c r="K925" s="5" t="inlineStr">
        <is>
          <t>PRINTED</t>
        </is>
      </c>
      <c r="L925" t="inlineStr">
        <is>
          <t>25/03/2026</t>
        </is>
      </c>
      <c r="M925" s="30" t="inlineStr">
        <is>
          <t>MANISH KATARIA, VICE CONSUL</t>
        </is>
      </c>
      <c r="N925" s="30" t="n"/>
    </row>
    <row r="926">
      <c r="A926" s="4">
        <f>Sheet1!A926 &amp; "/" &amp; "2025"</f>
        <v/>
      </c>
      <c r="B926" s="5">
        <f>Sheet1!E926</f>
        <v/>
      </c>
      <c r="C926" s="6">
        <f>UPPER(Sheet1!B926)</f>
        <v/>
      </c>
      <c r="D926" s="7">
        <f>IF(Sheet1!F926="F","FEMALE","MALE")</f>
        <v/>
      </c>
      <c r="E926" s="6">
        <f>UPPER(Sheet1!G926)</f>
        <v/>
      </c>
      <c r="F926" s="6">
        <f>UPPER(Sheet1!H926)</f>
        <v/>
      </c>
      <c r="G926" s="5">
        <f>TEXT(Sheet1!C926,"dd/mm/yyyy") &amp; "," &amp; Sheet1!D926</f>
        <v/>
      </c>
      <c r="H926" s="38">
        <f>UPPER(Sheet1!J926 &amp; "," &amp; Sheet1!K926 &amp; "," &amp; Sheet1!L926)</f>
        <v/>
      </c>
      <c r="I926" s="45">
        <f>Sheet1!I926</f>
        <v/>
      </c>
      <c r="J926" s="5">
        <f>Sheet1!M926 &amp; "," &amp; TEXT(Sheet1!N926,"dd/mm/yy")</f>
        <v/>
      </c>
      <c r="K926" s="5" t="inlineStr">
        <is>
          <t>PRINTED</t>
        </is>
      </c>
      <c r="L926" t="inlineStr">
        <is>
          <t>25/03/2026</t>
        </is>
      </c>
      <c r="M926" s="30" t="inlineStr">
        <is>
          <t>MANISH KATARIA, VICE CONSUL</t>
        </is>
      </c>
      <c r="N926" s="30" t="n"/>
    </row>
    <row r="927">
      <c r="A927" s="4">
        <f>Sheet1!A927 &amp; "/" &amp; "2025"</f>
        <v/>
      </c>
      <c r="B927" s="5">
        <f>Sheet1!E927</f>
        <v/>
      </c>
      <c r="C927" s="6">
        <f>UPPER(Sheet1!B927)</f>
        <v/>
      </c>
      <c r="D927" s="7">
        <f>IF(Sheet1!F927="F","FEMALE","MALE")</f>
        <v/>
      </c>
      <c r="E927" s="6">
        <f>UPPER(Sheet1!G927)</f>
        <v/>
      </c>
      <c r="F927" s="6">
        <f>UPPER(Sheet1!H927)</f>
        <v/>
      </c>
      <c r="G927" s="5">
        <f>TEXT(Sheet1!C927,"dd/mm/yyyy") &amp; "," &amp; Sheet1!D927</f>
        <v/>
      </c>
      <c r="H927" s="38">
        <f>UPPER(Sheet1!J927 &amp; "," &amp; Sheet1!K927 &amp; "," &amp; Sheet1!L927)</f>
        <v/>
      </c>
      <c r="I927" s="45">
        <f>Sheet1!I927</f>
        <v/>
      </c>
      <c r="J927" s="5">
        <f>Sheet1!M927 &amp; "," &amp; TEXT(Sheet1!N927,"dd/mm/yy")</f>
        <v/>
      </c>
      <c r="K927" s="5" t="inlineStr">
        <is>
          <t>PRINTED</t>
        </is>
      </c>
      <c r="L927" t="inlineStr">
        <is>
          <t>25/03/2026</t>
        </is>
      </c>
      <c r="M927" s="30" t="inlineStr">
        <is>
          <t>MANISH KATARIA, VICE CONSUL</t>
        </is>
      </c>
      <c r="N927" s="30" t="n"/>
    </row>
    <row r="928">
      <c r="A928" s="4">
        <f>Sheet1!A928 &amp; "/" &amp; "2025"</f>
        <v/>
      </c>
      <c r="B928" s="5">
        <f>Sheet1!E928</f>
        <v/>
      </c>
      <c r="C928" s="6">
        <f>UPPER(Sheet1!B928)</f>
        <v/>
      </c>
      <c r="D928" s="7">
        <f>IF(Sheet1!F928="F","FEMALE","MALE")</f>
        <v/>
      </c>
      <c r="E928" s="6">
        <f>UPPER(Sheet1!G928)</f>
        <v/>
      </c>
      <c r="F928" s="6">
        <f>UPPER(Sheet1!H928)</f>
        <v/>
      </c>
      <c r="G928" s="5">
        <f>TEXT(Sheet1!C928,"dd/mm/yyyy") &amp; "," &amp; Sheet1!D928</f>
        <v/>
      </c>
      <c r="H928" s="38">
        <f>UPPER(Sheet1!J928 &amp; "," &amp; Sheet1!K928 &amp; "," &amp; Sheet1!L928)</f>
        <v/>
      </c>
      <c r="I928" s="45">
        <f>Sheet1!I928</f>
        <v/>
      </c>
      <c r="J928" s="5">
        <f>Sheet1!M928 &amp; "," &amp; TEXT(Sheet1!N928,"dd/mm/yy")</f>
        <v/>
      </c>
      <c r="K928" s="5" t="inlineStr">
        <is>
          <t>PRINTED</t>
        </is>
      </c>
      <c r="L928" t="inlineStr">
        <is>
          <t>25/03/2026</t>
        </is>
      </c>
      <c r="M928" s="30" t="inlineStr">
        <is>
          <t>MANISH KATARIA, VICE CONSUL</t>
        </is>
      </c>
      <c r="N928" s="30" t="n"/>
    </row>
    <row r="929">
      <c r="A929" s="4">
        <f>Sheet1!A929 &amp; "/" &amp; "2025"</f>
        <v/>
      </c>
      <c r="B929" s="5">
        <f>Sheet1!E929</f>
        <v/>
      </c>
      <c r="C929" s="6">
        <f>UPPER(Sheet1!B929)</f>
        <v/>
      </c>
      <c r="D929" s="7">
        <f>IF(Sheet1!F929="F","FEMALE","MALE")</f>
        <v/>
      </c>
      <c r="E929" s="6">
        <f>UPPER(Sheet1!G929)</f>
        <v/>
      </c>
      <c r="F929" s="6">
        <f>UPPER(Sheet1!H929)</f>
        <v/>
      </c>
      <c r="G929" s="5">
        <f>TEXT(Sheet1!C929,"dd/mm/yyyy") &amp; "," &amp; Sheet1!D929</f>
        <v/>
      </c>
      <c r="H929" s="38">
        <f>UPPER(Sheet1!J929 &amp; "," &amp; Sheet1!K929 &amp; "," &amp; Sheet1!L929)</f>
        <v/>
      </c>
      <c r="I929" s="45">
        <f>Sheet1!I929</f>
        <v/>
      </c>
      <c r="J929" s="5">
        <f>Sheet1!M929 &amp; "," &amp; TEXT(Sheet1!N929,"dd/mm/yy")</f>
        <v/>
      </c>
      <c r="K929" s="5" t="inlineStr">
        <is>
          <t>PRINTED</t>
        </is>
      </c>
      <c r="L929" t="inlineStr">
        <is>
          <t>25/03/2026</t>
        </is>
      </c>
      <c r="M929" s="30" t="inlineStr">
        <is>
          <t>MANISH KATARIA, VICE CONSUL</t>
        </is>
      </c>
      <c r="N929" s="30" t="n"/>
    </row>
    <row r="930">
      <c r="A930" s="4">
        <f>Sheet1!A930 &amp; "/" &amp; "2025"</f>
        <v/>
      </c>
      <c r="B930" s="5">
        <f>Sheet1!E930</f>
        <v/>
      </c>
      <c r="C930" s="6">
        <f>UPPER(Sheet1!B930)</f>
        <v/>
      </c>
      <c r="D930" s="7">
        <f>IF(Sheet1!F930="F","FEMALE","MALE")</f>
        <v/>
      </c>
      <c r="E930" s="6">
        <f>UPPER(Sheet1!G930)</f>
        <v/>
      </c>
      <c r="F930" s="6">
        <f>UPPER(Sheet1!H930)</f>
        <v/>
      </c>
      <c r="G930" s="5">
        <f>TEXT(Sheet1!C930,"dd/mm/yyyy") &amp; "," &amp; Sheet1!D930</f>
        <v/>
      </c>
      <c r="H930" s="38">
        <f>UPPER(Sheet1!J930 &amp; "," &amp; Sheet1!K930 &amp; "," &amp; Sheet1!L930)</f>
        <v/>
      </c>
      <c r="I930" s="45">
        <f>Sheet1!I930</f>
        <v/>
      </c>
      <c r="J930" s="5">
        <f>Sheet1!M930 &amp; "," &amp; TEXT(Sheet1!N930,"dd/mm/yy")</f>
        <v/>
      </c>
      <c r="K930" s="5" t="inlineStr">
        <is>
          <t>PRINTED</t>
        </is>
      </c>
      <c r="L930" t="inlineStr">
        <is>
          <t>25/03/2026</t>
        </is>
      </c>
      <c r="M930" s="30" t="inlineStr">
        <is>
          <t>MANISH KATARIA, VICE CONSUL</t>
        </is>
      </c>
      <c r="N930" s="30" t="n"/>
    </row>
    <row r="931">
      <c r="A931" s="4">
        <f>Sheet1!A931 &amp; "/" &amp; "2025"</f>
        <v/>
      </c>
      <c r="B931" s="5">
        <f>Sheet1!E931</f>
        <v/>
      </c>
      <c r="C931" s="6">
        <f>UPPER(Sheet1!B931)</f>
        <v/>
      </c>
      <c r="D931" s="7">
        <f>IF(Sheet1!F931="F","FEMALE","MALE")</f>
        <v/>
      </c>
      <c r="E931" s="6">
        <f>UPPER(Sheet1!G931)</f>
        <v/>
      </c>
      <c r="F931" s="6">
        <f>UPPER(Sheet1!H931)</f>
        <v/>
      </c>
      <c r="G931" s="5">
        <f>TEXT(Sheet1!C931,"dd/mm/yyyy") &amp; "," &amp; Sheet1!D931</f>
        <v/>
      </c>
      <c r="H931" s="38">
        <f>UPPER(Sheet1!J931 &amp; "," &amp; Sheet1!K931 &amp; "," &amp; Sheet1!L931)</f>
        <v/>
      </c>
      <c r="I931" s="45">
        <f>Sheet1!I931</f>
        <v/>
      </c>
      <c r="J931" s="5">
        <f>Sheet1!M931 &amp; "," &amp; TEXT(Sheet1!N931,"dd/mm/yy")</f>
        <v/>
      </c>
      <c r="K931" s="5" t="inlineStr">
        <is>
          <t>PRINTED</t>
        </is>
      </c>
      <c r="L931" t="inlineStr">
        <is>
          <t>25/03/2026</t>
        </is>
      </c>
      <c r="M931" s="30" t="inlineStr">
        <is>
          <t>MANISH KATARIA, VICE CONSUL</t>
        </is>
      </c>
      <c r="N931" s="30" t="n"/>
    </row>
    <row r="932">
      <c r="A932" s="4">
        <f>Sheet1!A932 &amp; "/" &amp; "2025"</f>
        <v/>
      </c>
      <c r="B932" s="5">
        <f>Sheet1!E932</f>
        <v/>
      </c>
      <c r="C932" s="6">
        <f>UPPER(Sheet1!B932)</f>
        <v/>
      </c>
      <c r="D932" s="7">
        <f>IF(Sheet1!F932="F","FEMALE","MALE")</f>
        <v/>
      </c>
      <c r="E932" s="6">
        <f>UPPER(Sheet1!G932)</f>
        <v/>
      </c>
      <c r="F932" s="6">
        <f>UPPER(Sheet1!H932)</f>
        <v/>
      </c>
      <c r="G932" s="5">
        <f>TEXT(Sheet1!C932,"dd/mm/yyyy") &amp; "," &amp; Sheet1!D932</f>
        <v/>
      </c>
      <c r="H932" s="38">
        <f>UPPER(Sheet1!J932 &amp; "," &amp; Sheet1!K932 &amp; "," &amp; Sheet1!L932)</f>
        <v/>
      </c>
      <c r="I932" s="45">
        <f>Sheet1!I932</f>
        <v/>
      </c>
      <c r="J932" s="5">
        <f>Sheet1!M932 &amp; "," &amp; TEXT(Sheet1!N932,"dd/mm/yy")</f>
        <v/>
      </c>
      <c r="K932" s="5" t="inlineStr">
        <is>
          <t>PRINTED</t>
        </is>
      </c>
      <c r="L932" t="inlineStr">
        <is>
          <t>25/03/2026</t>
        </is>
      </c>
      <c r="M932" s="30" t="inlineStr">
        <is>
          <t>MANISH KATARIA, VICE CONSUL</t>
        </is>
      </c>
      <c r="N932" s="30" t="n"/>
    </row>
    <row r="933">
      <c r="A933" s="4">
        <f>Sheet1!A933 &amp; "/" &amp; "2025"</f>
        <v/>
      </c>
      <c r="B933" s="5">
        <f>Sheet1!E933</f>
        <v/>
      </c>
      <c r="C933" s="6">
        <f>UPPER(Sheet1!B933)</f>
        <v/>
      </c>
      <c r="D933" s="7">
        <f>IF(Sheet1!F933="F","FEMALE","MALE")</f>
        <v/>
      </c>
      <c r="E933" s="6">
        <f>UPPER(Sheet1!G933)</f>
        <v/>
      </c>
      <c r="F933" s="6">
        <f>UPPER(Sheet1!H933)</f>
        <v/>
      </c>
      <c r="G933" s="5">
        <f>TEXT(Sheet1!C933,"dd/mm/yyyy") &amp; "," &amp; Sheet1!D933</f>
        <v/>
      </c>
      <c r="H933" s="38">
        <f>UPPER(Sheet1!J933 &amp; "," &amp; Sheet1!K933 &amp; "," &amp; Sheet1!L933)</f>
        <v/>
      </c>
      <c r="I933" s="45">
        <f>Sheet1!I933</f>
        <v/>
      </c>
      <c r="J933" s="5">
        <f>Sheet1!M933 &amp; "," &amp; TEXT(Sheet1!N933,"dd/mm/yy")</f>
        <v/>
      </c>
      <c r="K933" s="5" t="inlineStr">
        <is>
          <t>PRINTED</t>
        </is>
      </c>
      <c r="L933" t="inlineStr">
        <is>
          <t>25/03/2026</t>
        </is>
      </c>
      <c r="M933" s="30" t="inlineStr">
        <is>
          <t>MANISH KATARIA, VICE CONSUL</t>
        </is>
      </c>
      <c r="N933" s="30" t="n"/>
    </row>
    <row r="934">
      <c r="A934" s="4">
        <f>Sheet1!A934 &amp; "/" &amp; "2025"</f>
        <v/>
      </c>
      <c r="B934" s="5">
        <f>Sheet1!E934</f>
        <v/>
      </c>
      <c r="C934" s="6">
        <f>UPPER(Sheet1!B934)</f>
        <v/>
      </c>
      <c r="D934" s="7">
        <f>IF(Sheet1!F934="F","FEMALE","MALE")</f>
        <v/>
      </c>
      <c r="E934" s="6">
        <f>UPPER(Sheet1!G934)</f>
        <v/>
      </c>
      <c r="F934" s="6">
        <f>UPPER(Sheet1!H934)</f>
        <v/>
      </c>
      <c r="G934" s="5">
        <f>TEXT(Sheet1!C934,"dd/mm/yyyy") &amp; "," &amp; Sheet1!D934</f>
        <v/>
      </c>
      <c r="H934" s="38">
        <f>UPPER(Sheet1!J934 &amp; "," &amp; Sheet1!K934 &amp; "," &amp; Sheet1!L934)</f>
        <v/>
      </c>
      <c r="I934" s="45">
        <f>Sheet1!I934</f>
        <v/>
      </c>
      <c r="J934" s="5">
        <f>Sheet1!M934 &amp; "," &amp; TEXT(Sheet1!N934,"dd/mm/yy")</f>
        <v/>
      </c>
      <c r="K934" s="5" t="inlineStr">
        <is>
          <t>PRINTED</t>
        </is>
      </c>
      <c r="L934" t="inlineStr">
        <is>
          <t>25/03/2026</t>
        </is>
      </c>
      <c r="M934" s="30" t="inlineStr">
        <is>
          <t>MANISH KATARIA, VICE CONSUL</t>
        </is>
      </c>
      <c r="N934" s="30" t="n"/>
    </row>
    <row r="935">
      <c r="A935" s="4">
        <f>Sheet1!A935 &amp; "/" &amp; "2025"</f>
        <v/>
      </c>
      <c r="B935" s="5">
        <f>Sheet1!E935</f>
        <v/>
      </c>
      <c r="C935" s="6">
        <f>UPPER(Sheet1!B935)</f>
        <v/>
      </c>
      <c r="D935" s="7">
        <f>IF(Sheet1!F935="F","FEMALE","MALE")</f>
        <v/>
      </c>
      <c r="E935" s="6">
        <f>UPPER(Sheet1!G935)</f>
        <v/>
      </c>
      <c r="F935" s="6">
        <f>UPPER(Sheet1!H935)</f>
        <v/>
      </c>
      <c r="G935" s="5">
        <f>TEXT(Sheet1!C935,"dd/mm/yyyy") &amp; "," &amp; Sheet1!D935</f>
        <v/>
      </c>
      <c r="H935" s="38">
        <f>UPPER(Sheet1!J935 &amp; "," &amp; Sheet1!K935 &amp; "," &amp; Sheet1!L935)</f>
        <v/>
      </c>
      <c r="I935" s="45">
        <f>Sheet1!I935</f>
        <v/>
      </c>
      <c r="J935" s="5">
        <f>Sheet1!M935 &amp; "," &amp; TEXT(Sheet1!N935,"dd/mm/yy")</f>
        <v/>
      </c>
      <c r="K935" s="5" t="inlineStr">
        <is>
          <t>PRINTED</t>
        </is>
      </c>
      <c r="L935" t="inlineStr">
        <is>
          <t>25/03/2026</t>
        </is>
      </c>
      <c r="M935" s="30" t="inlineStr">
        <is>
          <t>MANISH KATARIA, VICE CONSUL</t>
        </is>
      </c>
      <c r="N935" s="30" t="n"/>
    </row>
    <row r="936">
      <c r="A936" s="4">
        <f>Sheet1!A936 &amp; "/" &amp; "2025"</f>
        <v/>
      </c>
      <c r="B936" s="5">
        <f>Sheet1!E936</f>
        <v/>
      </c>
      <c r="C936" s="6">
        <f>UPPER(Sheet1!B936)</f>
        <v/>
      </c>
      <c r="D936" s="7">
        <f>IF(Sheet1!F936="F","FEMALE","MALE")</f>
        <v/>
      </c>
      <c r="E936" s="6">
        <f>UPPER(Sheet1!G936)</f>
        <v/>
      </c>
      <c r="F936" s="6">
        <f>UPPER(Sheet1!H936)</f>
        <v/>
      </c>
      <c r="G936" s="5">
        <f>TEXT(Sheet1!C936,"dd/mm/yyyy") &amp; "," &amp; Sheet1!D936</f>
        <v/>
      </c>
      <c r="H936" s="38">
        <f>UPPER(Sheet1!J936 &amp; "," &amp; Sheet1!K936 &amp; "," &amp; Sheet1!L936)</f>
        <v/>
      </c>
      <c r="I936" s="45">
        <f>Sheet1!I936</f>
        <v/>
      </c>
      <c r="J936" s="5">
        <f>Sheet1!M936 &amp; "," &amp; TEXT(Sheet1!N936,"dd/mm/yy")</f>
        <v/>
      </c>
      <c r="K936" s="5" t="inlineStr">
        <is>
          <t>PRINTED</t>
        </is>
      </c>
      <c r="L936" t="inlineStr">
        <is>
          <t>25/03/2026</t>
        </is>
      </c>
      <c r="M936" s="30" t="inlineStr">
        <is>
          <t>MANISH KATARIA, VICE CONSUL</t>
        </is>
      </c>
      <c r="N936" s="30" t="n"/>
    </row>
    <row r="937">
      <c r="A937" s="4">
        <f>Sheet1!A937 &amp; "/" &amp; "2025"</f>
        <v/>
      </c>
      <c r="B937" s="5">
        <f>Sheet1!E937</f>
        <v/>
      </c>
      <c r="C937" s="6">
        <f>UPPER(Sheet1!B937)</f>
        <v/>
      </c>
      <c r="D937" s="7">
        <f>IF(Sheet1!F937="F","FEMALE","MALE")</f>
        <v/>
      </c>
      <c r="E937" s="6">
        <f>UPPER(Sheet1!G937)</f>
        <v/>
      </c>
      <c r="F937" s="6">
        <f>UPPER(Sheet1!H937)</f>
        <v/>
      </c>
      <c r="G937" s="5">
        <f>TEXT(Sheet1!C937,"dd/mm/yyyy") &amp; "," &amp; Sheet1!D937</f>
        <v/>
      </c>
      <c r="H937" s="38">
        <f>UPPER(Sheet1!J937 &amp; "," &amp; Sheet1!K937 &amp; "," &amp; Sheet1!L937)</f>
        <v/>
      </c>
      <c r="I937" s="45">
        <f>Sheet1!I937</f>
        <v/>
      </c>
      <c r="J937" s="5">
        <f>Sheet1!M937 &amp; "," &amp; TEXT(Sheet1!N937,"dd/mm/yy")</f>
        <v/>
      </c>
      <c r="K937" s="5" t="inlineStr">
        <is>
          <t>PRINTED</t>
        </is>
      </c>
      <c r="L937" t="inlineStr">
        <is>
          <t>25/03/2026</t>
        </is>
      </c>
      <c r="M937" s="30" t="inlineStr">
        <is>
          <t>MANISH KATARIA, VICE CONSUL</t>
        </is>
      </c>
      <c r="N937" s="30" t="n"/>
    </row>
    <row r="938">
      <c r="A938" s="4">
        <f>Sheet1!A938 &amp; "/" &amp; "2025"</f>
        <v/>
      </c>
      <c r="B938" s="5">
        <f>Sheet1!E938</f>
        <v/>
      </c>
      <c r="C938" s="6">
        <f>UPPER(Sheet1!B938)</f>
        <v/>
      </c>
      <c r="D938" s="7">
        <f>IF(Sheet1!F938="F","FEMALE","MALE")</f>
        <v/>
      </c>
      <c r="E938" s="6">
        <f>UPPER(Sheet1!G938)</f>
        <v/>
      </c>
      <c r="F938" s="6">
        <f>UPPER(Sheet1!H938)</f>
        <v/>
      </c>
      <c r="G938" s="5">
        <f>TEXT(Sheet1!C938,"dd/mm/yyyy") &amp; "," &amp; Sheet1!D938</f>
        <v/>
      </c>
      <c r="H938" s="38">
        <f>UPPER(Sheet1!J938 &amp; "," &amp; Sheet1!K938 &amp; "," &amp; Sheet1!L938)</f>
        <v/>
      </c>
      <c r="I938" s="45">
        <f>Sheet1!I938</f>
        <v/>
      </c>
      <c r="J938" s="5">
        <f>Sheet1!M938 &amp; "," &amp; TEXT(Sheet1!N938,"dd/mm/yy")</f>
        <v/>
      </c>
      <c r="K938" s="5" t="inlineStr">
        <is>
          <t>PRINTED</t>
        </is>
      </c>
      <c r="L938" t="inlineStr">
        <is>
          <t>25/03/2026</t>
        </is>
      </c>
      <c r="M938" s="30" t="inlineStr">
        <is>
          <t>MANISH KATARIA, VICE CONSUL</t>
        </is>
      </c>
      <c r="N938" s="30" t="n"/>
    </row>
    <row r="939">
      <c r="A939" s="4">
        <f>Sheet1!A939 &amp; "/" &amp; "2025"</f>
        <v/>
      </c>
      <c r="B939" s="5">
        <f>Sheet1!E939</f>
        <v/>
      </c>
      <c r="C939" s="6">
        <f>UPPER(Sheet1!B939)</f>
        <v/>
      </c>
      <c r="D939" s="7">
        <f>IF(Sheet1!F939="F","FEMALE","MALE")</f>
        <v/>
      </c>
      <c r="E939" s="6">
        <f>UPPER(Sheet1!G939)</f>
        <v/>
      </c>
      <c r="F939" s="6">
        <f>UPPER(Sheet1!H939)</f>
        <v/>
      </c>
      <c r="G939" s="5">
        <f>TEXT(Sheet1!C939,"dd/mm/yyyy") &amp; "," &amp; Sheet1!D939</f>
        <v/>
      </c>
      <c r="H939" s="38">
        <f>UPPER(Sheet1!J939 &amp; "," &amp; Sheet1!K939 &amp; "," &amp; Sheet1!L939)</f>
        <v/>
      </c>
      <c r="I939" s="45">
        <f>Sheet1!I939</f>
        <v/>
      </c>
      <c r="J939" s="5">
        <f>Sheet1!M939 &amp; "," &amp; TEXT(Sheet1!N939,"dd/mm/yy")</f>
        <v/>
      </c>
      <c r="K939" s="5" t="inlineStr">
        <is>
          <t>PRINTED</t>
        </is>
      </c>
      <c r="L939" t="inlineStr">
        <is>
          <t>25/03/2026</t>
        </is>
      </c>
      <c r="M939" s="30" t="inlineStr">
        <is>
          <t>MANISH KATARIA, VICE CONSUL</t>
        </is>
      </c>
      <c r="N939" s="30" t="n"/>
    </row>
    <row r="940">
      <c r="A940" s="4">
        <f>Sheet1!A940 &amp; "/" &amp; "2025"</f>
        <v/>
      </c>
      <c r="B940" s="5">
        <f>Sheet1!E940</f>
        <v/>
      </c>
      <c r="C940" s="6">
        <f>UPPER(Sheet1!B940)</f>
        <v/>
      </c>
      <c r="D940" s="7">
        <f>IF(Sheet1!F940="F","FEMALE","MALE")</f>
        <v/>
      </c>
      <c r="E940" s="6">
        <f>UPPER(Sheet1!G940)</f>
        <v/>
      </c>
      <c r="F940" s="6">
        <f>UPPER(Sheet1!H940)</f>
        <v/>
      </c>
      <c r="G940" s="5">
        <f>TEXT(Sheet1!C940,"dd/mm/yyyy") &amp; "," &amp; Sheet1!D940</f>
        <v/>
      </c>
      <c r="H940" s="38">
        <f>UPPER(Sheet1!J940 &amp; "," &amp; Sheet1!K940 &amp; "," &amp; Sheet1!L940)</f>
        <v/>
      </c>
      <c r="I940" s="45">
        <f>Sheet1!I940</f>
        <v/>
      </c>
      <c r="J940" s="5">
        <f>Sheet1!M940 &amp; "," &amp; TEXT(Sheet1!N940,"dd/mm/yy")</f>
        <v/>
      </c>
      <c r="K940" s="5" t="inlineStr">
        <is>
          <t>PRINTED</t>
        </is>
      </c>
      <c r="L940" t="inlineStr">
        <is>
          <t>25/03/2026</t>
        </is>
      </c>
      <c r="M940" s="30" t="inlineStr">
        <is>
          <t>MANISH KATARIA, VICE CONSUL</t>
        </is>
      </c>
      <c r="N940" s="30" t="n"/>
    </row>
    <row r="941">
      <c r="A941" s="4">
        <f>Sheet1!A941 &amp; "/" &amp; "2025"</f>
        <v/>
      </c>
      <c r="B941" s="5">
        <f>Sheet1!E941</f>
        <v/>
      </c>
      <c r="C941" s="6">
        <f>UPPER(Sheet1!B941)</f>
        <v/>
      </c>
      <c r="D941" s="7">
        <f>IF(Sheet1!F941="F","FEMALE","MALE")</f>
        <v/>
      </c>
      <c r="E941" s="6">
        <f>UPPER(Sheet1!G941)</f>
        <v/>
      </c>
      <c r="F941" s="6">
        <f>UPPER(Sheet1!H941)</f>
        <v/>
      </c>
      <c r="G941" s="5">
        <f>TEXT(Sheet1!C941,"dd/mm/yyyy") &amp; "," &amp; Sheet1!D941</f>
        <v/>
      </c>
      <c r="H941" s="38">
        <f>UPPER(Sheet1!J941 &amp; "," &amp; Sheet1!K941 &amp; "," &amp; Sheet1!L941)</f>
        <v/>
      </c>
      <c r="I941" s="45">
        <f>Sheet1!I941</f>
        <v/>
      </c>
      <c r="J941" s="5">
        <f>Sheet1!M941 &amp; "," &amp; TEXT(Sheet1!N941,"dd/mm/yy")</f>
        <v/>
      </c>
      <c r="K941" s="5" t="inlineStr">
        <is>
          <t>PRINTED</t>
        </is>
      </c>
      <c r="L941" t="inlineStr">
        <is>
          <t>25/03/2026</t>
        </is>
      </c>
      <c r="M941" s="30" t="inlineStr">
        <is>
          <t>MANISH KATARIA, VICE CONSUL</t>
        </is>
      </c>
      <c r="N941" s="30" t="n"/>
    </row>
    <row r="942">
      <c r="A942" s="4">
        <f>Sheet1!A942 &amp; "/" &amp; "2025"</f>
        <v/>
      </c>
      <c r="B942" s="5">
        <f>Sheet1!E942</f>
        <v/>
      </c>
      <c r="C942" s="6">
        <f>UPPER(Sheet1!B942)</f>
        <v/>
      </c>
      <c r="D942" s="7">
        <f>IF(Sheet1!F942="F","FEMALE","MALE")</f>
        <v/>
      </c>
      <c r="E942" s="6">
        <f>UPPER(Sheet1!G942)</f>
        <v/>
      </c>
      <c r="F942" s="6">
        <f>UPPER(Sheet1!H942)</f>
        <v/>
      </c>
      <c r="G942" s="5">
        <f>TEXT(Sheet1!C942,"dd/mm/yyyy") &amp; "," &amp; Sheet1!D942</f>
        <v/>
      </c>
      <c r="H942" s="38">
        <f>UPPER(Sheet1!J942 &amp; "," &amp; Sheet1!K942 &amp; "," &amp; Sheet1!L942)</f>
        <v/>
      </c>
      <c r="I942" s="45">
        <f>Sheet1!I942</f>
        <v/>
      </c>
      <c r="J942" s="5">
        <f>Sheet1!M942 &amp; "," &amp; TEXT(Sheet1!N942,"dd/mm/yy")</f>
        <v/>
      </c>
      <c r="K942" s="5" t="inlineStr">
        <is>
          <t>PRINTED</t>
        </is>
      </c>
      <c r="L942" t="inlineStr">
        <is>
          <t>25/03/2026</t>
        </is>
      </c>
      <c r="M942" s="30" t="inlineStr">
        <is>
          <t>MANISH KATARIA, VICE CONSUL</t>
        </is>
      </c>
      <c r="N942" s="30" t="n"/>
    </row>
    <row r="943">
      <c r="A943" s="4">
        <f>Sheet1!A943 &amp; "/" &amp; "2025"</f>
        <v/>
      </c>
      <c r="B943" s="5">
        <f>Sheet1!E943</f>
        <v/>
      </c>
      <c r="C943" s="6">
        <f>UPPER(Sheet1!B943)</f>
        <v/>
      </c>
      <c r="D943" s="7">
        <f>IF(Sheet1!F943="F","FEMALE","MALE")</f>
        <v/>
      </c>
      <c r="E943" s="6">
        <f>UPPER(Sheet1!G943)</f>
        <v/>
      </c>
      <c r="F943" s="6">
        <f>UPPER(Sheet1!H943)</f>
        <v/>
      </c>
      <c r="G943" s="5">
        <f>TEXT(Sheet1!C943,"dd/mm/yyyy") &amp; "," &amp; Sheet1!D943</f>
        <v/>
      </c>
      <c r="H943" s="38">
        <f>UPPER(Sheet1!J943 &amp; "," &amp; Sheet1!K943 &amp; "," &amp; Sheet1!L943)</f>
        <v/>
      </c>
      <c r="I943" s="45">
        <f>Sheet1!I943</f>
        <v/>
      </c>
      <c r="J943" s="5">
        <f>Sheet1!M943 &amp; "," &amp; TEXT(Sheet1!N943,"dd/mm/yy")</f>
        <v/>
      </c>
      <c r="K943" s="5" t="inlineStr">
        <is>
          <t>PRINTED</t>
        </is>
      </c>
      <c r="L943" t="inlineStr">
        <is>
          <t>25/03/2026</t>
        </is>
      </c>
      <c r="M943" s="30" t="inlineStr">
        <is>
          <t>MANISH KATARIA, VICE CONSUL</t>
        </is>
      </c>
      <c r="N943" s="30" t="n"/>
    </row>
    <row r="944">
      <c r="A944" s="4">
        <f>Sheet1!A944 &amp; "/" &amp; "2025"</f>
        <v/>
      </c>
      <c r="B944" s="5">
        <f>Sheet1!E944</f>
        <v/>
      </c>
      <c r="C944" s="6">
        <f>UPPER(Sheet1!B944)</f>
        <v/>
      </c>
      <c r="D944" s="7">
        <f>IF(Sheet1!F944="F","FEMALE","MALE")</f>
        <v/>
      </c>
      <c r="E944" s="6">
        <f>UPPER(Sheet1!G944)</f>
        <v/>
      </c>
      <c r="F944" s="6">
        <f>UPPER(Sheet1!H944)</f>
        <v/>
      </c>
      <c r="G944" s="5">
        <f>TEXT(Sheet1!C944,"dd/mm/yyyy") &amp; "," &amp; Sheet1!D944</f>
        <v/>
      </c>
      <c r="H944" s="38">
        <f>UPPER(Sheet1!J944 &amp; "," &amp; Sheet1!K944 &amp; "," &amp; Sheet1!L944)</f>
        <v/>
      </c>
      <c r="I944" s="45">
        <f>Sheet1!I944</f>
        <v/>
      </c>
      <c r="J944" s="5">
        <f>Sheet1!M944 &amp; "," &amp; TEXT(Sheet1!N944,"dd/mm/yy")</f>
        <v/>
      </c>
      <c r="K944" s="5" t="inlineStr">
        <is>
          <t>PRINTED</t>
        </is>
      </c>
      <c r="L944" t="inlineStr">
        <is>
          <t>25/03/2026</t>
        </is>
      </c>
      <c r="M944" s="30" t="inlineStr">
        <is>
          <t>MANISH KATARIA, VICE CONSUL</t>
        </is>
      </c>
      <c r="N944" s="30" t="n"/>
    </row>
    <row r="945">
      <c r="A945" s="4">
        <f>Sheet1!A945 &amp; "/" &amp; "2025"</f>
        <v/>
      </c>
      <c r="B945" s="5">
        <f>Sheet1!E945</f>
        <v/>
      </c>
      <c r="C945" s="6">
        <f>UPPER(Sheet1!B945)</f>
        <v/>
      </c>
      <c r="D945" s="7">
        <f>IF(Sheet1!F945="F","FEMALE","MALE")</f>
        <v/>
      </c>
      <c r="E945" s="6">
        <f>UPPER(Sheet1!G945)</f>
        <v/>
      </c>
      <c r="F945" s="6">
        <f>UPPER(Sheet1!H945)</f>
        <v/>
      </c>
      <c r="G945" s="5">
        <f>TEXT(Sheet1!C945,"dd/mm/yyyy") &amp; "," &amp; Sheet1!D945</f>
        <v/>
      </c>
      <c r="H945" s="38">
        <f>UPPER(Sheet1!J945 &amp; "," &amp; Sheet1!K945 &amp; "," &amp; Sheet1!L945)</f>
        <v/>
      </c>
      <c r="I945" s="45">
        <f>Sheet1!I945</f>
        <v/>
      </c>
      <c r="J945" s="5">
        <f>Sheet1!M945 &amp; "," &amp; TEXT(Sheet1!N945,"dd/mm/yy")</f>
        <v/>
      </c>
      <c r="K945" s="5" t="inlineStr">
        <is>
          <t>PRINTED</t>
        </is>
      </c>
      <c r="L945" t="inlineStr">
        <is>
          <t>25/03/2026</t>
        </is>
      </c>
      <c r="M945" s="30" t="inlineStr">
        <is>
          <t>MANISH KATARIA, VICE CONSUL</t>
        </is>
      </c>
      <c r="N945" s="30" t="n"/>
    </row>
    <row r="946">
      <c r="A946" s="4">
        <f>Sheet1!A946 &amp; "/" &amp; "2025"</f>
        <v/>
      </c>
      <c r="B946" s="5">
        <f>Sheet1!E946</f>
        <v/>
      </c>
      <c r="C946" s="6">
        <f>UPPER(Sheet1!B946)</f>
        <v/>
      </c>
      <c r="D946" s="7">
        <f>IF(Sheet1!F946="F","FEMALE","MALE")</f>
        <v/>
      </c>
      <c r="E946" s="6">
        <f>UPPER(Sheet1!G946)</f>
        <v/>
      </c>
      <c r="F946" s="6">
        <f>UPPER(Sheet1!H946)</f>
        <v/>
      </c>
      <c r="G946" s="5">
        <f>TEXT(Sheet1!C946,"dd/mm/yyyy") &amp; "," &amp; Sheet1!D946</f>
        <v/>
      </c>
      <c r="H946" s="38">
        <f>UPPER(Sheet1!J946 &amp; "," &amp; Sheet1!K946 &amp; "," &amp; Sheet1!L946)</f>
        <v/>
      </c>
      <c r="I946" s="45">
        <f>Sheet1!I946</f>
        <v/>
      </c>
      <c r="J946" s="5">
        <f>Sheet1!M946 &amp; "," &amp; TEXT(Sheet1!N946,"dd/mm/yy")</f>
        <v/>
      </c>
      <c r="K946" s="5" t="inlineStr">
        <is>
          <t>PRINTED</t>
        </is>
      </c>
      <c r="L946" t="inlineStr">
        <is>
          <t>25/03/2026</t>
        </is>
      </c>
      <c r="M946" s="30" t="inlineStr">
        <is>
          <t>MANISH KATARIA, VICE CONSUL</t>
        </is>
      </c>
      <c r="N946" s="30" t="n"/>
    </row>
    <row r="947">
      <c r="A947" s="4">
        <f>Sheet1!A947 &amp; "/" &amp; "2025"</f>
        <v/>
      </c>
      <c r="B947" s="5">
        <f>Sheet1!E947</f>
        <v/>
      </c>
      <c r="C947" s="6">
        <f>UPPER(Sheet1!B947)</f>
        <v/>
      </c>
      <c r="D947" s="7">
        <f>IF(Sheet1!F947="F","FEMALE","MALE")</f>
        <v/>
      </c>
      <c r="E947" s="6">
        <f>UPPER(Sheet1!G947)</f>
        <v/>
      </c>
      <c r="F947" s="6">
        <f>UPPER(Sheet1!H947)</f>
        <v/>
      </c>
      <c r="G947" s="5">
        <f>TEXT(Sheet1!C947,"dd/mm/yyyy") &amp; "," &amp; Sheet1!D947</f>
        <v/>
      </c>
      <c r="H947" s="38">
        <f>UPPER(Sheet1!J947 &amp; "," &amp; Sheet1!K947 &amp; "," &amp; Sheet1!L947)</f>
        <v/>
      </c>
      <c r="I947" s="45">
        <f>Sheet1!I947</f>
        <v/>
      </c>
      <c r="J947" s="5">
        <f>Sheet1!M947 &amp; "," &amp; TEXT(Sheet1!N947,"dd/mm/yy")</f>
        <v/>
      </c>
      <c r="K947" s="5" t="inlineStr">
        <is>
          <t>PRINTED</t>
        </is>
      </c>
      <c r="L947" t="inlineStr">
        <is>
          <t>25/03/2026</t>
        </is>
      </c>
      <c r="M947" s="30" t="inlineStr">
        <is>
          <t>MANISH KATARIA, VICE CONSUL</t>
        </is>
      </c>
      <c r="N947" s="30" t="n"/>
    </row>
    <row r="948">
      <c r="A948" s="4">
        <f>Sheet1!A948 &amp; "/" &amp; "2025"</f>
        <v/>
      </c>
      <c r="B948" s="5">
        <f>Sheet1!E948</f>
        <v/>
      </c>
      <c r="C948" s="6">
        <f>UPPER(Sheet1!B948)</f>
        <v/>
      </c>
      <c r="D948" s="7">
        <f>IF(Sheet1!F948="F","FEMALE","MALE")</f>
        <v/>
      </c>
      <c r="E948" s="6">
        <f>UPPER(Sheet1!G948)</f>
        <v/>
      </c>
      <c r="F948" s="6">
        <f>UPPER(Sheet1!H948)</f>
        <v/>
      </c>
      <c r="G948" s="5">
        <f>TEXT(Sheet1!C948,"dd/mm/yyyy") &amp; "," &amp; Sheet1!D948</f>
        <v/>
      </c>
      <c r="H948" s="38">
        <f>UPPER(Sheet1!J948 &amp; "," &amp; Sheet1!K948 &amp; "," &amp; Sheet1!L948)</f>
        <v/>
      </c>
      <c r="I948" s="45">
        <f>Sheet1!I948</f>
        <v/>
      </c>
      <c r="J948" s="5">
        <f>Sheet1!M948 &amp; "," &amp; TEXT(Sheet1!N948,"dd/mm/yy")</f>
        <v/>
      </c>
      <c r="K948" s="5" t="inlineStr">
        <is>
          <t>PRINTED</t>
        </is>
      </c>
      <c r="L948" t="inlineStr">
        <is>
          <t>25/03/2026</t>
        </is>
      </c>
      <c r="M948" s="30" t="inlineStr">
        <is>
          <t>MANISH KATARIA, VICE CONSUL</t>
        </is>
      </c>
      <c r="N948" s="30" t="n"/>
    </row>
    <row r="949">
      <c r="A949" s="4">
        <f>Sheet1!A949 &amp; "/" &amp; "2025"</f>
        <v/>
      </c>
      <c r="B949" s="5">
        <f>Sheet1!E949</f>
        <v/>
      </c>
      <c r="C949" s="6">
        <f>UPPER(Sheet1!B949)</f>
        <v/>
      </c>
      <c r="D949" s="7">
        <f>IF(Sheet1!F949="F","FEMALE","MALE")</f>
        <v/>
      </c>
      <c r="E949" s="6">
        <f>UPPER(Sheet1!G949)</f>
        <v/>
      </c>
      <c r="F949" s="6">
        <f>UPPER(Sheet1!H949)</f>
        <v/>
      </c>
      <c r="G949" s="5">
        <f>TEXT(Sheet1!C949,"dd/mm/yyyy") &amp; "," &amp; Sheet1!D949</f>
        <v/>
      </c>
      <c r="H949" s="38">
        <f>UPPER(Sheet1!J949 &amp; "," &amp; Sheet1!K949 &amp; "," &amp; Sheet1!L949)</f>
        <v/>
      </c>
      <c r="I949" s="45">
        <f>Sheet1!I949</f>
        <v/>
      </c>
      <c r="J949" s="5">
        <f>Sheet1!M949 &amp; "," &amp; TEXT(Sheet1!N949,"dd/mm/yy")</f>
        <v/>
      </c>
      <c r="K949" s="5" t="inlineStr">
        <is>
          <t>PRINTED</t>
        </is>
      </c>
      <c r="L949" t="inlineStr">
        <is>
          <t>25/03/2026</t>
        </is>
      </c>
      <c r="M949" s="30" t="inlineStr">
        <is>
          <t>MANISH KATARIA, VICE CONSUL</t>
        </is>
      </c>
      <c r="N949" s="30" t="n"/>
    </row>
    <row r="950">
      <c r="A950" s="4">
        <f>Sheet1!A950 &amp; "/" &amp; "2025"</f>
        <v/>
      </c>
      <c r="B950" s="5">
        <f>Sheet1!E950</f>
        <v/>
      </c>
      <c r="C950" s="6">
        <f>UPPER(Sheet1!B950)</f>
        <v/>
      </c>
      <c r="D950" s="7">
        <f>IF(Sheet1!F950="F","FEMALE","MALE")</f>
        <v/>
      </c>
      <c r="E950" s="6">
        <f>UPPER(Sheet1!G950)</f>
        <v/>
      </c>
      <c r="F950" s="6">
        <f>UPPER(Sheet1!H950)</f>
        <v/>
      </c>
      <c r="G950" s="5">
        <f>TEXT(Sheet1!C950,"dd/mm/yyyy") &amp; "," &amp; Sheet1!D950</f>
        <v/>
      </c>
      <c r="H950" s="38">
        <f>UPPER(Sheet1!J950 &amp; "," &amp; Sheet1!K950 &amp; "," &amp; Sheet1!L950)</f>
        <v/>
      </c>
      <c r="I950" s="45">
        <f>Sheet1!I950</f>
        <v/>
      </c>
      <c r="J950" s="5">
        <f>Sheet1!M950 &amp; "," &amp; TEXT(Sheet1!N950,"dd/mm/yy")</f>
        <v/>
      </c>
      <c r="K950" s="5" t="inlineStr">
        <is>
          <t>PRINTED</t>
        </is>
      </c>
      <c r="L950" t="inlineStr">
        <is>
          <t>25/03/2026</t>
        </is>
      </c>
      <c r="M950" s="30" t="inlineStr">
        <is>
          <t>MANISH KATARIA, VICE CONSUL</t>
        </is>
      </c>
      <c r="N950" s="30" t="n"/>
    </row>
    <row r="951">
      <c r="A951" s="4">
        <f>Sheet1!A951 &amp; "/" &amp; "2025"</f>
        <v/>
      </c>
      <c r="B951" s="5">
        <f>Sheet1!E951</f>
        <v/>
      </c>
      <c r="C951" s="6">
        <f>UPPER(Sheet1!B951)</f>
        <v/>
      </c>
      <c r="D951" s="7">
        <f>IF(Sheet1!F951="F","FEMALE","MALE")</f>
        <v/>
      </c>
      <c r="E951" s="6">
        <f>UPPER(Sheet1!G951)</f>
        <v/>
      </c>
      <c r="F951" s="6">
        <f>UPPER(Sheet1!H951)</f>
        <v/>
      </c>
      <c r="G951" s="5">
        <f>TEXT(Sheet1!C951,"dd/mm/yyyy") &amp; "," &amp; Sheet1!D951</f>
        <v/>
      </c>
      <c r="H951" s="38">
        <f>UPPER(Sheet1!J951 &amp; "," &amp; Sheet1!K951 &amp; "," &amp; Sheet1!L951)</f>
        <v/>
      </c>
      <c r="I951" s="45">
        <f>Sheet1!I951</f>
        <v/>
      </c>
      <c r="J951" s="5">
        <f>Sheet1!M951 &amp; "," &amp; TEXT(Sheet1!N951,"dd/mm/yy")</f>
        <v/>
      </c>
      <c r="K951" s="5" t="inlineStr">
        <is>
          <t>PRINTED</t>
        </is>
      </c>
      <c r="L951" t="inlineStr">
        <is>
          <t>25/03/2026</t>
        </is>
      </c>
      <c r="M951" s="30" t="inlineStr">
        <is>
          <t>MANISH KATARIA, VICE CONSUL</t>
        </is>
      </c>
      <c r="N951" s="30" t="n"/>
    </row>
    <row r="952">
      <c r="A952" s="4">
        <f>Sheet1!A952 &amp; "/" &amp; "2025"</f>
        <v/>
      </c>
      <c r="B952" s="5">
        <f>Sheet1!E952</f>
        <v/>
      </c>
      <c r="C952" s="6">
        <f>UPPER(Sheet1!B952)</f>
        <v/>
      </c>
      <c r="D952" s="7">
        <f>IF(Sheet1!F952="F","FEMALE","MALE")</f>
        <v/>
      </c>
      <c r="E952" s="6">
        <f>UPPER(Sheet1!G952)</f>
        <v/>
      </c>
      <c r="F952" s="6">
        <f>UPPER(Sheet1!H952)</f>
        <v/>
      </c>
      <c r="G952" s="5">
        <f>TEXT(Sheet1!C952,"dd/mm/yyyy") &amp; "," &amp; Sheet1!D952</f>
        <v/>
      </c>
      <c r="H952" s="38">
        <f>UPPER(Sheet1!J952 &amp; "," &amp; Sheet1!K952 &amp; "," &amp; Sheet1!L952)</f>
        <v/>
      </c>
      <c r="I952" s="45">
        <f>Sheet1!I952</f>
        <v/>
      </c>
      <c r="J952" s="5">
        <f>Sheet1!M952 &amp; "," &amp; TEXT(Sheet1!N952,"dd/mm/yy")</f>
        <v/>
      </c>
      <c r="K952" s="5" t="inlineStr">
        <is>
          <t>PRINTED</t>
        </is>
      </c>
      <c r="L952" t="inlineStr">
        <is>
          <t>25/03/2026</t>
        </is>
      </c>
      <c r="M952" s="30" t="inlineStr">
        <is>
          <t>MANISH KATARIA, VICE CONSUL</t>
        </is>
      </c>
      <c r="N952" s="30" t="n"/>
    </row>
    <row r="953">
      <c r="A953" s="4">
        <f>Sheet1!A953 &amp; "/" &amp; "2025"</f>
        <v/>
      </c>
      <c r="B953" s="5">
        <f>Sheet1!E953</f>
        <v/>
      </c>
      <c r="C953" s="6">
        <f>UPPER(Sheet1!B953)</f>
        <v/>
      </c>
      <c r="D953" s="7">
        <f>IF(Sheet1!F953="F","FEMALE","MALE")</f>
        <v/>
      </c>
      <c r="E953" s="6">
        <f>UPPER(Sheet1!G953)</f>
        <v/>
      </c>
      <c r="F953" s="6">
        <f>UPPER(Sheet1!H953)</f>
        <v/>
      </c>
      <c r="G953" s="5">
        <f>TEXT(Sheet1!C953,"dd/mm/yyyy") &amp; "," &amp; Sheet1!D953</f>
        <v/>
      </c>
      <c r="H953" s="38">
        <f>UPPER(Sheet1!J953 &amp; "," &amp; Sheet1!K953 &amp; "," &amp; Sheet1!L953)</f>
        <v/>
      </c>
      <c r="I953" s="45">
        <f>Sheet1!I953</f>
        <v/>
      </c>
      <c r="J953" s="5">
        <f>Sheet1!M953 &amp; "," &amp; TEXT(Sheet1!N953,"dd/mm/yy")</f>
        <v/>
      </c>
      <c r="K953" s="5" t="inlineStr">
        <is>
          <t>PRINTED</t>
        </is>
      </c>
      <c r="L953" t="inlineStr">
        <is>
          <t>25/03/2026</t>
        </is>
      </c>
      <c r="M953" s="30" t="inlineStr">
        <is>
          <t>MANISH KATARIA, VICE CONSUL</t>
        </is>
      </c>
      <c r="N953" s="30" t="n"/>
    </row>
    <row r="954">
      <c r="A954" s="4">
        <f>Sheet1!A954 &amp; "/" &amp; "2025"</f>
        <v/>
      </c>
      <c r="B954" s="5">
        <f>Sheet1!E954</f>
        <v/>
      </c>
      <c r="C954" s="6">
        <f>UPPER(Sheet1!B954)</f>
        <v/>
      </c>
      <c r="D954" s="7">
        <f>IF(Sheet1!F954="F","FEMALE","MALE")</f>
        <v/>
      </c>
      <c r="E954" s="6">
        <f>UPPER(Sheet1!G954)</f>
        <v/>
      </c>
      <c r="F954" s="6">
        <f>UPPER(Sheet1!H954)</f>
        <v/>
      </c>
      <c r="G954" s="5">
        <f>TEXT(Sheet1!C954,"dd/mm/yyyy") &amp; "," &amp; Sheet1!D954</f>
        <v/>
      </c>
      <c r="H954" s="38">
        <f>UPPER(Sheet1!J954 &amp; "," &amp; Sheet1!K954 &amp; "," &amp; Sheet1!L954)</f>
        <v/>
      </c>
      <c r="I954" s="45">
        <f>Sheet1!I954</f>
        <v/>
      </c>
      <c r="J954" s="5">
        <f>Sheet1!M954 &amp; "," &amp; TEXT(Sheet1!N954,"dd/mm/yy")</f>
        <v/>
      </c>
      <c r="K954" s="5" t="inlineStr">
        <is>
          <t>PRINTED</t>
        </is>
      </c>
      <c r="L954" t="inlineStr">
        <is>
          <t>25/03/2026</t>
        </is>
      </c>
      <c r="M954" s="30" t="inlineStr">
        <is>
          <t>MANISH KATARIA, VICE CONSUL</t>
        </is>
      </c>
      <c r="N954" s="30" t="n"/>
    </row>
    <row r="955">
      <c r="A955" s="4">
        <f>Sheet1!A955 &amp; "/" &amp; "2025"</f>
        <v/>
      </c>
      <c r="B955" s="5">
        <f>Sheet1!E955</f>
        <v/>
      </c>
      <c r="C955" s="6">
        <f>UPPER(Sheet1!B955)</f>
        <v/>
      </c>
      <c r="D955" s="7">
        <f>IF(Sheet1!F955="F","FEMALE","MALE")</f>
        <v/>
      </c>
      <c r="E955" s="6">
        <f>UPPER(Sheet1!G955)</f>
        <v/>
      </c>
      <c r="F955" s="6">
        <f>UPPER(Sheet1!H955)</f>
        <v/>
      </c>
      <c r="G955" s="5">
        <f>TEXT(Sheet1!C955,"dd/mm/yyyy") &amp; "," &amp; Sheet1!D955</f>
        <v/>
      </c>
      <c r="H955" s="38">
        <f>UPPER(Sheet1!J955 &amp; "," &amp; Sheet1!K955 &amp; "," &amp; Sheet1!L955)</f>
        <v/>
      </c>
      <c r="I955" s="45">
        <f>Sheet1!I955</f>
        <v/>
      </c>
      <c r="J955" s="5">
        <f>Sheet1!M955 &amp; "," &amp; TEXT(Sheet1!N955,"dd/mm/yy")</f>
        <v/>
      </c>
      <c r="K955" s="5" t="inlineStr">
        <is>
          <t>PRINTED</t>
        </is>
      </c>
      <c r="L955" t="inlineStr">
        <is>
          <t>25/03/2026</t>
        </is>
      </c>
      <c r="M955" s="30" t="inlineStr">
        <is>
          <t>MANISH KATARIA, VICE CONSUL</t>
        </is>
      </c>
      <c r="N955" s="30" t="n"/>
    </row>
    <row r="956">
      <c r="A956" s="4">
        <f>Sheet1!A956 &amp; "/" &amp; "2025"</f>
        <v/>
      </c>
      <c r="B956" s="5">
        <f>Sheet1!E956</f>
        <v/>
      </c>
      <c r="C956" s="6">
        <f>UPPER(Sheet1!B956)</f>
        <v/>
      </c>
      <c r="D956" s="7">
        <f>IF(Sheet1!F956="F","FEMALE","MALE")</f>
        <v/>
      </c>
      <c r="E956" s="6">
        <f>UPPER(Sheet1!G956)</f>
        <v/>
      </c>
      <c r="F956" s="6">
        <f>UPPER(Sheet1!H956)</f>
        <v/>
      </c>
      <c r="G956" s="5">
        <f>TEXT(Sheet1!C956,"dd/mm/yyyy") &amp; "," &amp; Sheet1!D956</f>
        <v/>
      </c>
      <c r="H956" s="38">
        <f>UPPER(Sheet1!J956 &amp; "," &amp; Sheet1!K956 &amp; "," &amp; Sheet1!L956)</f>
        <v/>
      </c>
      <c r="I956" s="45">
        <f>Sheet1!I956</f>
        <v/>
      </c>
      <c r="J956" s="5">
        <f>Sheet1!M956 &amp; "," &amp; TEXT(Sheet1!N956,"dd/mm/yy")</f>
        <v/>
      </c>
      <c r="K956" s="5" t="inlineStr">
        <is>
          <t>PRINTED</t>
        </is>
      </c>
      <c r="L956" t="inlineStr">
        <is>
          <t>25/03/2026</t>
        </is>
      </c>
      <c r="M956" s="30" t="inlineStr">
        <is>
          <t>MANISH KATARIA, VICE CONSUL</t>
        </is>
      </c>
      <c r="N956" s="30" t="n"/>
    </row>
    <row r="957">
      <c r="A957" s="4">
        <f>Sheet1!A957 &amp; "/" &amp; "2025"</f>
        <v/>
      </c>
      <c r="B957" s="5">
        <f>Sheet1!E957</f>
        <v/>
      </c>
      <c r="C957" s="6">
        <f>UPPER(Sheet1!B957)</f>
        <v/>
      </c>
      <c r="D957" s="7">
        <f>IF(Sheet1!F957="F","FEMALE","MALE")</f>
        <v/>
      </c>
      <c r="E957" s="6">
        <f>UPPER(Sheet1!G957)</f>
        <v/>
      </c>
      <c r="F957" s="6">
        <f>UPPER(Sheet1!H957)</f>
        <v/>
      </c>
      <c r="G957" s="5">
        <f>TEXT(Sheet1!C957,"dd/mm/yyyy") &amp; "," &amp; Sheet1!D957</f>
        <v/>
      </c>
      <c r="H957" s="38">
        <f>UPPER(Sheet1!J957 &amp; "," &amp; Sheet1!K957 &amp; "," &amp; Sheet1!L957)</f>
        <v/>
      </c>
      <c r="I957" s="45">
        <f>Sheet1!I957</f>
        <v/>
      </c>
      <c r="J957" s="5">
        <f>Sheet1!M957 &amp; "," &amp; TEXT(Sheet1!N957,"dd/mm/yy")</f>
        <v/>
      </c>
      <c r="K957" s="5" t="inlineStr">
        <is>
          <t>PRINTED</t>
        </is>
      </c>
      <c r="L957" t="inlineStr">
        <is>
          <t>25/03/2026</t>
        </is>
      </c>
      <c r="M957" s="30" t="inlineStr">
        <is>
          <t>MANISH KATARIA, VICE CONSUL</t>
        </is>
      </c>
      <c r="N957" s="30" t="n"/>
    </row>
    <row r="958">
      <c r="A958" s="4">
        <f>Sheet1!A958 &amp; "/" &amp; "2025"</f>
        <v/>
      </c>
      <c r="B958" s="5">
        <f>Sheet1!E958</f>
        <v/>
      </c>
      <c r="C958" s="6">
        <f>UPPER(Sheet1!B958)</f>
        <v/>
      </c>
      <c r="D958" s="7">
        <f>IF(Sheet1!F958="F","FEMALE","MALE")</f>
        <v/>
      </c>
      <c r="E958" s="6">
        <f>UPPER(Sheet1!G958)</f>
        <v/>
      </c>
      <c r="F958" s="6">
        <f>UPPER(Sheet1!H958)</f>
        <v/>
      </c>
      <c r="G958" s="5">
        <f>TEXT(Sheet1!C958,"dd/mm/yyyy") &amp; "," &amp; Sheet1!D958</f>
        <v/>
      </c>
      <c r="H958" s="38">
        <f>UPPER(Sheet1!J958 &amp; "," &amp; Sheet1!K958 &amp; "," &amp; Sheet1!L958)</f>
        <v/>
      </c>
      <c r="I958" s="45">
        <f>Sheet1!I958</f>
        <v/>
      </c>
      <c r="J958" s="5">
        <f>Sheet1!M958 &amp; "," &amp; TEXT(Sheet1!N958,"dd/mm/yy")</f>
        <v/>
      </c>
      <c r="K958" s="5" t="inlineStr">
        <is>
          <t>PRINTED</t>
        </is>
      </c>
      <c r="L958" t="inlineStr">
        <is>
          <t>25/03/2026</t>
        </is>
      </c>
      <c r="M958" s="30" t="inlineStr">
        <is>
          <t>MANISH KATARIA, VICE CONSUL</t>
        </is>
      </c>
      <c r="N958" s="30" t="n"/>
    </row>
    <row r="959">
      <c r="A959" s="4">
        <f>Sheet1!A959 &amp; "/" &amp; "2025"</f>
        <v/>
      </c>
      <c r="B959" s="5">
        <f>Sheet1!E959</f>
        <v/>
      </c>
      <c r="C959" s="6">
        <f>UPPER(Sheet1!B959)</f>
        <v/>
      </c>
      <c r="D959" s="7">
        <f>IF(Sheet1!F959="F","FEMALE","MALE")</f>
        <v/>
      </c>
      <c r="E959" s="6">
        <f>UPPER(Sheet1!G959)</f>
        <v/>
      </c>
      <c r="F959" s="6">
        <f>UPPER(Sheet1!H959)</f>
        <v/>
      </c>
      <c r="G959" s="5">
        <f>TEXT(Sheet1!C959,"dd/mm/yyyy") &amp; "," &amp; Sheet1!D959</f>
        <v/>
      </c>
      <c r="H959" s="38">
        <f>UPPER(Sheet1!J959 &amp; "," &amp; Sheet1!K959 &amp; "," &amp; Sheet1!L959)</f>
        <v/>
      </c>
      <c r="I959" s="45">
        <f>Sheet1!I959</f>
        <v/>
      </c>
      <c r="J959" s="5">
        <f>Sheet1!M959 &amp; "," &amp; TEXT(Sheet1!N959,"dd/mm/yy")</f>
        <v/>
      </c>
      <c r="K959" s="5" t="inlineStr">
        <is>
          <t>PRINTED</t>
        </is>
      </c>
      <c r="L959" t="inlineStr">
        <is>
          <t>25/03/2026</t>
        </is>
      </c>
      <c r="M959" s="30" t="inlineStr">
        <is>
          <t>MANISH KATARIA, VICE CONSUL</t>
        </is>
      </c>
      <c r="N959" s="30" t="n"/>
    </row>
    <row r="960">
      <c r="A960" s="4">
        <f>Sheet1!A960 &amp; "/" &amp; "2025"</f>
        <v/>
      </c>
      <c r="B960" s="5">
        <f>Sheet1!E960</f>
        <v/>
      </c>
      <c r="C960" s="6">
        <f>UPPER(Sheet1!B960)</f>
        <v/>
      </c>
      <c r="D960" s="7">
        <f>IF(Sheet1!F960="F","FEMALE","MALE")</f>
        <v/>
      </c>
      <c r="E960" s="6">
        <f>UPPER(Sheet1!G960)</f>
        <v/>
      </c>
      <c r="F960" s="6">
        <f>UPPER(Sheet1!H960)</f>
        <v/>
      </c>
      <c r="G960" s="5">
        <f>TEXT(Sheet1!C960,"dd/mm/yyyy") &amp; "," &amp; Sheet1!D960</f>
        <v/>
      </c>
      <c r="H960" s="38">
        <f>UPPER(Sheet1!J960 &amp; "," &amp; Sheet1!K960 &amp; "," &amp; Sheet1!L960)</f>
        <v/>
      </c>
      <c r="I960" s="45">
        <f>Sheet1!I960</f>
        <v/>
      </c>
      <c r="J960" s="5">
        <f>Sheet1!M960 &amp; "," &amp; TEXT(Sheet1!N960,"dd/mm/yy")</f>
        <v/>
      </c>
      <c r="K960" s="5" t="inlineStr">
        <is>
          <t>PRINTED</t>
        </is>
      </c>
      <c r="L960" t="inlineStr">
        <is>
          <t>25/03/2026</t>
        </is>
      </c>
      <c r="M960" s="30" t="inlineStr">
        <is>
          <t>MANISH KATARIA, VICE CONSUL</t>
        </is>
      </c>
      <c r="N960" s="30" t="n"/>
    </row>
    <row r="961">
      <c r="A961" s="4">
        <f>Sheet1!A961 &amp; "/" &amp; "2025"</f>
        <v/>
      </c>
      <c r="B961" s="5">
        <f>Sheet1!E961</f>
        <v/>
      </c>
      <c r="C961" s="6">
        <f>UPPER(Sheet1!B961)</f>
        <v/>
      </c>
      <c r="D961" s="7">
        <f>IF(Sheet1!F961="F","FEMALE","MALE")</f>
        <v/>
      </c>
      <c r="E961" s="6">
        <f>UPPER(Sheet1!G961)</f>
        <v/>
      </c>
      <c r="F961" s="6">
        <f>UPPER(Sheet1!H961)</f>
        <v/>
      </c>
      <c r="G961" s="5">
        <f>TEXT(Sheet1!C961,"dd/mm/yyyy") &amp; "," &amp; Sheet1!D961</f>
        <v/>
      </c>
      <c r="H961" s="38">
        <f>UPPER(Sheet1!J961 &amp; "," &amp; Sheet1!K961 &amp; "," &amp; Sheet1!L961)</f>
        <v/>
      </c>
      <c r="I961" s="45">
        <f>Sheet1!I961</f>
        <v/>
      </c>
      <c r="J961" s="5">
        <f>Sheet1!M961 &amp; "," &amp; TEXT(Sheet1!N961,"dd/mm/yy")</f>
        <v/>
      </c>
      <c r="K961" s="5" t="inlineStr">
        <is>
          <t>PRINTED</t>
        </is>
      </c>
      <c r="L961" t="inlineStr">
        <is>
          <t>25/03/2026</t>
        </is>
      </c>
      <c r="M961" s="30" t="inlineStr">
        <is>
          <t>MANISH KATARIA, VICE CONSUL</t>
        </is>
      </c>
      <c r="N961" s="30" t="n"/>
    </row>
    <row r="962">
      <c r="A962" s="4">
        <f>Sheet1!A962 &amp; "/" &amp; "2025"</f>
        <v/>
      </c>
      <c r="B962" s="5">
        <f>Sheet1!E962</f>
        <v/>
      </c>
      <c r="C962" s="6">
        <f>UPPER(Sheet1!B962)</f>
        <v/>
      </c>
      <c r="D962" s="7">
        <f>IF(Sheet1!F962="F","FEMALE","MALE")</f>
        <v/>
      </c>
      <c r="E962" s="6">
        <f>UPPER(Sheet1!G962)</f>
        <v/>
      </c>
      <c r="F962" s="6">
        <f>UPPER(Sheet1!H962)</f>
        <v/>
      </c>
      <c r="G962" s="5">
        <f>TEXT(Sheet1!C962,"dd/mm/yyyy") &amp; "," &amp; Sheet1!D962</f>
        <v/>
      </c>
      <c r="H962" s="38">
        <f>UPPER(Sheet1!J962 &amp; "," &amp; Sheet1!K962 &amp; "," &amp; Sheet1!L962)</f>
        <v/>
      </c>
      <c r="I962" s="45">
        <f>Sheet1!I962</f>
        <v/>
      </c>
      <c r="J962" s="5">
        <f>Sheet1!M962 &amp; "," &amp; TEXT(Sheet1!N962,"dd/mm/yy")</f>
        <v/>
      </c>
      <c r="K962" s="5" t="inlineStr">
        <is>
          <t>PRINTED</t>
        </is>
      </c>
      <c r="L962" t="inlineStr">
        <is>
          <t>25/03/2026</t>
        </is>
      </c>
      <c r="M962" s="30" t="inlineStr">
        <is>
          <t>MANISH KATARIA, VICE CONSUL</t>
        </is>
      </c>
      <c r="N962" s="30" t="n"/>
    </row>
    <row r="963">
      <c r="A963" s="4">
        <f>Sheet1!A963 &amp; "/" &amp; "2025"</f>
        <v/>
      </c>
      <c r="B963" s="5">
        <f>Sheet1!E963</f>
        <v/>
      </c>
      <c r="C963" s="6">
        <f>UPPER(Sheet1!B963)</f>
        <v/>
      </c>
      <c r="D963" s="7">
        <f>IF(Sheet1!F963="F","FEMALE","MALE")</f>
        <v/>
      </c>
      <c r="E963" s="6">
        <f>UPPER(Sheet1!G963)</f>
        <v/>
      </c>
      <c r="F963" s="6">
        <f>UPPER(Sheet1!H963)</f>
        <v/>
      </c>
      <c r="G963" s="5">
        <f>TEXT(Sheet1!C963,"dd/mm/yyyy") &amp; "," &amp; Sheet1!D963</f>
        <v/>
      </c>
      <c r="H963" s="38">
        <f>UPPER(Sheet1!J963 &amp; "," &amp; Sheet1!K963 &amp; "," &amp; Sheet1!L963)</f>
        <v/>
      </c>
      <c r="I963" s="45">
        <f>Sheet1!I963</f>
        <v/>
      </c>
      <c r="J963" s="5">
        <f>Sheet1!M963 &amp; "," &amp; TEXT(Sheet1!N963,"dd/mm/yy")</f>
        <v/>
      </c>
      <c r="K963" s="5" t="inlineStr">
        <is>
          <t>PRINTED</t>
        </is>
      </c>
      <c r="L963" t="inlineStr">
        <is>
          <t>25/03/2026</t>
        </is>
      </c>
      <c r="M963" s="30" t="inlineStr">
        <is>
          <t>MANISH KATARIA, VICE CONSUL</t>
        </is>
      </c>
      <c r="N963" s="30" t="n"/>
    </row>
    <row r="964">
      <c r="A964" s="4">
        <f>Sheet1!A964 &amp; "/" &amp; "2025"</f>
        <v/>
      </c>
      <c r="B964" s="5">
        <f>Sheet1!E964</f>
        <v/>
      </c>
      <c r="C964" s="6">
        <f>UPPER(Sheet1!B964)</f>
        <v/>
      </c>
      <c r="D964" s="7">
        <f>IF(Sheet1!F964="F","FEMALE","MALE")</f>
        <v/>
      </c>
      <c r="E964" s="6">
        <f>UPPER(Sheet1!G964)</f>
        <v/>
      </c>
      <c r="F964" s="6">
        <f>UPPER(Sheet1!H964)</f>
        <v/>
      </c>
      <c r="G964" s="5">
        <f>TEXT(Sheet1!C964,"dd/mm/yyyy") &amp; "," &amp; Sheet1!D964</f>
        <v/>
      </c>
      <c r="H964" s="38">
        <f>UPPER(Sheet1!J964 &amp; "," &amp; Sheet1!K964 &amp; "," &amp; Sheet1!L964)</f>
        <v/>
      </c>
      <c r="I964" s="45">
        <f>Sheet1!I964</f>
        <v/>
      </c>
      <c r="J964" s="5">
        <f>Sheet1!M964 &amp; "," &amp; TEXT(Sheet1!N964,"dd/mm/yy")</f>
        <v/>
      </c>
      <c r="K964" s="5" t="inlineStr">
        <is>
          <t>PRINTED</t>
        </is>
      </c>
      <c r="L964" t="inlineStr">
        <is>
          <t>25/03/2026</t>
        </is>
      </c>
      <c r="M964" s="30" t="inlineStr">
        <is>
          <t>MANISH KATARIA, VICE CONSUL</t>
        </is>
      </c>
      <c r="N964" s="30" t="n"/>
    </row>
    <row r="965">
      <c r="A965" s="4">
        <f>Sheet1!A965 &amp; "/" &amp; "2025"</f>
        <v/>
      </c>
      <c r="B965" s="5">
        <f>Sheet1!E965</f>
        <v/>
      </c>
      <c r="C965" s="6">
        <f>UPPER(Sheet1!B965)</f>
        <v/>
      </c>
      <c r="D965" s="7">
        <f>IF(Sheet1!F965="F","FEMALE","MALE")</f>
        <v/>
      </c>
      <c r="E965" s="6">
        <f>UPPER(Sheet1!G965)</f>
        <v/>
      </c>
      <c r="F965" s="6">
        <f>UPPER(Sheet1!H965)</f>
        <v/>
      </c>
      <c r="G965" s="5">
        <f>TEXT(Sheet1!C965,"dd/mm/yyyy") &amp; "," &amp; Sheet1!D965</f>
        <v/>
      </c>
      <c r="H965" s="38">
        <f>UPPER(Sheet1!J965 &amp; "," &amp; Sheet1!K965 &amp; "," &amp; Sheet1!L965)</f>
        <v/>
      </c>
      <c r="I965" s="45">
        <f>Sheet1!I965</f>
        <v/>
      </c>
      <c r="J965" s="5">
        <f>Sheet1!M965 &amp; "," &amp; TEXT(Sheet1!N965,"dd/mm/yy")</f>
        <v/>
      </c>
      <c r="K965" s="5" t="inlineStr">
        <is>
          <t>PRINTED</t>
        </is>
      </c>
      <c r="L965" t="inlineStr">
        <is>
          <t>25/03/2026</t>
        </is>
      </c>
      <c r="M965" s="30" t="inlineStr">
        <is>
          <t>MANISH KATARIA, VICE CONSUL</t>
        </is>
      </c>
      <c r="N965" s="30" t="n"/>
    </row>
    <row r="966">
      <c r="A966" s="4">
        <f>Sheet1!A966 &amp; "/" &amp; "2025"</f>
        <v/>
      </c>
      <c r="B966" s="5">
        <f>Sheet1!E966</f>
        <v/>
      </c>
      <c r="C966" s="6">
        <f>UPPER(Sheet1!B966)</f>
        <v/>
      </c>
      <c r="D966" s="7">
        <f>IF(Sheet1!F966="F","FEMALE","MALE")</f>
        <v/>
      </c>
      <c r="E966" s="6">
        <f>UPPER(Sheet1!G966)</f>
        <v/>
      </c>
      <c r="F966" s="6">
        <f>UPPER(Sheet1!H966)</f>
        <v/>
      </c>
      <c r="G966" s="5">
        <f>TEXT(Sheet1!C966,"dd/mm/yyyy") &amp; "," &amp; Sheet1!D966</f>
        <v/>
      </c>
      <c r="H966" s="38">
        <f>UPPER(Sheet1!J966 &amp; "," &amp; Sheet1!K966 &amp; "," &amp; Sheet1!L966)</f>
        <v/>
      </c>
      <c r="I966" s="45">
        <f>Sheet1!I966</f>
        <v/>
      </c>
      <c r="J966" s="5">
        <f>Sheet1!M966 &amp; "," &amp; TEXT(Sheet1!N966,"dd/mm/yy")</f>
        <v/>
      </c>
      <c r="K966" s="5" t="inlineStr">
        <is>
          <t>PRINTED</t>
        </is>
      </c>
      <c r="L966" t="inlineStr">
        <is>
          <t>25/03/2026</t>
        </is>
      </c>
      <c r="M966" s="30" t="inlineStr">
        <is>
          <t>MANISH KATARIA, VICE CONSUL</t>
        </is>
      </c>
      <c r="N966" s="30" t="n"/>
    </row>
    <row r="967">
      <c r="A967" s="4">
        <f>Sheet1!A967 &amp; "/" &amp; "2025"</f>
        <v/>
      </c>
      <c r="B967" s="5">
        <f>Sheet1!E967</f>
        <v/>
      </c>
      <c r="C967" s="6">
        <f>UPPER(Sheet1!B967)</f>
        <v/>
      </c>
      <c r="D967" s="7">
        <f>IF(Sheet1!F967="F","FEMALE","MALE")</f>
        <v/>
      </c>
      <c r="E967" s="6">
        <f>UPPER(Sheet1!G967)</f>
        <v/>
      </c>
      <c r="F967" s="6">
        <f>UPPER(Sheet1!H967)</f>
        <v/>
      </c>
      <c r="G967" s="5">
        <f>TEXT(Sheet1!C967,"dd/mm/yyyy") &amp; "," &amp; Sheet1!D967</f>
        <v/>
      </c>
      <c r="H967" s="38">
        <f>UPPER(Sheet1!J967 &amp; "," &amp; Sheet1!K967 &amp; "," &amp; Sheet1!L967)</f>
        <v/>
      </c>
      <c r="I967" s="45">
        <f>Sheet1!I967</f>
        <v/>
      </c>
      <c r="J967" s="5">
        <f>Sheet1!M967 &amp; "," &amp; TEXT(Sheet1!N967,"dd/mm/yy")</f>
        <v/>
      </c>
      <c r="K967" s="5" t="inlineStr">
        <is>
          <t>PRINTED</t>
        </is>
      </c>
      <c r="L967" t="inlineStr">
        <is>
          <t>25/03/2026</t>
        </is>
      </c>
      <c r="M967" s="30" t="inlineStr">
        <is>
          <t>MANISH KATARIA, VICE CONSUL</t>
        </is>
      </c>
      <c r="N967" s="30" t="n"/>
    </row>
    <row r="968">
      <c r="A968" s="4">
        <f>Sheet1!A968 &amp; "/" &amp; "2025"</f>
        <v/>
      </c>
      <c r="B968" s="5">
        <f>Sheet1!E968</f>
        <v/>
      </c>
      <c r="C968" s="6">
        <f>UPPER(Sheet1!B968)</f>
        <v/>
      </c>
      <c r="D968" s="7">
        <f>IF(Sheet1!F968="F","FEMALE","MALE")</f>
        <v/>
      </c>
      <c r="E968" s="6">
        <f>UPPER(Sheet1!G968)</f>
        <v/>
      </c>
      <c r="F968" s="6">
        <f>UPPER(Sheet1!H968)</f>
        <v/>
      </c>
      <c r="G968" s="5">
        <f>TEXT(Sheet1!C968,"dd/mm/yyyy") &amp; "," &amp; Sheet1!D968</f>
        <v/>
      </c>
      <c r="H968" s="38">
        <f>UPPER(Sheet1!J968 &amp; "," &amp; Sheet1!K968 &amp; "," &amp; Sheet1!L968)</f>
        <v/>
      </c>
      <c r="I968" s="45">
        <f>Sheet1!I968</f>
        <v/>
      </c>
      <c r="J968" s="5">
        <f>Sheet1!M968 &amp; "," &amp; TEXT(Sheet1!N968,"dd/mm/yy")</f>
        <v/>
      </c>
      <c r="K968" s="5" t="inlineStr">
        <is>
          <t>PRINTED</t>
        </is>
      </c>
      <c r="L968" t="inlineStr">
        <is>
          <t>25/03/2026</t>
        </is>
      </c>
      <c r="M968" s="30" t="inlineStr">
        <is>
          <t>MANISH KATARIA, VICE CONSUL</t>
        </is>
      </c>
      <c r="N968" s="30" t="n"/>
    </row>
    <row r="969">
      <c r="A969" s="4">
        <f>Sheet1!A969 &amp; "/" &amp; "2025"</f>
        <v/>
      </c>
      <c r="B969" s="5">
        <f>Sheet1!E969</f>
        <v/>
      </c>
      <c r="C969" s="6">
        <f>UPPER(Sheet1!B969)</f>
        <v/>
      </c>
      <c r="D969" s="7">
        <f>IF(Sheet1!F969="F","FEMALE","MALE")</f>
        <v/>
      </c>
      <c r="E969" s="6">
        <f>UPPER(Sheet1!G969)</f>
        <v/>
      </c>
      <c r="F969" s="6">
        <f>UPPER(Sheet1!H969)</f>
        <v/>
      </c>
      <c r="G969" s="5">
        <f>TEXT(Sheet1!C969,"dd/mm/yyyy") &amp; "," &amp; Sheet1!D969</f>
        <v/>
      </c>
      <c r="H969" s="38">
        <f>UPPER(Sheet1!J969 &amp; "," &amp; Sheet1!K969 &amp; "," &amp; Sheet1!L969)</f>
        <v/>
      </c>
      <c r="I969" s="45">
        <f>Sheet1!I969</f>
        <v/>
      </c>
      <c r="J969" s="5">
        <f>Sheet1!M969 &amp; "," &amp; TEXT(Sheet1!N969,"dd/mm/yy")</f>
        <v/>
      </c>
      <c r="K969" s="5" t="inlineStr">
        <is>
          <t>PRINTED</t>
        </is>
      </c>
      <c r="L969" t="inlineStr">
        <is>
          <t>25/03/2026</t>
        </is>
      </c>
      <c r="M969" s="30" t="inlineStr">
        <is>
          <t>MANISH KATARIA, VICE CONSUL</t>
        </is>
      </c>
      <c r="N969" s="30" t="n"/>
    </row>
    <row r="970">
      <c r="A970" s="4">
        <f>Sheet1!A970 &amp; "/" &amp; "2025"</f>
        <v/>
      </c>
      <c r="B970" s="5">
        <f>Sheet1!E970</f>
        <v/>
      </c>
      <c r="C970" s="6">
        <f>UPPER(Sheet1!B970)</f>
        <v/>
      </c>
      <c r="D970" s="7">
        <f>IF(Sheet1!F970="F","FEMALE","MALE")</f>
        <v/>
      </c>
      <c r="E970" s="6">
        <f>UPPER(Sheet1!G970)</f>
        <v/>
      </c>
      <c r="F970" s="6">
        <f>UPPER(Sheet1!H970)</f>
        <v/>
      </c>
      <c r="G970" s="5">
        <f>TEXT(Sheet1!C970,"dd/mm/yyyy") &amp; "," &amp; Sheet1!D970</f>
        <v/>
      </c>
      <c r="H970" s="38">
        <f>UPPER(Sheet1!J970 &amp; "," &amp; Sheet1!K970 &amp; "," &amp; Sheet1!L970)</f>
        <v/>
      </c>
      <c r="I970" s="45">
        <f>Sheet1!I970</f>
        <v/>
      </c>
      <c r="J970" s="5">
        <f>Sheet1!M970 &amp; "," &amp; TEXT(Sheet1!N970,"dd/mm/yy")</f>
        <v/>
      </c>
      <c r="K970" s="5" t="inlineStr">
        <is>
          <t>PRINTED</t>
        </is>
      </c>
      <c r="L970" t="inlineStr">
        <is>
          <t>25/03/2026</t>
        </is>
      </c>
      <c r="M970" s="30" t="inlineStr">
        <is>
          <t>MANISH KATARIA, VICE CONSUL</t>
        </is>
      </c>
      <c r="N970" s="30" t="n"/>
    </row>
    <row r="971">
      <c r="A971" s="4">
        <f>Sheet1!A971 &amp; "/" &amp; "2025"</f>
        <v/>
      </c>
      <c r="B971" s="5">
        <f>Sheet1!E971</f>
        <v/>
      </c>
      <c r="C971" s="6">
        <f>UPPER(Sheet1!B971)</f>
        <v/>
      </c>
      <c r="D971" s="7">
        <f>IF(Sheet1!F971="F","FEMALE","MALE")</f>
        <v/>
      </c>
      <c r="E971" s="6">
        <f>UPPER(Sheet1!G971)</f>
        <v/>
      </c>
      <c r="F971" s="6">
        <f>UPPER(Sheet1!H971)</f>
        <v/>
      </c>
      <c r="G971" s="5">
        <f>TEXT(Sheet1!C971,"dd/mm/yyyy") &amp; "," &amp; Sheet1!D971</f>
        <v/>
      </c>
      <c r="H971" s="38">
        <f>UPPER(Sheet1!J971 &amp; "," &amp; Sheet1!K971 &amp; "," &amp; Sheet1!L971)</f>
        <v/>
      </c>
      <c r="I971" s="45">
        <f>Sheet1!I971</f>
        <v/>
      </c>
      <c r="J971" s="5">
        <f>Sheet1!M971 &amp; "," &amp; TEXT(Sheet1!N971,"dd/mm/yy")</f>
        <v/>
      </c>
      <c r="K971" s="5" t="inlineStr">
        <is>
          <t>PRINTED</t>
        </is>
      </c>
      <c r="L971" t="inlineStr">
        <is>
          <t>25/03/2026</t>
        </is>
      </c>
      <c r="M971" s="30" t="inlineStr">
        <is>
          <t>MANISH KATARIA, VICE CONSUL</t>
        </is>
      </c>
      <c r="N971" s="30" t="n"/>
    </row>
    <row r="972">
      <c r="A972" s="4">
        <f>Sheet1!A972 &amp; "/" &amp; "2025"</f>
        <v/>
      </c>
      <c r="B972" s="5">
        <f>Sheet1!E972</f>
        <v/>
      </c>
      <c r="C972" s="6">
        <f>UPPER(Sheet1!B972)</f>
        <v/>
      </c>
      <c r="D972" s="7">
        <f>IF(Sheet1!F972="F","FEMALE","MALE")</f>
        <v/>
      </c>
      <c r="E972" s="6">
        <f>UPPER(Sheet1!G972)</f>
        <v/>
      </c>
      <c r="F972" s="6">
        <f>UPPER(Sheet1!H972)</f>
        <v/>
      </c>
      <c r="G972" s="5">
        <f>TEXT(Sheet1!C972,"dd/mm/yyyy") &amp; "," &amp; Sheet1!D972</f>
        <v/>
      </c>
      <c r="H972" s="38">
        <f>UPPER(Sheet1!J972 &amp; "," &amp; Sheet1!K972 &amp; "," &amp; Sheet1!L972)</f>
        <v/>
      </c>
      <c r="I972" s="45">
        <f>Sheet1!I972</f>
        <v/>
      </c>
      <c r="J972" s="5">
        <f>Sheet1!M972 &amp; "," &amp; TEXT(Sheet1!N972,"dd/mm/yy")</f>
        <v/>
      </c>
      <c r="K972" s="5" t="inlineStr">
        <is>
          <t>PRINTED</t>
        </is>
      </c>
      <c r="L972" t="inlineStr">
        <is>
          <t>25/03/2026</t>
        </is>
      </c>
      <c r="M972" s="30" t="inlineStr">
        <is>
          <t>MANISH KATARIA, VICE CONSUL</t>
        </is>
      </c>
      <c r="N972" s="30" t="n"/>
    </row>
    <row r="973">
      <c r="A973" s="4">
        <f>Sheet1!A973 &amp; "/" &amp; "2025"</f>
        <v/>
      </c>
      <c r="B973" s="5">
        <f>Sheet1!E973</f>
        <v/>
      </c>
      <c r="C973" s="6">
        <f>UPPER(Sheet1!B973)</f>
        <v/>
      </c>
      <c r="D973" s="7">
        <f>IF(Sheet1!F973="F","FEMALE","MALE")</f>
        <v/>
      </c>
      <c r="E973" s="6">
        <f>UPPER(Sheet1!G973)</f>
        <v/>
      </c>
      <c r="F973" s="6">
        <f>UPPER(Sheet1!H973)</f>
        <v/>
      </c>
      <c r="G973" s="5">
        <f>TEXT(Sheet1!C973,"dd/mm/yyyy") &amp; "," &amp; Sheet1!D973</f>
        <v/>
      </c>
      <c r="H973" s="38">
        <f>UPPER(Sheet1!J973 &amp; "," &amp; Sheet1!K973 &amp; "," &amp; Sheet1!L973)</f>
        <v/>
      </c>
      <c r="I973" s="45">
        <f>Sheet1!I973</f>
        <v/>
      </c>
      <c r="J973" s="5">
        <f>Sheet1!M973 &amp; "," &amp; TEXT(Sheet1!N973,"dd/mm/yy")</f>
        <v/>
      </c>
      <c r="K973" s="5" t="inlineStr">
        <is>
          <t>PRINTED</t>
        </is>
      </c>
      <c r="L973" t="inlineStr">
        <is>
          <t>25/03/2026</t>
        </is>
      </c>
      <c r="M973" s="30" t="inlineStr">
        <is>
          <t>MANISH KATARIA, VICE CONSUL</t>
        </is>
      </c>
      <c r="N973" s="30" t="n"/>
    </row>
    <row r="974">
      <c r="A974" s="4">
        <f>Sheet1!A974 &amp; "/" &amp; "2025"</f>
        <v/>
      </c>
      <c r="B974" s="5">
        <f>Sheet1!E974</f>
        <v/>
      </c>
      <c r="C974" s="6">
        <f>UPPER(Sheet1!B974)</f>
        <v/>
      </c>
      <c r="D974" s="7">
        <f>IF(Sheet1!F974="F","FEMALE","MALE")</f>
        <v/>
      </c>
      <c r="E974" s="6">
        <f>UPPER(Sheet1!G974)</f>
        <v/>
      </c>
      <c r="F974" s="6">
        <f>UPPER(Sheet1!H974)</f>
        <v/>
      </c>
      <c r="G974" s="5">
        <f>TEXT(Sheet1!C974,"dd/mm/yyyy") &amp; "," &amp; Sheet1!D974</f>
        <v/>
      </c>
      <c r="H974" s="38">
        <f>UPPER(Sheet1!J974 &amp; "," &amp; Sheet1!K974 &amp; "," &amp; Sheet1!L974)</f>
        <v/>
      </c>
      <c r="I974" s="45">
        <f>Sheet1!I974</f>
        <v/>
      </c>
      <c r="J974" s="5">
        <f>Sheet1!M974 &amp; "," &amp; TEXT(Sheet1!N974,"dd/mm/yy")</f>
        <v/>
      </c>
      <c r="K974" s="5" t="inlineStr">
        <is>
          <t>PRINTED</t>
        </is>
      </c>
      <c r="L974" t="inlineStr">
        <is>
          <t>25/03/2026</t>
        </is>
      </c>
      <c r="M974" s="30" t="inlineStr">
        <is>
          <t>MANISH KATARIA, VICE CONSUL</t>
        </is>
      </c>
      <c r="N974" s="30" t="n"/>
    </row>
    <row r="975">
      <c r="A975" s="4">
        <f>Sheet1!A975 &amp; "/" &amp; "2025"</f>
        <v/>
      </c>
      <c r="B975" s="5">
        <f>Sheet1!E975</f>
        <v/>
      </c>
      <c r="C975" s="6">
        <f>UPPER(Sheet1!B975)</f>
        <v/>
      </c>
      <c r="D975" s="7">
        <f>IF(Sheet1!F975="F","FEMALE","MALE")</f>
        <v/>
      </c>
      <c r="E975" s="6">
        <f>UPPER(Sheet1!G975)</f>
        <v/>
      </c>
      <c r="F975" s="6">
        <f>UPPER(Sheet1!H975)</f>
        <v/>
      </c>
      <c r="G975" s="5">
        <f>TEXT(Sheet1!C975,"dd/mm/yyyy") &amp; "," &amp; Sheet1!D975</f>
        <v/>
      </c>
      <c r="H975" s="38">
        <f>UPPER(Sheet1!J975 &amp; "," &amp; Sheet1!K975 &amp; "," &amp; Sheet1!L975)</f>
        <v/>
      </c>
      <c r="I975" s="45">
        <f>Sheet1!I975</f>
        <v/>
      </c>
      <c r="J975" s="5">
        <f>Sheet1!M975 &amp; "," &amp; TEXT(Sheet1!N975,"dd/mm/yy")</f>
        <v/>
      </c>
      <c r="K975" s="5" t="inlineStr">
        <is>
          <t>PRINTED</t>
        </is>
      </c>
      <c r="L975" t="inlineStr">
        <is>
          <t>25/03/2026</t>
        </is>
      </c>
      <c r="M975" s="30" t="inlineStr">
        <is>
          <t>MANISH KATARIA, VICE CONSUL</t>
        </is>
      </c>
      <c r="N975" s="30" t="n"/>
    </row>
    <row r="976">
      <c r="A976" s="4">
        <f>Sheet1!A976 &amp; "/" &amp; "2025"</f>
        <v/>
      </c>
      <c r="B976" s="5">
        <f>Sheet1!E976</f>
        <v/>
      </c>
      <c r="C976" s="6">
        <f>UPPER(Sheet1!B976)</f>
        <v/>
      </c>
      <c r="D976" s="7">
        <f>IF(Sheet1!F976="F","FEMALE","MALE")</f>
        <v/>
      </c>
      <c r="E976" s="6">
        <f>UPPER(Sheet1!G976)</f>
        <v/>
      </c>
      <c r="F976" s="6">
        <f>UPPER(Sheet1!H976)</f>
        <v/>
      </c>
      <c r="G976" s="5">
        <f>TEXT(Sheet1!C976,"dd/mm/yyyy") &amp; "," &amp; Sheet1!D976</f>
        <v/>
      </c>
      <c r="H976" s="38">
        <f>UPPER(Sheet1!J976 &amp; "," &amp; Sheet1!K976 &amp; "," &amp; Sheet1!L976)</f>
        <v/>
      </c>
      <c r="I976" s="45">
        <f>Sheet1!I976</f>
        <v/>
      </c>
      <c r="J976" s="5">
        <f>Sheet1!M976 &amp; "," &amp; TEXT(Sheet1!N976,"dd/mm/yy")</f>
        <v/>
      </c>
      <c r="K976" s="5" t="inlineStr">
        <is>
          <t>PRINTED</t>
        </is>
      </c>
      <c r="L976" t="inlineStr">
        <is>
          <t>25/03/2026</t>
        </is>
      </c>
      <c r="M976" s="30" t="inlineStr">
        <is>
          <t>MANISH KATARIA, VICE CONSUL</t>
        </is>
      </c>
      <c r="N976" s="30" t="n"/>
    </row>
    <row r="977">
      <c r="A977" s="4">
        <f>Sheet1!A977 &amp; "/" &amp; "2025"</f>
        <v/>
      </c>
      <c r="B977" s="5">
        <f>Sheet1!E977</f>
        <v/>
      </c>
      <c r="C977" s="6">
        <f>UPPER(Sheet1!B977)</f>
        <v/>
      </c>
      <c r="D977" s="7">
        <f>IF(Sheet1!F977="F","FEMALE","MALE")</f>
        <v/>
      </c>
      <c r="E977" s="6">
        <f>UPPER(Sheet1!G977)</f>
        <v/>
      </c>
      <c r="F977" s="6">
        <f>UPPER(Sheet1!H977)</f>
        <v/>
      </c>
      <c r="G977" s="5">
        <f>TEXT(Sheet1!C977,"dd/mm/yyyy") &amp; "," &amp; Sheet1!D977</f>
        <v/>
      </c>
      <c r="H977" s="38">
        <f>UPPER(Sheet1!J977 &amp; "," &amp; Sheet1!K977 &amp; "," &amp; Sheet1!L977)</f>
        <v/>
      </c>
      <c r="I977" s="45">
        <f>Sheet1!I977</f>
        <v/>
      </c>
      <c r="J977" s="5">
        <f>Sheet1!M977 &amp; "," &amp; TEXT(Sheet1!N977,"dd/mm/yy")</f>
        <v/>
      </c>
      <c r="K977" s="5" t="inlineStr">
        <is>
          <t>PRINTED</t>
        </is>
      </c>
      <c r="L977" t="inlineStr">
        <is>
          <t>25/03/2026</t>
        </is>
      </c>
      <c r="M977" s="30" t="inlineStr">
        <is>
          <t>MANISH KATARIA, VICE CONSUL</t>
        </is>
      </c>
      <c r="N977" s="30" t="n"/>
    </row>
    <row r="978">
      <c r="A978" s="4">
        <f>Sheet1!A978 &amp; "/" &amp; "2025"</f>
        <v/>
      </c>
      <c r="B978" s="5">
        <f>Sheet1!E978</f>
        <v/>
      </c>
      <c r="C978" s="6">
        <f>UPPER(Sheet1!B978)</f>
        <v/>
      </c>
      <c r="D978" s="7">
        <f>IF(Sheet1!F978="F","FEMALE","MALE")</f>
        <v/>
      </c>
      <c r="E978" s="6">
        <f>UPPER(Sheet1!G978)</f>
        <v/>
      </c>
      <c r="F978" s="6">
        <f>UPPER(Sheet1!H978)</f>
        <v/>
      </c>
      <c r="G978" s="5">
        <f>TEXT(Sheet1!C978,"dd/mm/yyyy") &amp; "," &amp; Sheet1!D978</f>
        <v/>
      </c>
      <c r="H978" s="38">
        <f>UPPER(Sheet1!J978 &amp; "," &amp; Sheet1!K978 &amp; "," &amp; Sheet1!L978)</f>
        <v/>
      </c>
      <c r="I978" s="45">
        <f>Sheet1!I978</f>
        <v/>
      </c>
      <c r="J978" s="5">
        <f>Sheet1!M978 &amp; "," &amp; TEXT(Sheet1!N978,"dd/mm/yy")</f>
        <v/>
      </c>
      <c r="K978" s="5" t="inlineStr">
        <is>
          <t>PRINTED</t>
        </is>
      </c>
      <c r="L978" t="inlineStr">
        <is>
          <t>25/03/2026</t>
        </is>
      </c>
      <c r="M978" s="30" t="inlineStr">
        <is>
          <t>MANISH KATARIA, VICE CONSUL</t>
        </is>
      </c>
      <c r="N978" s="30" t="n"/>
    </row>
    <row r="979">
      <c r="A979" s="4">
        <f>Sheet1!A979 &amp; "/" &amp; "2025"</f>
        <v/>
      </c>
      <c r="B979" s="5">
        <f>Sheet1!E979</f>
        <v/>
      </c>
      <c r="C979" s="6">
        <f>UPPER(Sheet1!B979)</f>
        <v/>
      </c>
      <c r="D979" s="7">
        <f>IF(Sheet1!F979="F","FEMALE","MALE")</f>
        <v/>
      </c>
      <c r="E979" s="6">
        <f>UPPER(Sheet1!G979)</f>
        <v/>
      </c>
      <c r="F979" s="6">
        <f>UPPER(Sheet1!H979)</f>
        <v/>
      </c>
      <c r="G979" s="5">
        <f>TEXT(Sheet1!C979,"dd/mm/yyyy") &amp; "," &amp; Sheet1!D979</f>
        <v/>
      </c>
      <c r="H979" s="38">
        <f>UPPER(Sheet1!J979 &amp; "," &amp; Sheet1!K979 &amp; "," &amp; Sheet1!L979)</f>
        <v/>
      </c>
      <c r="I979" s="45">
        <f>Sheet1!I979</f>
        <v/>
      </c>
      <c r="J979" s="5">
        <f>Sheet1!M979 &amp; "," &amp; TEXT(Sheet1!N979,"dd/mm/yy")</f>
        <v/>
      </c>
      <c r="K979" s="5" t="inlineStr">
        <is>
          <t>PRINTED</t>
        </is>
      </c>
      <c r="L979" t="inlineStr">
        <is>
          <t>25/03/2026</t>
        </is>
      </c>
      <c r="M979" s="30" t="inlineStr">
        <is>
          <t>MANISH KATARIA, VICE CONSUL</t>
        </is>
      </c>
      <c r="N979" s="30" t="n"/>
    </row>
    <row r="980">
      <c r="A980" s="4">
        <f>Sheet1!A980 &amp; "/" &amp; "2025"</f>
        <v/>
      </c>
      <c r="B980" s="5">
        <f>Sheet1!E980</f>
        <v/>
      </c>
      <c r="C980" s="6">
        <f>UPPER(Sheet1!B980)</f>
        <v/>
      </c>
      <c r="D980" s="7">
        <f>IF(Sheet1!F980="F","FEMALE","MALE")</f>
        <v/>
      </c>
      <c r="E980" s="6">
        <f>UPPER(Sheet1!G980)</f>
        <v/>
      </c>
      <c r="F980" s="6">
        <f>UPPER(Sheet1!H980)</f>
        <v/>
      </c>
      <c r="G980" s="5">
        <f>TEXT(Sheet1!C980,"dd/mm/yyyy") &amp; "," &amp; Sheet1!D980</f>
        <v/>
      </c>
      <c r="H980" s="38">
        <f>UPPER(Sheet1!J980 &amp; "," &amp; Sheet1!K980 &amp; "," &amp; Sheet1!L980)</f>
        <v/>
      </c>
      <c r="I980" s="45">
        <f>Sheet1!I980</f>
        <v/>
      </c>
      <c r="J980" s="5">
        <f>Sheet1!M980 &amp; "," &amp; TEXT(Sheet1!N980,"dd/mm/yy")</f>
        <v/>
      </c>
      <c r="K980" s="5" t="inlineStr">
        <is>
          <t>PRINTED</t>
        </is>
      </c>
      <c r="L980" t="inlineStr">
        <is>
          <t>25/03/2026</t>
        </is>
      </c>
      <c r="M980" s="30" t="inlineStr">
        <is>
          <t>MANISH KATARIA, VICE CONSUL</t>
        </is>
      </c>
      <c r="N980" s="30" t="n"/>
    </row>
    <row r="981">
      <c r="A981" s="4">
        <f>Sheet1!A981 &amp; "/" &amp; "2025"</f>
        <v/>
      </c>
      <c r="B981" s="5">
        <f>Sheet1!E981</f>
        <v/>
      </c>
      <c r="C981" s="6">
        <f>UPPER(Sheet1!B981)</f>
        <v/>
      </c>
      <c r="D981" s="7">
        <f>IF(Sheet1!F981="F","FEMALE","MALE")</f>
        <v/>
      </c>
      <c r="E981" s="6">
        <f>UPPER(Sheet1!G981)</f>
        <v/>
      </c>
      <c r="F981" s="6">
        <f>UPPER(Sheet1!H981)</f>
        <v/>
      </c>
      <c r="G981" s="5">
        <f>TEXT(Sheet1!C981,"dd/mm/yyyy") &amp; "," &amp; Sheet1!D981</f>
        <v/>
      </c>
      <c r="H981" s="38">
        <f>UPPER(Sheet1!J981 &amp; "," &amp; Sheet1!K981 &amp; "," &amp; Sheet1!L981)</f>
        <v/>
      </c>
      <c r="I981" s="45">
        <f>Sheet1!I981</f>
        <v/>
      </c>
      <c r="J981" s="5">
        <f>Sheet1!M981 &amp; "," &amp; TEXT(Sheet1!N981,"dd/mm/yy")</f>
        <v/>
      </c>
      <c r="K981" s="5" t="inlineStr">
        <is>
          <t>PRINTED</t>
        </is>
      </c>
      <c r="L981" t="inlineStr">
        <is>
          <t>25/03/2026</t>
        </is>
      </c>
      <c r="M981" s="30" t="inlineStr">
        <is>
          <t>MANISH KATARIA, VICE CONSUL</t>
        </is>
      </c>
      <c r="N981" s="30" t="n"/>
    </row>
    <row r="982">
      <c r="A982" s="4">
        <f>Sheet1!A982 &amp; "/" &amp; "2025"</f>
        <v/>
      </c>
      <c r="B982" s="5">
        <f>Sheet1!E982</f>
        <v/>
      </c>
      <c r="C982" s="6">
        <f>UPPER(Sheet1!B982)</f>
        <v/>
      </c>
      <c r="D982" s="7">
        <f>IF(Sheet1!F982="F","FEMALE","MALE")</f>
        <v/>
      </c>
      <c r="E982" s="6">
        <f>UPPER(Sheet1!G982)</f>
        <v/>
      </c>
      <c r="F982" s="6">
        <f>UPPER(Sheet1!H982)</f>
        <v/>
      </c>
      <c r="G982" s="5">
        <f>TEXT(Sheet1!C982,"dd/mm/yyyy") &amp; "," &amp; Sheet1!D982</f>
        <v/>
      </c>
      <c r="H982" s="38">
        <f>UPPER(Sheet1!J982 &amp; "," &amp; Sheet1!K982 &amp; "," &amp; Sheet1!L982)</f>
        <v/>
      </c>
      <c r="I982" s="45">
        <f>Sheet1!I982</f>
        <v/>
      </c>
      <c r="J982" s="5">
        <f>Sheet1!M982 &amp; "," &amp; TEXT(Sheet1!N982,"dd/mm/yy")</f>
        <v/>
      </c>
      <c r="K982" s="5" t="inlineStr">
        <is>
          <t>PRINTED</t>
        </is>
      </c>
      <c r="L982" t="inlineStr">
        <is>
          <t>25/03/2026</t>
        </is>
      </c>
      <c r="M982" s="30" t="inlineStr">
        <is>
          <t>MANISH KATARIA, VICE CONSUL</t>
        </is>
      </c>
      <c r="N982" s="30" t="n"/>
    </row>
    <row r="983">
      <c r="A983" s="4">
        <f>Sheet1!A983 &amp; "/" &amp; "2025"</f>
        <v/>
      </c>
      <c r="B983" s="5">
        <f>Sheet1!E983</f>
        <v/>
      </c>
      <c r="C983" s="6">
        <f>UPPER(Sheet1!B983)</f>
        <v/>
      </c>
      <c r="D983" s="7">
        <f>IF(Sheet1!F983="F","FEMALE","MALE")</f>
        <v/>
      </c>
      <c r="E983" s="6">
        <f>UPPER(Sheet1!G983)</f>
        <v/>
      </c>
      <c r="F983" s="6">
        <f>UPPER(Sheet1!H983)</f>
        <v/>
      </c>
      <c r="G983" s="5">
        <f>TEXT(Sheet1!C983,"dd/mm/yyyy") &amp; "," &amp; Sheet1!D983</f>
        <v/>
      </c>
      <c r="H983" s="38">
        <f>UPPER(Sheet1!J983 &amp; "," &amp; Sheet1!K983 &amp; "," &amp; Sheet1!L983)</f>
        <v/>
      </c>
      <c r="I983" s="45">
        <f>Sheet1!I983</f>
        <v/>
      </c>
      <c r="J983" s="5">
        <f>Sheet1!M983 &amp; "," &amp; TEXT(Sheet1!N983,"dd/mm/yy")</f>
        <v/>
      </c>
      <c r="K983" s="5" t="inlineStr">
        <is>
          <t>PRINTED</t>
        </is>
      </c>
      <c r="L983" t="inlineStr">
        <is>
          <t>25/03/2026</t>
        </is>
      </c>
      <c r="M983" s="30" t="inlineStr">
        <is>
          <t>MANISH KATARIA, VICE CONSUL</t>
        </is>
      </c>
      <c r="N983" s="30" t="n"/>
    </row>
    <row r="984">
      <c r="A984" s="4">
        <f>Sheet1!A984 &amp; "/" &amp; "2025"</f>
        <v/>
      </c>
      <c r="B984" s="5">
        <f>Sheet1!E984</f>
        <v/>
      </c>
      <c r="C984" s="6">
        <f>UPPER(Sheet1!B984)</f>
        <v/>
      </c>
      <c r="D984" s="7">
        <f>IF(Sheet1!F984="F","FEMALE","MALE")</f>
        <v/>
      </c>
      <c r="E984" s="6">
        <f>UPPER(Sheet1!G984)</f>
        <v/>
      </c>
      <c r="F984" s="6">
        <f>UPPER(Sheet1!H984)</f>
        <v/>
      </c>
      <c r="G984" s="5">
        <f>TEXT(Sheet1!C984,"dd/mm/yyyy") &amp; "," &amp; Sheet1!D984</f>
        <v/>
      </c>
      <c r="H984" s="38">
        <f>UPPER(Sheet1!J984 &amp; "," &amp; Sheet1!K984 &amp; "," &amp; Sheet1!L984)</f>
        <v/>
      </c>
      <c r="I984" s="45">
        <f>Sheet1!I984</f>
        <v/>
      </c>
      <c r="J984" s="5">
        <f>Sheet1!M984 &amp; "," &amp; TEXT(Sheet1!N984,"dd/mm/yy")</f>
        <v/>
      </c>
      <c r="K984" s="5" t="inlineStr">
        <is>
          <t>PRINTED</t>
        </is>
      </c>
      <c r="L984" t="inlineStr">
        <is>
          <t>25/03/2026</t>
        </is>
      </c>
      <c r="M984" s="30" t="inlineStr">
        <is>
          <t>MANISH KATARIA, VICE CONSUL</t>
        </is>
      </c>
      <c r="N984" s="30" t="n"/>
    </row>
    <row r="985">
      <c r="A985" s="4">
        <f>Sheet1!A985 &amp; "/" &amp; "2025"</f>
        <v/>
      </c>
      <c r="B985" s="5">
        <f>Sheet1!E985</f>
        <v/>
      </c>
      <c r="C985" s="6">
        <f>UPPER(Sheet1!B985)</f>
        <v/>
      </c>
      <c r="D985" s="7">
        <f>IF(Sheet1!F985="F","FEMALE","MALE")</f>
        <v/>
      </c>
      <c r="E985" s="6">
        <f>UPPER(Sheet1!G985)</f>
        <v/>
      </c>
      <c r="F985" s="6">
        <f>UPPER(Sheet1!H985)</f>
        <v/>
      </c>
      <c r="G985" s="5">
        <f>TEXT(Sheet1!C985,"dd/mm/yyyy") &amp; "," &amp; Sheet1!D985</f>
        <v/>
      </c>
      <c r="H985" s="38">
        <f>UPPER(Sheet1!J985 &amp; "," &amp; Sheet1!K985 &amp; "," &amp; Sheet1!L985)</f>
        <v/>
      </c>
      <c r="I985" s="45">
        <f>Sheet1!I985</f>
        <v/>
      </c>
      <c r="J985" s="5">
        <f>Sheet1!M985 &amp; "," &amp; TEXT(Sheet1!N985,"dd/mm/yy")</f>
        <v/>
      </c>
      <c r="K985" s="5" t="inlineStr">
        <is>
          <t>PRINTED</t>
        </is>
      </c>
      <c r="L985" t="inlineStr">
        <is>
          <t>25/03/2026</t>
        </is>
      </c>
      <c r="M985" s="30" t="inlineStr">
        <is>
          <t>MANISH KATARIA, VICE CONSUL</t>
        </is>
      </c>
      <c r="N985" s="30" t="n"/>
    </row>
    <row r="986">
      <c r="A986" s="4">
        <f>Sheet1!A986 &amp; "/" &amp; "2025"</f>
        <v/>
      </c>
      <c r="B986" s="5">
        <f>Sheet1!E986</f>
        <v/>
      </c>
      <c r="C986" s="6">
        <f>UPPER(Sheet1!B986)</f>
        <v/>
      </c>
      <c r="D986" s="7">
        <f>IF(Sheet1!F986="F","FEMALE","MALE")</f>
        <v/>
      </c>
      <c r="E986" s="6">
        <f>UPPER(Sheet1!G986)</f>
        <v/>
      </c>
      <c r="F986" s="6">
        <f>UPPER(Sheet1!H986)</f>
        <v/>
      </c>
      <c r="G986" s="5">
        <f>TEXT(Sheet1!C986,"dd/mm/yyyy") &amp; "," &amp; Sheet1!D986</f>
        <v/>
      </c>
      <c r="H986" s="38">
        <f>UPPER(Sheet1!J986 &amp; "," &amp; Sheet1!K986 &amp; "," &amp; Sheet1!L986)</f>
        <v/>
      </c>
      <c r="I986" s="45">
        <f>Sheet1!I986</f>
        <v/>
      </c>
      <c r="J986" s="5">
        <f>Sheet1!M986 &amp; "," &amp; TEXT(Sheet1!N986,"dd/mm/yy")</f>
        <v/>
      </c>
      <c r="K986" s="5" t="inlineStr">
        <is>
          <t>PRINTED</t>
        </is>
      </c>
      <c r="L986" t="inlineStr">
        <is>
          <t>25/03/2026</t>
        </is>
      </c>
      <c r="M986" s="30" t="inlineStr">
        <is>
          <t>MANISH KATARIA, VICE CONSUL</t>
        </is>
      </c>
      <c r="N986" s="30" t="n"/>
    </row>
    <row r="987">
      <c r="A987" s="4">
        <f>Sheet1!A987 &amp; "/" &amp; "2025"</f>
        <v/>
      </c>
      <c r="B987" s="5">
        <f>Sheet1!E987</f>
        <v/>
      </c>
      <c r="C987" s="6">
        <f>UPPER(Sheet1!B987)</f>
        <v/>
      </c>
      <c r="D987" s="7">
        <f>IF(Sheet1!F987="F","FEMALE","MALE")</f>
        <v/>
      </c>
      <c r="E987" s="6">
        <f>UPPER(Sheet1!G987)</f>
        <v/>
      </c>
      <c r="F987" s="6">
        <f>UPPER(Sheet1!H987)</f>
        <v/>
      </c>
      <c r="G987" s="5">
        <f>TEXT(Sheet1!C987,"dd/mm/yyyy") &amp; "," &amp; Sheet1!D987</f>
        <v/>
      </c>
      <c r="H987" s="38">
        <f>UPPER(Sheet1!J987 &amp; "," &amp; Sheet1!K987 &amp; "," &amp; Sheet1!L987)</f>
        <v/>
      </c>
      <c r="I987" s="45">
        <f>Sheet1!I987</f>
        <v/>
      </c>
      <c r="J987" s="5">
        <f>Sheet1!M987 &amp; "," &amp; TEXT(Sheet1!N987,"dd/mm/yy")</f>
        <v/>
      </c>
      <c r="K987" s="5" t="inlineStr">
        <is>
          <t>PRINTED</t>
        </is>
      </c>
      <c r="L987" t="inlineStr">
        <is>
          <t>25/03/2026</t>
        </is>
      </c>
      <c r="M987" s="30" t="inlineStr">
        <is>
          <t>MANISH KATARIA, VICE CONSUL</t>
        </is>
      </c>
      <c r="N987" s="30" t="n"/>
    </row>
    <row r="988">
      <c r="A988" s="4">
        <f>Sheet1!A988 &amp; "/" &amp; "2025"</f>
        <v/>
      </c>
      <c r="B988" s="5">
        <f>Sheet1!E988</f>
        <v/>
      </c>
      <c r="C988" s="6">
        <f>UPPER(Sheet1!B988)</f>
        <v/>
      </c>
      <c r="D988" s="7">
        <f>IF(Sheet1!F988="F","FEMALE","MALE")</f>
        <v/>
      </c>
      <c r="E988" s="6">
        <f>UPPER(Sheet1!G988)</f>
        <v/>
      </c>
      <c r="F988" s="6">
        <f>UPPER(Sheet1!H988)</f>
        <v/>
      </c>
      <c r="G988" s="5">
        <f>TEXT(Sheet1!C988,"dd/mm/yyyy") &amp; "," &amp; Sheet1!D988</f>
        <v/>
      </c>
      <c r="H988" s="38">
        <f>UPPER(Sheet1!J988 &amp; "," &amp; Sheet1!K988 &amp; "," &amp; Sheet1!L988)</f>
        <v/>
      </c>
      <c r="I988" s="45">
        <f>Sheet1!I988</f>
        <v/>
      </c>
      <c r="J988" s="5">
        <f>Sheet1!M988 &amp; "," &amp; TEXT(Sheet1!N988,"dd/mm/yy")</f>
        <v/>
      </c>
      <c r="K988" s="5" t="inlineStr">
        <is>
          <t>PRINTED</t>
        </is>
      </c>
      <c r="L988" t="inlineStr">
        <is>
          <t>25/03/2026</t>
        </is>
      </c>
      <c r="M988" s="30" t="inlineStr">
        <is>
          <t>MANISH KATARIA, VICE CONSUL</t>
        </is>
      </c>
      <c r="N988" s="30" t="n"/>
    </row>
    <row r="989">
      <c r="A989" s="4">
        <f>Sheet1!A989 &amp; "/" &amp; "2025"</f>
        <v/>
      </c>
      <c r="B989" s="5">
        <f>Sheet1!E989</f>
        <v/>
      </c>
      <c r="C989" s="6">
        <f>UPPER(Sheet1!B989)</f>
        <v/>
      </c>
      <c r="D989" s="7">
        <f>IF(Sheet1!F989="F","FEMALE","MALE")</f>
        <v/>
      </c>
      <c r="E989" s="6">
        <f>UPPER(Sheet1!G989)</f>
        <v/>
      </c>
      <c r="F989" s="6">
        <f>UPPER(Sheet1!H989)</f>
        <v/>
      </c>
      <c r="G989" s="5">
        <f>TEXT(Sheet1!C989,"dd/mm/yyyy") &amp; "," &amp; Sheet1!D989</f>
        <v/>
      </c>
      <c r="H989" s="38">
        <f>UPPER(Sheet1!J989 &amp; "," &amp; Sheet1!K989 &amp; "," &amp; Sheet1!L989)</f>
        <v/>
      </c>
      <c r="I989" s="45">
        <f>Sheet1!I989</f>
        <v/>
      </c>
      <c r="J989" s="5">
        <f>Sheet1!M989 &amp; "," &amp; TEXT(Sheet1!N989,"dd/mm/yy")</f>
        <v/>
      </c>
      <c r="K989" s="5" t="inlineStr">
        <is>
          <t>PRINTED</t>
        </is>
      </c>
      <c r="L989" t="inlineStr">
        <is>
          <t>25/03/2026</t>
        </is>
      </c>
      <c r="M989" s="30" t="inlineStr">
        <is>
          <t>MANISH KATARIA, VICE CONSUL</t>
        </is>
      </c>
      <c r="N989" s="30" t="n"/>
    </row>
    <row r="990">
      <c r="A990" s="4">
        <f>Sheet1!A990 &amp; "/" &amp; "2025"</f>
        <v/>
      </c>
      <c r="B990" s="5">
        <f>Sheet1!E990</f>
        <v/>
      </c>
      <c r="C990" s="6">
        <f>UPPER(Sheet1!B990)</f>
        <v/>
      </c>
      <c r="D990" s="7">
        <f>IF(Sheet1!F990="F","FEMALE","MALE")</f>
        <v/>
      </c>
      <c r="E990" s="6">
        <f>UPPER(Sheet1!G990)</f>
        <v/>
      </c>
      <c r="F990" s="6">
        <f>UPPER(Sheet1!H990)</f>
        <v/>
      </c>
      <c r="G990" s="5">
        <f>TEXT(Sheet1!C990,"dd/mm/yyyy") &amp; "," &amp; Sheet1!D990</f>
        <v/>
      </c>
      <c r="H990" s="38">
        <f>UPPER(Sheet1!J990 &amp; "," &amp; Sheet1!K990 &amp; "," &amp; Sheet1!L990)</f>
        <v/>
      </c>
      <c r="I990" s="45">
        <f>Sheet1!I990</f>
        <v/>
      </c>
      <c r="J990" s="5">
        <f>Sheet1!M990 &amp; "," &amp; TEXT(Sheet1!N990,"dd/mm/yy")</f>
        <v/>
      </c>
      <c r="K990" s="5" t="inlineStr">
        <is>
          <t>PRINTED</t>
        </is>
      </c>
      <c r="L990" t="inlineStr">
        <is>
          <t>25/03/2026</t>
        </is>
      </c>
      <c r="M990" s="30" t="inlineStr">
        <is>
          <t>MANISH KATARIA, VICE CONSUL</t>
        </is>
      </c>
      <c r="N990" s="30" t="n"/>
    </row>
    <row r="991">
      <c r="A991" s="4">
        <f>Sheet1!A991 &amp; "/" &amp; "2025"</f>
        <v/>
      </c>
      <c r="B991" s="5">
        <f>Sheet1!E991</f>
        <v/>
      </c>
      <c r="C991" s="6">
        <f>UPPER(Sheet1!B991)</f>
        <v/>
      </c>
      <c r="D991" s="7">
        <f>IF(Sheet1!F991="F","FEMALE","MALE")</f>
        <v/>
      </c>
      <c r="E991" s="6">
        <f>UPPER(Sheet1!G991)</f>
        <v/>
      </c>
      <c r="F991" s="6">
        <f>UPPER(Sheet1!H991)</f>
        <v/>
      </c>
      <c r="G991" s="5">
        <f>TEXT(Sheet1!C991,"dd/mm/yyyy") &amp; "," &amp; Sheet1!D991</f>
        <v/>
      </c>
      <c r="H991" s="38">
        <f>UPPER(Sheet1!J991 &amp; "," &amp; Sheet1!K991 &amp; "," &amp; Sheet1!L991)</f>
        <v/>
      </c>
      <c r="I991" s="45">
        <f>Sheet1!I991</f>
        <v/>
      </c>
      <c r="J991" s="5">
        <f>Sheet1!M991 &amp; "," &amp; TEXT(Sheet1!N991,"dd/mm/yy")</f>
        <v/>
      </c>
      <c r="K991" s="5" t="inlineStr">
        <is>
          <t>PRINTED</t>
        </is>
      </c>
      <c r="L991" t="inlineStr">
        <is>
          <t>25/03/2026</t>
        </is>
      </c>
      <c r="M991" s="30" t="inlineStr">
        <is>
          <t>MANISH KATARIA, VICE CONSUL</t>
        </is>
      </c>
      <c r="N991" s="30" t="n"/>
    </row>
    <row r="992">
      <c r="A992" s="4">
        <f>Sheet1!A992 &amp; "/" &amp; "2025"</f>
        <v/>
      </c>
      <c r="B992" s="5">
        <f>Sheet1!E992</f>
        <v/>
      </c>
      <c r="C992" s="6">
        <f>UPPER(Sheet1!B992)</f>
        <v/>
      </c>
      <c r="D992" s="7">
        <f>IF(Sheet1!F992="F","FEMALE","MALE")</f>
        <v/>
      </c>
      <c r="E992" s="6">
        <f>UPPER(Sheet1!G992)</f>
        <v/>
      </c>
      <c r="F992" s="6">
        <f>UPPER(Sheet1!H992)</f>
        <v/>
      </c>
      <c r="G992" s="5">
        <f>TEXT(Sheet1!C992,"dd/mm/yyyy") &amp; "," &amp; Sheet1!D992</f>
        <v/>
      </c>
      <c r="H992" s="38">
        <f>UPPER(Sheet1!J992 &amp; "," &amp; Sheet1!K992 &amp; "," &amp; Sheet1!L992)</f>
        <v/>
      </c>
      <c r="I992" s="45">
        <f>Sheet1!I992</f>
        <v/>
      </c>
      <c r="J992" s="5">
        <f>Sheet1!M992 &amp; "," &amp; TEXT(Sheet1!N992,"dd/mm/yy")</f>
        <v/>
      </c>
      <c r="K992" s="5" t="inlineStr">
        <is>
          <t>PRINTED</t>
        </is>
      </c>
      <c r="L992" t="inlineStr">
        <is>
          <t>25/03/2026</t>
        </is>
      </c>
      <c r="M992" s="30" t="inlineStr">
        <is>
          <t>MANISH KATARIA, VICE CONSUL</t>
        </is>
      </c>
      <c r="N992" s="30" t="n"/>
    </row>
    <row r="993">
      <c r="A993" s="4">
        <f>Sheet1!A993 &amp; "/" &amp; "2025"</f>
        <v/>
      </c>
      <c r="B993" s="5">
        <f>Sheet1!E993</f>
        <v/>
      </c>
      <c r="C993" s="6">
        <f>UPPER(Sheet1!B993)</f>
        <v/>
      </c>
      <c r="D993" s="7">
        <f>IF(Sheet1!F993="F","FEMALE","MALE")</f>
        <v/>
      </c>
      <c r="E993" s="6">
        <f>UPPER(Sheet1!G993)</f>
        <v/>
      </c>
      <c r="F993" s="6">
        <f>UPPER(Sheet1!H993)</f>
        <v/>
      </c>
      <c r="G993" s="5">
        <f>TEXT(Sheet1!C993,"dd/mm/yyyy") &amp; "," &amp; Sheet1!D993</f>
        <v/>
      </c>
      <c r="H993" s="38">
        <f>UPPER(Sheet1!J993 &amp; "," &amp; Sheet1!K993 &amp; "," &amp; Sheet1!L993)</f>
        <v/>
      </c>
      <c r="I993" s="45">
        <f>Sheet1!I993</f>
        <v/>
      </c>
      <c r="J993" s="5">
        <f>Sheet1!M993 &amp; "," &amp; TEXT(Sheet1!N993,"dd/mm/yy")</f>
        <v/>
      </c>
      <c r="K993" s="5" t="inlineStr">
        <is>
          <t>PRINTED</t>
        </is>
      </c>
      <c r="L993" t="inlineStr">
        <is>
          <t>25/03/2026</t>
        </is>
      </c>
      <c r="M993" s="30" t="inlineStr">
        <is>
          <t>MANISH KATARIA, VICE CONSUL</t>
        </is>
      </c>
      <c r="N993" s="30" t="n"/>
    </row>
    <row r="994">
      <c r="A994" s="4">
        <f>Sheet1!A994 &amp; "/" &amp; "2025"</f>
        <v/>
      </c>
      <c r="B994" s="5">
        <f>Sheet1!E994</f>
        <v/>
      </c>
      <c r="C994" s="6">
        <f>UPPER(Sheet1!B994)</f>
        <v/>
      </c>
      <c r="D994" s="7">
        <f>IF(Sheet1!F994="F","FEMALE","MALE")</f>
        <v/>
      </c>
      <c r="E994" s="6">
        <f>UPPER(Sheet1!G994)</f>
        <v/>
      </c>
      <c r="F994" s="6">
        <f>UPPER(Sheet1!H994)</f>
        <v/>
      </c>
      <c r="G994" s="5">
        <f>TEXT(Sheet1!C994,"dd/mm/yyyy") &amp; "," &amp; Sheet1!D994</f>
        <v/>
      </c>
      <c r="H994" s="38">
        <f>UPPER(Sheet1!J994 &amp; "," &amp; Sheet1!K994 &amp; "," &amp; Sheet1!L994)</f>
        <v/>
      </c>
      <c r="I994" s="45">
        <f>Sheet1!I994</f>
        <v/>
      </c>
      <c r="J994" s="5">
        <f>Sheet1!M994 &amp; "," &amp; TEXT(Sheet1!N994,"dd/mm/yy")</f>
        <v/>
      </c>
      <c r="K994" s="5" t="inlineStr">
        <is>
          <t>PRINTED</t>
        </is>
      </c>
      <c r="L994" t="inlineStr">
        <is>
          <t>25/03/2026</t>
        </is>
      </c>
      <c r="M994" s="30" t="inlineStr">
        <is>
          <t>MANISH KATARIA, VICE CONSUL</t>
        </is>
      </c>
      <c r="N994" s="30" t="n"/>
    </row>
    <row r="995">
      <c r="A995" s="4">
        <f>Sheet1!A995 &amp; "/" &amp; "2025"</f>
        <v/>
      </c>
      <c r="B995" s="5">
        <f>Sheet1!E995</f>
        <v/>
      </c>
      <c r="C995" s="6">
        <f>UPPER(Sheet1!B995)</f>
        <v/>
      </c>
      <c r="D995" s="7">
        <f>IF(Sheet1!F995="F","FEMALE","MALE")</f>
        <v/>
      </c>
      <c r="E995" s="6">
        <f>UPPER(Sheet1!G995)</f>
        <v/>
      </c>
      <c r="F995" s="6">
        <f>UPPER(Sheet1!H995)</f>
        <v/>
      </c>
      <c r="G995" s="5">
        <f>TEXT(Sheet1!C995,"dd/mm/yyyy") &amp; "," &amp; Sheet1!D995</f>
        <v/>
      </c>
      <c r="H995" s="38">
        <f>UPPER(Sheet1!J995 &amp; "," &amp; Sheet1!K995 &amp; "," &amp; Sheet1!L995)</f>
        <v/>
      </c>
      <c r="I995" s="45">
        <f>Sheet1!I995</f>
        <v/>
      </c>
      <c r="J995" s="5">
        <f>Sheet1!M995 &amp; "," &amp; TEXT(Sheet1!N995,"dd/mm/yy")</f>
        <v/>
      </c>
      <c r="K995" s="5" t="inlineStr">
        <is>
          <t>PRINTED</t>
        </is>
      </c>
      <c r="L995" t="inlineStr">
        <is>
          <t>25/03/2026</t>
        </is>
      </c>
      <c r="M995" s="30" t="inlineStr">
        <is>
          <t>MANISH KATARIA, VICE CONSUL</t>
        </is>
      </c>
      <c r="N995" s="30" t="n"/>
    </row>
    <row r="996">
      <c r="A996" s="4">
        <f>Sheet1!A996 &amp; "/" &amp; "2025"</f>
        <v/>
      </c>
      <c r="B996" s="5">
        <f>Sheet1!E996</f>
        <v/>
      </c>
      <c r="C996" s="6">
        <f>UPPER(Sheet1!B996)</f>
        <v/>
      </c>
      <c r="D996" s="7">
        <f>IF(Sheet1!F996="F","FEMALE","MALE")</f>
        <v/>
      </c>
      <c r="E996" s="6">
        <f>UPPER(Sheet1!G996)</f>
        <v/>
      </c>
      <c r="F996" s="6">
        <f>UPPER(Sheet1!H996)</f>
        <v/>
      </c>
      <c r="G996" s="5">
        <f>TEXT(Sheet1!C996,"dd/mm/yyyy") &amp; "," &amp; Sheet1!D996</f>
        <v/>
      </c>
      <c r="H996" s="38">
        <f>UPPER(Sheet1!J996 &amp; "," &amp; Sheet1!K996 &amp; "," &amp; Sheet1!L996)</f>
        <v/>
      </c>
      <c r="I996" s="45">
        <f>Sheet1!I996</f>
        <v/>
      </c>
      <c r="J996" s="5">
        <f>Sheet1!M996 &amp; "," &amp; TEXT(Sheet1!N996,"dd/mm/yy")</f>
        <v/>
      </c>
      <c r="K996" s="5" t="inlineStr">
        <is>
          <t>PRINTED</t>
        </is>
      </c>
      <c r="L996" t="inlineStr">
        <is>
          <t>25/03/2026</t>
        </is>
      </c>
      <c r="M996" s="30" t="inlineStr">
        <is>
          <t>MANISH KATARIA, VICE CONSUL</t>
        </is>
      </c>
      <c r="N996" s="30" t="n"/>
    </row>
    <row r="997">
      <c r="A997" s="4">
        <f>Sheet1!A997 &amp; "/" &amp; "2025"</f>
        <v/>
      </c>
      <c r="B997" s="5">
        <f>Sheet1!E997</f>
        <v/>
      </c>
      <c r="C997" s="6">
        <f>UPPER(Sheet1!B997)</f>
        <v/>
      </c>
      <c r="D997" s="7">
        <f>IF(Sheet1!F997="F","FEMALE","MALE")</f>
        <v/>
      </c>
      <c r="E997" s="6">
        <f>UPPER(Sheet1!G997)</f>
        <v/>
      </c>
      <c r="F997" s="6">
        <f>UPPER(Sheet1!H997)</f>
        <v/>
      </c>
      <c r="G997" s="5">
        <f>TEXT(Sheet1!C997,"dd/mm/yyyy") &amp; "," &amp; Sheet1!D997</f>
        <v/>
      </c>
      <c r="H997" s="38">
        <f>UPPER(Sheet1!J997 &amp; "," &amp; Sheet1!K997 &amp; "," &amp; Sheet1!L997)</f>
        <v/>
      </c>
      <c r="I997" s="45">
        <f>Sheet1!I997</f>
        <v/>
      </c>
      <c r="J997" s="5">
        <f>Sheet1!M997 &amp; "," &amp; TEXT(Sheet1!N997,"dd/mm/yy")</f>
        <v/>
      </c>
      <c r="K997" s="5" t="inlineStr">
        <is>
          <t>PRINTED</t>
        </is>
      </c>
      <c r="L997" t="inlineStr">
        <is>
          <t>25/03/2026</t>
        </is>
      </c>
      <c r="M997" s="30" t="inlineStr">
        <is>
          <t>MANISH KATARIA, VICE CONSUL</t>
        </is>
      </c>
      <c r="N997" s="30" t="n"/>
    </row>
    <row r="998">
      <c r="A998" s="4">
        <f>Sheet1!A998 &amp; "/" &amp; "2025"</f>
        <v/>
      </c>
      <c r="B998" s="5">
        <f>Sheet1!E998</f>
        <v/>
      </c>
      <c r="C998" s="6">
        <f>UPPER(Sheet1!B998)</f>
        <v/>
      </c>
      <c r="D998" s="7">
        <f>IF(Sheet1!F998="F","FEMALE","MALE")</f>
        <v/>
      </c>
      <c r="E998" s="6">
        <f>UPPER(Sheet1!G998)</f>
        <v/>
      </c>
      <c r="F998" s="6">
        <f>UPPER(Sheet1!H998)</f>
        <v/>
      </c>
      <c r="G998" s="5">
        <f>TEXT(Sheet1!C998,"dd/mm/yyyy") &amp; "," &amp; Sheet1!D998</f>
        <v/>
      </c>
      <c r="H998" s="38">
        <f>UPPER(Sheet1!J998 &amp; "," &amp; Sheet1!K998 &amp; "," &amp; Sheet1!L998)</f>
        <v/>
      </c>
      <c r="I998" s="45">
        <f>Sheet1!I998</f>
        <v/>
      </c>
      <c r="J998" s="5">
        <f>Sheet1!M998 &amp; "," &amp; TEXT(Sheet1!N998,"dd/mm/yy")</f>
        <v/>
      </c>
      <c r="K998" s="5" t="inlineStr">
        <is>
          <t>PRINTED</t>
        </is>
      </c>
      <c r="L998" t="inlineStr">
        <is>
          <t>25/03/2026</t>
        </is>
      </c>
      <c r="M998" s="30" t="inlineStr">
        <is>
          <t>MANISH KATARIA, VICE CONSUL</t>
        </is>
      </c>
      <c r="N998" s="30" t="n"/>
    </row>
    <row r="999">
      <c r="A999" s="4">
        <f>Sheet1!A999 &amp; "/" &amp; "2025"</f>
        <v/>
      </c>
      <c r="B999" s="5">
        <f>Sheet1!E999</f>
        <v/>
      </c>
      <c r="C999" s="6">
        <f>UPPER(Sheet1!B999)</f>
        <v/>
      </c>
      <c r="D999" s="7">
        <f>IF(Sheet1!F999="F","FEMALE","MALE")</f>
        <v/>
      </c>
      <c r="E999" s="6">
        <f>UPPER(Sheet1!G999)</f>
        <v/>
      </c>
      <c r="F999" s="6">
        <f>UPPER(Sheet1!H999)</f>
        <v/>
      </c>
      <c r="G999" s="5">
        <f>TEXT(Sheet1!C999,"dd/mm/yyyy") &amp; "," &amp; Sheet1!D999</f>
        <v/>
      </c>
      <c r="H999" s="38">
        <f>UPPER(Sheet1!J999 &amp; "," &amp; Sheet1!K999 &amp; "," &amp; Sheet1!L999)</f>
        <v/>
      </c>
      <c r="I999" s="45">
        <f>Sheet1!I999</f>
        <v/>
      </c>
      <c r="J999" s="5">
        <f>Sheet1!M999 &amp; "," &amp; TEXT(Sheet1!N999,"dd/mm/yy")</f>
        <v/>
      </c>
      <c r="K999" s="5" t="inlineStr">
        <is>
          <t>PRINTED</t>
        </is>
      </c>
      <c r="L999" t="inlineStr">
        <is>
          <t>25/03/2026</t>
        </is>
      </c>
      <c r="M999" s="30" t="inlineStr">
        <is>
          <t>MANISH KATARIA, VICE CONSUL</t>
        </is>
      </c>
      <c r="N999" s="30" t="n"/>
    </row>
    <row r="1000">
      <c r="A1000" s="4">
        <f>Sheet1!A1000 &amp; "/" &amp; "2025"</f>
        <v/>
      </c>
      <c r="B1000" s="5">
        <f>Sheet1!E1000</f>
        <v/>
      </c>
      <c r="C1000" s="6">
        <f>UPPER(Sheet1!B1000)</f>
        <v/>
      </c>
      <c r="D1000" s="7">
        <f>IF(Sheet1!F1000="F","FEMALE","MALE")</f>
        <v/>
      </c>
      <c r="E1000" s="6">
        <f>UPPER(Sheet1!G1000)</f>
        <v/>
      </c>
      <c r="F1000" s="6">
        <f>UPPER(Sheet1!H1000)</f>
        <v/>
      </c>
      <c r="G1000" s="5">
        <f>TEXT(Sheet1!C1000,"dd/mm/yyyy") &amp; "," &amp; Sheet1!D1000</f>
        <v/>
      </c>
      <c r="H1000" s="38">
        <f>UPPER(Sheet1!J1000 &amp; "," &amp; Sheet1!K1000 &amp; "," &amp; Sheet1!L1000)</f>
        <v/>
      </c>
      <c r="I1000" s="45">
        <f>Sheet1!I1000</f>
        <v/>
      </c>
      <c r="J1000" s="5">
        <f>Sheet1!M1000 &amp; "," &amp; TEXT(Sheet1!N1000,"dd/mm/yy")</f>
        <v/>
      </c>
      <c r="K1000" s="5" t="inlineStr">
        <is>
          <t>PRINTED</t>
        </is>
      </c>
      <c r="L1000" t="inlineStr">
        <is>
          <t>25/03/2026</t>
        </is>
      </c>
      <c r="M1000" s="30" t="inlineStr">
        <is>
          <t>MANISH KATARIA, VICE CONSUL</t>
        </is>
      </c>
      <c r="N1000" s="30" t="n"/>
    </row>
    <row r="1001">
      <c r="A1001" s="4">
        <f>Sheet1!A1001 &amp; "/" &amp; "2025"</f>
        <v/>
      </c>
      <c r="B1001" s="5">
        <f>Sheet1!E1001</f>
        <v/>
      </c>
      <c r="C1001" s="6">
        <f>UPPER(Sheet1!B1001)</f>
        <v/>
      </c>
      <c r="D1001" s="7">
        <f>IF(Sheet1!F1001="F","FEMALE","MALE")</f>
        <v/>
      </c>
      <c r="E1001" s="6">
        <f>UPPER(Sheet1!G1001)</f>
        <v/>
      </c>
      <c r="F1001" s="6">
        <f>UPPER(Sheet1!H1001)</f>
        <v/>
      </c>
      <c r="G1001" s="5">
        <f>TEXT(Sheet1!C1001,"dd/mm/yyyy") &amp; "," &amp; Sheet1!D1001</f>
        <v/>
      </c>
      <c r="H1001" s="38">
        <f>UPPER(Sheet1!J1001 &amp; "," &amp; Sheet1!K1001 &amp; "," &amp; Sheet1!L1001)</f>
        <v/>
      </c>
      <c r="I1001" s="45">
        <f>Sheet1!I1001</f>
        <v/>
      </c>
      <c r="J1001" s="5">
        <f>Sheet1!M1001 &amp; "," &amp; TEXT(Sheet1!N1001,"dd/mm/yy")</f>
        <v/>
      </c>
      <c r="K1001" s="5" t="inlineStr">
        <is>
          <t>PRINTED</t>
        </is>
      </c>
      <c r="L1001" t="inlineStr">
        <is>
          <t>25/03/2026</t>
        </is>
      </c>
      <c r="M1001" s="30" t="inlineStr">
        <is>
          <t>MANISH KATARIA, VICE CONSUL</t>
        </is>
      </c>
      <c r="N1001" s="30" t="n"/>
    </row>
    <row r="1002">
      <c r="A1002" s="4">
        <f>Sheet1!A1002 &amp; "/" &amp; "2025"</f>
        <v/>
      </c>
      <c r="B1002" s="5">
        <f>Sheet1!E1002</f>
        <v/>
      </c>
      <c r="C1002" s="6">
        <f>UPPER(Sheet1!B1002)</f>
        <v/>
      </c>
      <c r="D1002" s="7">
        <f>IF(Sheet1!F1002="F","FEMALE","MALE")</f>
        <v/>
      </c>
      <c r="E1002" s="6">
        <f>UPPER(Sheet1!G1002)</f>
        <v/>
      </c>
      <c r="F1002" s="6">
        <f>UPPER(Sheet1!H1002)</f>
        <v/>
      </c>
      <c r="G1002" s="5">
        <f>TEXT(Sheet1!C1002,"dd/mm/yyyy") &amp; "," &amp; Sheet1!D1002</f>
        <v/>
      </c>
      <c r="H1002" s="38">
        <f>UPPER(Sheet1!J1002 &amp; "," &amp; Sheet1!K1002 &amp; "," &amp; Sheet1!L1002)</f>
        <v/>
      </c>
      <c r="I1002" s="45">
        <f>Sheet1!I1002</f>
        <v/>
      </c>
      <c r="J1002" s="5">
        <f>Sheet1!M1002 &amp; "," &amp; TEXT(Sheet1!N1002,"dd/mm/yy")</f>
        <v/>
      </c>
      <c r="K1002" s="5" t="inlineStr">
        <is>
          <t>PRINTED</t>
        </is>
      </c>
      <c r="L1002" t="inlineStr">
        <is>
          <t>25/03/2026</t>
        </is>
      </c>
      <c r="M1002" s="30" t="inlineStr">
        <is>
          <t>MANISH KATARIA, VICE CONSUL</t>
        </is>
      </c>
      <c r="N1002" s="30" t="n"/>
    </row>
    <row r="1003">
      <c r="A1003" s="4">
        <f>Sheet1!A1003 &amp; "/" &amp; "2025"</f>
        <v/>
      </c>
      <c r="B1003" s="5">
        <f>Sheet1!E1003</f>
        <v/>
      </c>
      <c r="C1003" s="6">
        <f>UPPER(Sheet1!B1003)</f>
        <v/>
      </c>
      <c r="D1003" s="7">
        <f>IF(Sheet1!F1003="F","FEMALE","MALE")</f>
        <v/>
      </c>
      <c r="E1003" s="6">
        <f>UPPER(Sheet1!G1003)</f>
        <v/>
      </c>
      <c r="F1003" s="6">
        <f>UPPER(Sheet1!H1003)</f>
        <v/>
      </c>
      <c r="G1003" s="5">
        <f>TEXT(Sheet1!C1003,"dd/mm/yyyy") &amp; "," &amp; Sheet1!D1003</f>
        <v/>
      </c>
      <c r="H1003" s="38">
        <f>UPPER(Sheet1!J1003 &amp; "," &amp; Sheet1!K1003 &amp; "," &amp; Sheet1!L1003)</f>
        <v/>
      </c>
      <c r="I1003" s="45">
        <f>Sheet1!I1003</f>
        <v/>
      </c>
      <c r="J1003" s="5">
        <f>Sheet1!M1003 &amp; "," &amp; TEXT(Sheet1!N1003,"dd/mm/yy")</f>
        <v/>
      </c>
      <c r="K1003" s="5" t="inlineStr">
        <is>
          <t>PRINTED</t>
        </is>
      </c>
      <c r="L1003" t="inlineStr">
        <is>
          <t>25/03/2026</t>
        </is>
      </c>
      <c r="M1003" s="30" t="inlineStr">
        <is>
          <t>MANISH KATARIA, VICE CONSUL</t>
        </is>
      </c>
      <c r="N1003" s="30" t="n"/>
    </row>
    <row r="1004">
      <c r="A1004" s="4">
        <f>Sheet1!A1004 &amp; "/" &amp; "2025"</f>
        <v/>
      </c>
      <c r="B1004" s="5">
        <f>Sheet1!E1004</f>
        <v/>
      </c>
      <c r="C1004" s="6">
        <f>UPPER(Sheet1!B1004)</f>
        <v/>
      </c>
      <c r="D1004" s="7">
        <f>IF(Sheet1!F1004="F","FEMALE","MALE")</f>
        <v/>
      </c>
      <c r="E1004" s="6">
        <f>UPPER(Sheet1!G1004)</f>
        <v/>
      </c>
      <c r="F1004" s="6">
        <f>UPPER(Sheet1!H1004)</f>
        <v/>
      </c>
      <c r="G1004" s="5">
        <f>TEXT(Sheet1!C1004,"dd/mm/yyyy") &amp; "," &amp; Sheet1!D1004</f>
        <v/>
      </c>
      <c r="H1004" s="38">
        <f>UPPER(Sheet1!J1004 &amp; "," &amp; Sheet1!K1004 &amp; "," &amp; Sheet1!L1004)</f>
        <v/>
      </c>
      <c r="I1004" s="45">
        <f>Sheet1!I1004</f>
        <v/>
      </c>
      <c r="J1004" s="5">
        <f>Sheet1!M1004 &amp; "," &amp; TEXT(Sheet1!N1004,"dd/mm/yy")</f>
        <v/>
      </c>
      <c r="K1004" s="5" t="inlineStr">
        <is>
          <t>PRINTED</t>
        </is>
      </c>
      <c r="L1004" t="inlineStr">
        <is>
          <t>25/03/2026</t>
        </is>
      </c>
      <c r="M1004" s="30" t="inlineStr">
        <is>
          <t>MANISH KATARIA, VICE CONSUL</t>
        </is>
      </c>
      <c r="N1004" s="30" t="n"/>
    </row>
    <row r="1005">
      <c r="A1005" s="4">
        <f>Sheet1!A1005 &amp; "/" &amp; "2025"</f>
        <v/>
      </c>
      <c r="B1005" s="5">
        <f>Sheet1!E1005</f>
        <v/>
      </c>
      <c r="C1005" s="6">
        <f>UPPER(Sheet1!B1005)</f>
        <v/>
      </c>
      <c r="D1005" s="7">
        <f>IF(Sheet1!F1005="F","FEMALE","MALE")</f>
        <v/>
      </c>
      <c r="E1005" s="6">
        <f>UPPER(Sheet1!G1005)</f>
        <v/>
      </c>
      <c r="F1005" s="6">
        <f>UPPER(Sheet1!H1005)</f>
        <v/>
      </c>
      <c r="G1005" s="5">
        <f>TEXT(Sheet1!C1005,"dd/mm/yyyy") &amp; "," &amp; Sheet1!D1005</f>
        <v/>
      </c>
      <c r="H1005" s="38">
        <f>UPPER(Sheet1!J1005 &amp; "," &amp; Sheet1!K1005 &amp; "," &amp; Sheet1!L1005)</f>
        <v/>
      </c>
      <c r="I1005" s="45">
        <f>Sheet1!I1005</f>
        <v/>
      </c>
      <c r="J1005" s="5">
        <f>Sheet1!M1005 &amp; "," &amp; TEXT(Sheet1!N1005,"dd/mm/yy")</f>
        <v/>
      </c>
      <c r="K1005" s="5" t="inlineStr">
        <is>
          <t>PRINTED</t>
        </is>
      </c>
      <c r="L1005" t="inlineStr">
        <is>
          <t>25/03/2026</t>
        </is>
      </c>
      <c r="M1005" s="30" t="inlineStr">
        <is>
          <t>MANISH KATARIA, VICE CONSUL</t>
        </is>
      </c>
      <c r="N1005" s="30" t="n"/>
    </row>
    <row r="1006">
      <c r="A1006" s="4">
        <f>Sheet1!A1006 &amp; "/" &amp; "2025"</f>
        <v/>
      </c>
      <c r="B1006" s="5">
        <f>Sheet1!E1006</f>
        <v/>
      </c>
      <c r="C1006" s="6">
        <f>UPPER(Sheet1!B1006)</f>
        <v/>
      </c>
      <c r="D1006" s="7">
        <f>IF(Sheet1!F1006="F","FEMALE","MALE")</f>
        <v/>
      </c>
      <c r="E1006" s="6">
        <f>UPPER(Sheet1!G1006)</f>
        <v/>
      </c>
      <c r="F1006" s="6">
        <f>UPPER(Sheet1!H1006)</f>
        <v/>
      </c>
      <c r="G1006" s="5">
        <f>TEXT(Sheet1!C1006,"dd/mm/yyyy") &amp; "," &amp; Sheet1!D1006</f>
        <v/>
      </c>
      <c r="H1006" s="38">
        <f>UPPER(Sheet1!J1006 &amp; "," &amp; Sheet1!K1006 &amp; "," &amp; Sheet1!L1006)</f>
        <v/>
      </c>
      <c r="I1006" s="45">
        <f>Sheet1!I1006</f>
        <v/>
      </c>
      <c r="J1006" s="5">
        <f>Sheet1!M1006 &amp; "," &amp; TEXT(Sheet1!N1006,"dd/mm/yy")</f>
        <v/>
      </c>
      <c r="K1006" s="5" t="inlineStr">
        <is>
          <t>PRINTED</t>
        </is>
      </c>
      <c r="L1006" t="inlineStr">
        <is>
          <t>25/03/2026</t>
        </is>
      </c>
      <c r="M1006" s="30" t="inlineStr">
        <is>
          <t>MANISH KATARIA, VICE CONSUL</t>
        </is>
      </c>
      <c r="N1006" s="30" t="n"/>
    </row>
    <row r="1007">
      <c r="A1007" s="4">
        <f>Sheet1!A1007 &amp; "/" &amp; "2025"</f>
        <v/>
      </c>
      <c r="B1007" s="5">
        <f>Sheet1!E1007</f>
        <v/>
      </c>
      <c r="C1007" s="6">
        <f>UPPER(Sheet1!B1007)</f>
        <v/>
      </c>
      <c r="D1007" s="7">
        <f>IF(Sheet1!F1007="F","FEMALE","MALE")</f>
        <v/>
      </c>
      <c r="E1007" s="6">
        <f>UPPER(Sheet1!G1007)</f>
        <v/>
      </c>
      <c r="F1007" s="6">
        <f>UPPER(Sheet1!H1007)</f>
        <v/>
      </c>
      <c r="G1007" s="5">
        <f>TEXT(Sheet1!C1007,"dd/mm/yyyy") &amp; "," &amp; Sheet1!D1007</f>
        <v/>
      </c>
      <c r="H1007" s="38">
        <f>UPPER(Sheet1!J1007 &amp; "," &amp; Sheet1!K1007 &amp; "," &amp; Sheet1!L1007)</f>
        <v/>
      </c>
      <c r="I1007" s="45">
        <f>Sheet1!I1007</f>
        <v/>
      </c>
      <c r="J1007" s="5">
        <f>Sheet1!M1007 &amp; "," &amp; TEXT(Sheet1!N1007,"dd/mm/yy")</f>
        <v/>
      </c>
      <c r="K1007" s="5" t="inlineStr">
        <is>
          <t>PRINTED</t>
        </is>
      </c>
      <c r="L1007" t="inlineStr">
        <is>
          <t>25/03/2026</t>
        </is>
      </c>
      <c r="M1007" s="30" t="inlineStr">
        <is>
          <t>MANISH KATARIA, VICE CONSUL</t>
        </is>
      </c>
      <c r="N1007" s="30" t="n"/>
    </row>
    <row r="1008">
      <c r="A1008" s="4">
        <f>Sheet1!A1008 &amp; "/" &amp; "2025"</f>
        <v/>
      </c>
      <c r="B1008" s="5">
        <f>Sheet1!E1008</f>
        <v/>
      </c>
      <c r="C1008" s="6">
        <f>UPPER(Sheet1!B1008)</f>
        <v/>
      </c>
      <c r="D1008" s="7">
        <f>IF(Sheet1!F1008="F","FEMALE","MALE")</f>
        <v/>
      </c>
      <c r="E1008" s="6">
        <f>UPPER(Sheet1!G1008)</f>
        <v/>
      </c>
      <c r="F1008" s="6">
        <f>UPPER(Sheet1!H1008)</f>
        <v/>
      </c>
      <c r="G1008" s="5">
        <f>TEXT(Sheet1!C1008,"dd/mm/yyyy") &amp; "," &amp; Sheet1!D1008</f>
        <v/>
      </c>
      <c r="H1008" s="38">
        <f>UPPER(Sheet1!J1008 &amp; "," &amp; Sheet1!K1008 &amp; "," &amp; Sheet1!L1008)</f>
        <v/>
      </c>
      <c r="I1008" s="45">
        <f>Sheet1!I1008</f>
        <v/>
      </c>
      <c r="J1008" s="5">
        <f>Sheet1!M1008 &amp; "," &amp; TEXT(Sheet1!N1008,"dd/mm/yy")</f>
        <v/>
      </c>
      <c r="K1008" s="5" t="inlineStr">
        <is>
          <t>PRINTED</t>
        </is>
      </c>
      <c r="L1008" t="inlineStr">
        <is>
          <t>25/03/2026</t>
        </is>
      </c>
      <c r="M1008" s="30" t="inlineStr">
        <is>
          <t>MANISH KATARIA, VICE CONSUL</t>
        </is>
      </c>
      <c r="N1008" s="30" t="n"/>
    </row>
    <row r="1009">
      <c r="A1009" s="4">
        <f>Sheet1!A1009 &amp; "/" &amp; "2025"</f>
        <v/>
      </c>
      <c r="B1009" s="5">
        <f>Sheet1!E1009</f>
        <v/>
      </c>
      <c r="C1009" s="6">
        <f>UPPER(Sheet1!B1009)</f>
        <v/>
      </c>
      <c r="D1009" s="7">
        <f>IF(Sheet1!F1009="F","FEMALE","MALE")</f>
        <v/>
      </c>
      <c r="E1009" s="6">
        <f>UPPER(Sheet1!G1009)</f>
        <v/>
      </c>
      <c r="F1009" s="6">
        <f>UPPER(Sheet1!H1009)</f>
        <v/>
      </c>
      <c r="G1009" s="5">
        <f>TEXT(Sheet1!C1009,"dd/mm/yyyy") &amp; "," &amp; Sheet1!D1009</f>
        <v/>
      </c>
      <c r="H1009" s="38">
        <f>UPPER(Sheet1!J1009 &amp; "," &amp; Sheet1!K1009 &amp; "," &amp; Sheet1!L1009)</f>
        <v/>
      </c>
      <c r="I1009" s="45">
        <f>Sheet1!I1009</f>
        <v/>
      </c>
      <c r="J1009" s="5">
        <f>Sheet1!M1009 &amp; "," &amp; TEXT(Sheet1!N1009,"dd/mm/yy")</f>
        <v/>
      </c>
      <c r="K1009" s="5" t="inlineStr">
        <is>
          <t>PRINTED</t>
        </is>
      </c>
      <c r="L1009" t="inlineStr">
        <is>
          <t>25/03/2026</t>
        </is>
      </c>
      <c r="M1009" s="30" t="inlineStr">
        <is>
          <t>MANISH KATARIA, VICE CONSUL</t>
        </is>
      </c>
      <c r="N1009" s="30" t="n"/>
    </row>
    <row r="1010">
      <c r="A1010" s="4">
        <f>Sheet1!A1010 &amp; "/" &amp; "2025"</f>
        <v/>
      </c>
      <c r="B1010" s="5">
        <f>Sheet1!E1010</f>
        <v/>
      </c>
      <c r="C1010" s="6">
        <f>UPPER(Sheet1!B1010)</f>
        <v/>
      </c>
      <c r="D1010" s="7">
        <f>IF(Sheet1!F1010="F","FEMALE","MALE")</f>
        <v/>
      </c>
      <c r="E1010" s="6">
        <f>UPPER(Sheet1!G1010)</f>
        <v/>
      </c>
      <c r="F1010" s="6">
        <f>UPPER(Sheet1!H1010)</f>
        <v/>
      </c>
      <c r="G1010" s="5">
        <f>TEXT(Sheet1!C1010,"dd/mm/yyyy") &amp; "," &amp; Sheet1!D1010</f>
        <v/>
      </c>
      <c r="H1010" s="38">
        <f>UPPER(Sheet1!J1010 &amp; "," &amp; Sheet1!K1010 &amp; "," &amp; Sheet1!L1010)</f>
        <v/>
      </c>
      <c r="I1010" s="45">
        <f>Sheet1!I1010</f>
        <v/>
      </c>
      <c r="J1010" s="5">
        <f>Sheet1!M1010 &amp; "," &amp; TEXT(Sheet1!N1010,"dd/mm/yy")</f>
        <v/>
      </c>
      <c r="K1010" s="5" t="inlineStr">
        <is>
          <t>PRINTED</t>
        </is>
      </c>
      <c r="L1010" t="inlineStr">
        <is>
          <t>25/03/2026</t>
        </is>
      </c>
      <c r="M1010" s="30" t="inlineStr">
        <is>
          <t>MANISH KATARIA, VICE CONSUL</t>
        </is>
      </c>
      <c r="N1010" s="30" t="n"/>
    </row>
    <row r="1011">
      <c r="A1011" s="4">
        <f>Sheet1!A1011 &amp; "/" &amp; "2025"</f>
        <v/>
      </c>
      <c r="B1011" s="5">
        <f>Sheet1!E1011</f>
        <v/>
      </c>
      <c r="C1011" s="6">
        <f>UPPER(Sheet1!B1011)</f>
        <v/>
      </c>
      <c r="D1011" s="7">
        <f>IF(Sheet1!F1011="F","FEMALE","MALE")</f>
        <v/>
      </c>
      <c r="E1011" s="6">
        <f>UPPER(Sheet1!G1011)</f>
        <v/>
      </c>
      <c r="F1011" s="6">
        <f>UPPER(Sheet1!H1011)</f>
        <v/>
      </c>
      <c r="G1011" s="5">
        <f>TEXT(Sheet1!C1011,"dd/mm/yyyy") &amp; "," &amp; Sheet1!D1011</f>
        <v/>
      </c>
      <c r="H1011" s="38">
        <f>UPPER(Sheet1!J1011 &amp; "," &amp; Sheet1!K1011 &amp; "," &amp; Sheet1!L1011)</f>
        <v/>
      </c>
      <c r="I1011" s="45">
        <f>Sheet1!I1011</f>
        <v/>
      </c>
      <c r="J1011" s="5">
        <f>Sheet1!M1011 &amp; "," &amp; TEXT(Sheet1!N1011,"dd/mm/yy")</f>
        <v/>
      </c>
      <c r="K1011" s="5" t="inlineStr">
        <is>
          <t>PRINTED</t>
        </is>
      </c>
      <c r="L1011" t="inlineStr">
        <is>
          <t>25/03/2026</t>
        </is>
      </c>
      <c r="M1011" s="30" t="inlineStr">
        <is>
          <t>MANISH KATARIA, VICE CONSUL</t>
        </is>
      </c>
      <c r="N1011" s="30" t="n"/>
    </row>
    <row r="1012">
      <c r="A1012" s="4">
        <f>Sheet1!A1012 &amp; "/" &amp; "2025"</f>
        <v/>
      </c>
      <c r="B1012" s="5">
        <f>Sheet1!E1012</f>
        <v/>
      </c>
      <c r="C1012" s="6">
        <f>UPPER(Sheet1!B1012)</f>
        <v/>
      </c>
      <c r="D1012" s="7">
        <f>IF(Sheet1!F1012="F","FEMALE","MALE")</f>
        <v/>
      </c>
      <c r="E1012" s="6">
        <f>UPPER(Sheet1!G1012)</f>
        <v/>
      </c>
      <c r="F1012" s="6">
        <f>UPPER(Sheet1!H1012)</f>
        <v/>
      </c>
      <c r="G1012" s="5">
        <f>TEXT(Sheet1!C1012,"dd/mm/yyyy") &amp; "," &amp; Sheet1!D1012</f>
        <v/>
      </c>
      <c r="H1012" s="38">
        <f>UPPER(Sheet1!J1012 &amp; "," &amp; Sheet1!K1012 &amp; "," &amp; Sheet1!L1012)</f>
        <v/>
      </c>
      <c r="I1012" s="45">
        <f>Sheet1!I1012</f>
        <v/>
      </c>
      <c r="J1012" s="5">
        <f>Sheet1!M1012 &amp; "," &amp; TEXT(Sheet1!N1012,"dd/mm/yy")</f>
        <v/>
      </c>
      <c r="K1012" s="5" t="inlineStr">
        <is>
          <t>PRINTED</t>
        </is>
      </c>
      <c r="L1012" t="inlineStr">
        <is>
          <t>25/03/2026</t>
        </is>
      </c>
      <c r="M1012" s="30" t="inlineStr">
        <is>
          <t>MANISH KATARIA, VICE CONSUL</t>
        </is>
      </c>
      <c r="N1012" s="30" t="n"/>
    </row>
    <row r="1013">
      <c r="A1013" s="4">
        <f>Sheet1!A1013 &amp; "/" &amp; "2025"</f>
        <v/>
      </c>
      <c r="B1013" s="5">
        <f>Sheet1!E1013</f>
        <v/>
      </c>
      <c r="C1013" s="6">
        <f>UPPER(Sheet1!B1013)</f>
        <v/>
      </c>
      <c r="D1013" s="7">
        <f>IF(Sheet1!F1013="F","FEMALE","MALE")</f>
        <v/>
      </c>
      <c r="E1013" s="6">
        <f>UPPER(Sheet1!G1013)</f>
        <v/>
      </c>
      <c r="F1013" s="6">
        <f>UPPER(Sheet1!H1013)</f>
        <v/>
      </c>
      <c r="G1013" s="5">
        <f>TEXT(Sheet1!C1013,"dd/mm/yyyy") &amp; "," &amp; Sheet1!D1013</f>
        <v/>
      </c>
      <c r="H1013" s="38">
        <f>UPPER(Sheet1!J1013 &amp; "," &amp; Sheet1!K1013 &amp; "," &amp; Sheet1!L1013)</f>
        <v/>
      </c>
      <c r="I1013" s="45">
        <f>Sheet1!I1013</f>
        <v/>
      </c>
      <c r="J1013" s="5">
        <f>Sheet1!M1013 &amp; "," &amp; TEXT(Sheet1!N1013,"dd/mm/yy")</f>
        <v/>
      </c>
      <c r="K1013" s="5" t="inlineStr">
        <is>
          <t>PRINTED</t>
        </is>
      </c>
      <c r="L1013" t="inlineStr">
        <is>
          <t>25/03/2026</t>
        </is>
      </c>
      <c r="M1013" s="30" t="inlineStr">
        <is>
          <t>MANISH KATARIA, VICE CONSUL</t>
        </is>
      </c>
      <c r="N1013" s="30" t="n"/>
    </row>
    <row r="1014">
      <c r="A1014" s="4">
        <f>Sheet1!A1014 &amp; "/" &amp; "2025"</f>
        <v/>
      </c>
      <c r="B1014" s="5">
        <f>Sheet1!E1014</f>
        <v/>
      </c>
      <c r="C1014" s="6">
        <f>UPPER(Sheet1!B1014)</f>
        <v/>
      </c>
      <c r="D1014" s="7">
        <f>IF(Sheet1!F1014="F","FEMALE","MALE")</f>
        <v/>
      </c>
      <c r="E1014" s="6">
        <f>UPPER(Sheet1!G1014)</f>
        <v/>
      </c>
      <c r="F1014" s="6">
        <f>UPPER(Sheet1!H1014)</f>
        <v/>
      </c>
      <c r="G1014" s="5">
        <f>TEXT(Sheet1!C1014,"dd/mm/yyyy") &amp; "," &amp; Sheet1!D1014</f>
        <v/>
      </c>
      <c r="H1014" s="38">
        <f>UPPER(Sheet1!J1014 &amp; "," &amp; Sheet1!K1014 &amp; "," &amp; Sheet1!L1014)</f>
        <v/>
      </c>
      <c r="I1014" s="45">
        <f>Sheet1!I1014</f>
        <v/>
      </c>
      <c r="J1014" s="5">
        <f>Sheet1!M1014 &amp; "," &amp; TEXT(Sheet1!N1014,"dd/mm/yy")</f>
        <v/>
      </c>
      <c r="K1014" s="5" t="inlineStr">
        <is>
          <t>PRINTED</t>
        </is>
      </c>
      <c r="L1014" t="inlineStr">
        <is>
          <t>25/03/2026</t>
        </is>
      </c>
      <c r="M1014" s="30" t="inlineStr">
        <is>
          <t>MANISH KATARIA, VICE CONSUL</t>
        </is>
      </c>
      <c r="N1014" s="30" t="n"/>
    </row>
    <row r="1015">
      <c r="A1015" s="4">
        <f>Sheet1!A1015 &amp; "/" &amp; "2025"</f>
        <v/>
      </c>
      <c r="B1015" s="5">
        <f>Sheet1!E1015</f>
        <v/>
      </c>
      <c r="C1015" s="6">
        <f>UPPER(Sheet1!B1015)</f>
        <v/>
      </c>
      <c r="D1015" s="7">
        <f>IF(Sheet1!F1015="F","FEMALE","MALE")</f>
        <v/>
      </c>
      <c r="E1015" s="6">
        <f>UPPER(Sheet1!G1015)</f>
        <v/>
      </c>
      <c r="F1015" s="6">
        <f>UPPER(Sheet1!H1015)</f>
        <v/>
      </c>
      <c r="G1015" s="5">
        <f>TEXT(Sheet1!C1015,"dd/mm/yyyy") &amp; "," &amp; Sheet1!D1015</f>
        <v/>
      </c>
      <c r="H1015" s="38">
        <f>UPPER(Sheet1!J1015 &amp; "," &amp; Sheet1!K1015 &amp; "," &amp; Sheet1!L1015)</f>
        <v/>
      </c>
      <c r="I1015" s="45">
        <f>Sheet1!I1015</f>
        <v/>
      </c>
      <c r="J1015" s="5">
        <f>Sheet1!M1015 &amp; "," &amp; TEXT(Sheet1!N1015,"dd/mm/yy")</f>
        <v/>
      </c>
      <c r="K1015" s="5" t="inlineStr">
        <is>
          <t>PRINTED</t>
        </is>
      </c>
      <c r="L1015" t="inlineStr">
        <is>
          <t>25/03/2026</t>
        </is>
      </c>
      <c r="M1015" s="30" t="inlineStr">
        <is>
          <t>MANISH KATARIA, VICE CONSUL</t>
        </is>
      </c>
      <c r="N1015" s="30" t="n"/>
    </row>
    <row r="1016">
      <c r="A1016" s="4">
        <f>Sheet1!A1016 &amp; "/" &amp; "2025"</f>
        <v/>
      </c>
      <c r="B1016" s="5">
        <f>Sheet1!E1016</f>
        <v/>
      </c>
      <c r="C1016" s="6">
        <f>UPPER(Sheet1!B1016)</f>
        <v/>
      </c>
      <c r="D1016" s="7">
        <f>IF(Sheet1!F1016="F","FEMALE","MALE")</f>
        <v/>
      </c>
      <c r="E1016" s="6">
        <f>UPPER(Sheet1!G1016)</f>
        <v/>
      </c>
      <c r="F1016" s="6">
        <f>UPPER(Sheet1!H1016)</f>
        <v/>
      </c>
      <c r="G1016" s="5">
        <f>TEXT(Sheet1!C1016,"dd/mm/yyyy") &amp; "," &amp; Sheet1!D1016</f>
        <v/>
      </c>
      <c r="H1016" s="38">
        <f>UPPER(Sheet1!J1016 &amp; "," &amp; Sheet1!K1016 &amp; "," &amp; Sheet1!L1016)</f>
        <v/>
      </c>
      <c r="I1016" s="45">
        <f>Sheet1!I1016</f>
        <v/>
      </c>
      <c r="J1016" s="5">
        <f>Sheet1!M1016 &amp; "," &amp; TEXT(Sheet1!N1016,"dd/mm/yy")</f>
        <v/>
      </c>
      <c r="K1016" s="5" t="inlineStr">
        <is>
          <t>PRINTED</t>
        </is>
      </c>
      <c r="L1016" t="inlineStr">
        <is>
          <t>25/03/2026</t>
        </is>
      </c>
      <c r="M1016" s="30" t="inlineStr">
        <is>
          <t>MANISH KATARIA, VICE CONSUL</t>
        </is>
      </c>
      <c r="N1016" s="30" t="n"/>
    </row>
    <row r="1017">
      <c r="A1017" s="4">
        <f>Sheet1!A1017 &amp; "/" &amp; "2025"</f>
        <v/>
      </c>
      <c r="B1017" s="5">
        <f>Sheet1!E1017</f>
        <v/>
      </c>
      <c r="C1017" s="6">
        <f>UPPER(Sheet1!B1017)</f>
        <v/>
      </c>
      <c r="D1017" s="7">
        <f>IF(Sheet1!F1017="F","FEMALE","MALE")</f>
        <v/>
      </c>
      <c r="E1017" s="6">
        <f>UPPER(Sheet1!G1017)</f>
        <v/>
      </c>
      <c r="F1017" s="6">
        <f>UPPER(Sheet1!H1017)</f>
        <v/>
      </c>
      <c r="G1017" s="5">
        <f>TEXT(Sheet1!C1017,"dd/mm/yyyy") &amp; "," &amp; Sheet1!D1017</f>
        <v/>
      </c>
      <c r="H1017" s="38">
        <f>UPPER(Sheet1!J1017 &amp; "," &amp; Sheet1!K1017 &amp; "," &amp; Sheet1!L1017)</f>
        <v/>
      </c>
      <c r="I1017" s="45">
        <f>Sheet1!I1017</f>
        <v/>
      </c>
      <c r="J1017" s="5">
        <f>Sheet1!M1017 &amp; "," &amp; TEXT(Sheet1!N1017,"dd/mm/yy")</f>
        <v/>
      </c>
      <c r="K1017" s="5" t="inlineStr">
        <is>
          <t>PRINTED</t>
        </is>
      </c>
      <c r="L1017" t="inlineStr">
        <is>
          <t>25/03/2026</t>
        </is>
      </c>
      <c r="M1017" s="30" t="inlineStr">
        <is>
          <t>MANISH KATARIA, VICE CONSUL</t>
        </is>
      </c>
      <c r="N1017" s="30" t="n"/>
    </row>
    <row r="1018">
      <c r="A1018" s="4">
        <f>Sheet1!A1018 &amp; "/" &amp; "2025"</f>
        <v/>
      </c>
      <c r="B1018" s="5">
        <f>Sheet1!E1018</f>
        <v/>
      </c>
      <c r="C1018" s="6">
        <f>UPPER(Sheet1!B1018)</f>
        <v/>
      </c>
      <c r="D1018" s="7">
        <f>IF(Sheet1!F1018="F","FEMALE","MALE")</f>
        <v/>
      </c>
      <c r="E1018" s="6">
        <f>UPPER(Sheet1!G1018)</f>
        <v/>
      </c>
      <c r="F1018" s="6">
        <f>UPPER(Sheet1!H1018)</f>
        <v/>
      </c>
      <c r="G1018" s="5">
        <f>TEXT(Sheet1!C1018,"dd/mm/yyyy") &amp; "," &amp; Sheet1!D1018</f>
        <v/>
      </c>
      <c r="H1018" s="38">
        <f>UPPER(Sheet1!J1018 &amp; "," &amp; Sheet1!K1018 &amp; "," &amp; Sheet1!L1018)</f>
        <v/>
      </c>
      <c r="I1018" s="45">
        <f>Sheet1!I1018</f>
        <v/>
      </c>
      <c r="J1018" s="5">
        <f>Sheet1!M1018 &amp; "," &amp; TEXT(Sheet1!N1018,"dd/mm/yy")</f>
        <v/>
      </c>
      <c r="K1018" s="5" t="inlineStr">
        <is>
          <t>PRINTED</t>
        </is>
      </c>
      <c r="L1018" t="inlineStr">
        <is>
          <t>25/03/2026</t>
        </is>
      </c>
      <c r="M1018" s="30" t="inlineStr">
        <is>
          <t>MANISH KATARIA, VICE CONSUL</t>
        </is>
      </c>
      <c r="N1018" s="30" t="n"/>
    </row>
    <row r="1019">
      <c r="A1019" s="4">
        <f>Sheet1!A1019 &amp; "/" &amp; "2025"</f>
        <v/>
      </c>
      <c r="B1019" s="5">
        <f>Sheet1!E1019</f>
        <v/>
      </c>
      <c r="C1019" s="6">
        <f>UPPER(Sheet1!B1019)</f>
        <v/>
      </c>
      <c r="D1019" s="7">
        <f>IF(Sheet1!F1019="F","FEMALE","MALE")</f>
        <v/>
      </c>
      <c r="E1019" s="6">
        <f>UPPER(Sheet1!G1019)</f>
        <v/>
      </c>
      <c r="F1019" s="6">
        <f>UPPER(Sheet1!H1019)</f>
        <v/>
      </c>
      <c r="G1019" s="5">
        <f>TEXT(Sheet1!C1019,"dd/mm/yyyy") &amp; "," &amp; Sheet1!D1019</f>
        <v/>
      </c>
      <c r="H1019" s="38">
        <f>UPPER(Sheet1!J1019 &amp; "," &amp; Sheet1!K1019 &amp; "," &amp; Sheet1!L1019)</f>
        <v/>
      </c>
      <c r="I1019" s="45">
        <f>Sheet1!I1019</f>
        <v/>
      </c>
      <c r="J1019" s="5">
        <f>Sheet1!M1019 &amp; "," &amp; TEXT(Sheet1!N1019,"dd/mm/yy")</f>
        <v/>
      </c>
      <c r="K1019" s="5" t="inlineStr">
        <is>
          <t>PRINTED</t>
        </is>
      </c>
      <c r="L1019" t="inlineStr">
        <is>
          <t>25/03/2026</t>
        </is>
      </c>
      <c r="M1019" s="30" t="inlineStr">
        <is>
          <t>MANISH KATARIA, VICE CONSUL</t>
        </is>
      </c>
      <c r="N1019" s="30" t="n"/>
    </row>
    <row r="1020">
      <c r="A1020" s="4">
        <f>Sheet1!A1020 &amp; "/" &amp; "2025"</f>
        <v/>
      </c>
      <c r="B1020" s="5">
        <f>Sheet1!E1020</f>
        <v/>
      </c>
      <c r="C1020" s="6">
        <f>UPPER(Sheet1!B1020)</f>
        <v/>
      </c>
      <c r="D1020" s="7">
        <f>IF(Sheet1!F1020="F","FEMALE","MALE")</f>
        <v/>
      </c>
      <c r="E1020" s="6">
        <f>UPPER(Sheet1!G1020)</f>
        <v/>
      </c>
      <c r="F1020" s="6">
        <f>UPPER(Sheet1!H1020)</f>
        <v/>
      </c>
      <c r="G1020" s="5">
        <f>TEXT(Sheet1!C1020,"dd/mm/yyyy") &amp; "," &amp; Sheet1!D1020</f>
        <v/>
      </c>
      <c r="H1020" s="38">
        <f>UPPER(Sheet1!J1020 &amp; "," &amp; Sheet1!K1020 &amp; "," &amp; Sheet1!L1020)</f>
        <v/>
      </c>
      <c r="I1020" s="45">
        <f>Sheet1!I1020</f>
        <v/>
      </c>
      <c r="J1020" s="5">
        <f>Sheet1!M1020 &amp; "," &amp; TEXT(Sheet1!N1020,"dd/mm/yy")</f>
        <v/>
      </c>
      <c r="K1020" s="5" t="inlineStr">
        <is>
          <t>PRINTED</t>
        </is>
      </c>
      <c r="L1020" t="inlineStr">
        <is>
          <t>25/03/2026</t>
        </is>
      </c>
      <c r="M1020" s="30" t="inlineStr">
        <is>
          <t>MANISH KATARIA, VICE CONSUL</t>
        </is>
      </c>
      <c r="N1020" s="30" t="n"/>
    </row>
    <row r="1021">
      <c r="A1021" s="4">
        <f>Sheet1!A1021 &amp; "/" &amp; "2025"</f>
        <v/>
      </c>
      <c r="B1021" s="5">
        <f>Sheet1!E1021</f>
        <v/>
      </c>
      <c r="C1021" s="6">
        <f>UPPER(Sheet1!B1021)</f>
        <v/>
      </c>
      <c r="D1021" s="7">
        <f>IF(Sheet1!F1021="F","FEMALE","MALE")</f>
        <v/>
      </c>
      <c r="E1021" s="6">
        <f>UPPER(Sheet1!G1021)</f>
        <v/>
      </c>
      <c r="F1021" s="6">
        <f>UPPER(Sheet1!H1021)</f>
        <v/>
      </c>
      <c r="G1021" s="5">
        <f>TEXT(Sheet1!C1021,"dd/mm/yyyy") &amp; "," &amp; Sheet1!D1021</f>
        <v/>
      </c>
      <c r="H1021" s="38">
        <f>UPPER(Sheet1!J1021 &amp; "," &amp; Sheet1!K1021 &amp; "," &amp; Sheet1!L1021)</f>
        <v/>
      </c>
      <c r="I1021" s="45">
        <f>Sheet1!I1021</f>
        <v/>
      </c>
      <c r="J1021" s="5">
        <f>Sheet1!M1021 &amp; "," &amp; TEXT(Sheet1!N1021,"dd/mm/yy")</f>
        <v/>
      </c>
      <c r="K1021" s="5" t="inlineStr">
        <is>
          <t>PRINTED</t>
        </is>
      </c>
      <c r="L1021" t="inlineStr">
        <is>
          <t>25/03/2026</t>
        </is>
      </c>
      <c r="M1021" s="30" t="inlineStr">
        <is>
          <t>MANISH KATARIA, VICE CONSUL</t>
        </is>
      </c>
      <c r="N1021" s="30" t="n"/>
    </row>
    <row r="1022">
      <c r="A1022" s="4">
        <f>Sheet1!A1022 &amp; "/" &amp; "2025"</f>
        <v/>
      </c>
      <c r="B1022" s="5">
        <f>Sheet1!E1022</f>
        <v/>
      </c>
      <c r="C1022" s="6">
        <f>UPPER(Sheet1!B1022)</f>
        <v/>
      </c>
      <c r="D1022" s="7">
        <f>IF(Sheet1!F1022="F","FEMALE","MALE")</f>
        <v/>
      </c>
      <c r="E1022" s="6">
        <f>UPPER(Sheet1!G1022)</f>
        <v/>
      </c>
      <c r="F1022" s="6">
        <f>UPPER(Sheet1!H1022)</f>
        <v/>
      </c>
      <c r="G1022" s="5">
        <f>TEXT(Sheet1!C1022,"dd/mm/yyyy") &amp; "," &amp; Sheet1!D1022</f>
        <v/>
      </c>
      <c r="H1022" s="38">
        <f>UPPER(Sheet1!J1022 &amp; "," &amp; Sheet1!K1022 &amp; "," &amp; Sheet1!L1022)</f>
        <v/>
      </c>
      <c r="I1022" s="45">
        <f>Sheet1!I1022</f>
        <v/>
      </c>
      <c r="J1022" s="5">
        <f>Sheet1!M1022 &amp; "," &amp; TEXT(Sheet1!N1022,"dd/mm/yy")</f>
        <v/>
      </c>
      <c r="K1022" s="5" t="inlineStr">
        <is>
          <t>PRINTED</t>
        </is>
      </c>
      <c r="L1022" t="inlineStr">
        <is>
          <t>25/03/2026</t>
        </is>
      </c>
      <c r="M1022" s="30" t="inlineStr">
        <is>
          <t>MANISH KATARIA, VICE CONSUL</t>
        </is>
      </c>
      <c r="N1022" s="30" t="n"/>
    </row>
    <row r="1023">
      <c r="A1023" s="4">
        <f>Sheet1!A1023 &amp; "/" &amp; "2025"</f>
        <v/>
      </c>
      <c r="B1023" s="5">
        <f>Sheet1!E1023</f>
        <v/>
      </c>
      <c r="C1023" s="6">
        <f>UPPER(Sheet1!B1023)</f>
        <v/>
      </c>
      <c r="D1023" s="7">
        <f>IF(Sheet1!F1023="F","FEMALE","MALE")</f>
        <v/>
      </c>
      <c r="E1023" s="6">
        <f>UPPER(Sheet1!G1023)</f>
        <v/>
      </c>
      <c r="F1023" s="6">
        <f>UPPER(Sheet1!H1023)</f>
        <v/>
      </c>
      <c r="G1023" s="5">
        <f>TEXT(Sheet1!C1023,"dd/mm/yyyy") &amp; "," &amp; Sheet1!D1023</f>
        <v/>
      </c>
      <c r="H1023" s="38">
        <f>UPPER(Sheet1!J1023 &amp; "," &amp; Sheet1!K1023 &amp; "," &amp; Sheet1!L1023)</f>
        <v/>
      </c>
      <c r="I1023" s="45">
        <f>Sheet1!I1023</f>
        <v/>
      </c>
      <c r="J1023" s="5">
        <f>Sheet1!M1023 &amp; "," &amp; TEXT(Sheet1!N1023,"dd/mm/yy")</f>
        <v/>
      </c>
      <c r="K1023" s="5" t="inlineStr">
        <is>
          <t>PRINTED</t>
        </is>
      </c>
      <c r="L1023" t="inlineStr">
        <is>
          <t>25/03/2026</t>
        </is>
      </c>
      <c r="M1023" s="30" t="inlineStr">
        <is>
          <t>MANISH KATARIA, VICE CONSUL</t>
        </is>
      </c>
      <c r="N1023" s="30" t="n"/>
    </row>
    <row r="1024">
      <c r="A1024" s="4">
        <f>Sheet1!A1024 &amp; "/" &amp; "2025"</f>
        <v/>
      </c>
      <c r="B1024" s="5">
        <f>Sheet1!E1024</f>
        <v/>
      </c>
      <c r="C1024" s="6">
        <f>UPPER(Sheet1!B1024)</f>
        <v/>
      </c>
      <c r="D1024" s="7">
        <f>IF(Sheet1!F1024="F","FEMALE","MALE")</f>
        <v/>
      </c>
      <c r="E1024" s="6">
        <f>UPPER(Sheet1!G1024)</f>
        <v/>
      </c>
      <c r="F1024" s="6">
        <f>UPPER(Sheet1!H1024)</f>
        <v/>
      </c>
      <c r="G1024" s="5">
        <f>TEXT(Sheet1!C1024,"dd/mm/yyyy") &amp; "," &amp; Sheet1!D1024</f>
        <v/>
      </c>
      <c r="H1024" s="38">
        <f>UPPER(Sheet1!J1024 &amp; "," &amp; Sheet1!K1024 &amp; "," &amp; Sheet1!L1024)</f>
        <v/>
      </c>
      <c r="I1024" s="45">
        <f>Sheet1!I1024</f>
        <v/>
      </c>
      <c r="J1024" s="5">
        <f>Sheet1!M1024 &amp; "," &amp; TEXT(Sheet1!N1024,"dd/mm/yy")</f>
        <v/>
      </c>
      <c r="K1024" s="5" t="inlineStr">
        <is>
          <t>PRINTED</t>
        </is>
      </c>
      <c r="L1024" t="inlineStr">
        <is>
          <t>25/03/2026</t>
        </is>
      </c>
      <c r="M1024" s="30" t="inlineStr">
        <is>
          <t>MANISH KATARIA, VICE CONSUL</t>
        </is>
      </c>
      <c r="N1024" s="30" t="n"/>
    </row>
    <row r="1025">
      <c r="A1025" s="4">
        <f>Sheet1!A1025 &amp; "/" &amp; "2025"</f>
        <v/>
      </c>
      <c r="B1025" s="5">
        <f>Sheet1!E1025</f>
        <v/>
      </c>
      <c r="C1025" s="6">
        <f>UPPER(Sheet1!B1025)</f>
        <v/>
      </c>
      <c r="D1025" s="7">
        <f>IF(Sheet1!F1025="F","FEMALE","MALE")</f>
        <v/>
      </c>
      <c r="E1025" s="6">
        <f>UPPER(Sheet1!G1025)</f>
        <v/>
      </c>
      <c r="F1025" s="6">
        <f>UPPER(Sheet1!H1025)</f>
        <v/>
      </c>
      <c r="G1025" s="5">
        <f>TEXT(Sheet1!C1025,"dd/mm/yyyy") &amp; "," &amp; Sheet1!D1025</f>
        <v/>
      </c>
      <c r="H1025" s="38">
        <f>UPPER(Sheet1!J1025 &amp; "," &amp; Sheet1!K1025 &amp; "," &amp; Sheet1!L1025)</f>
        <v/>
      </c>
      <c r="I1025" s="45">
        <f>Sheet1!I1025</f>
        <v/>
      </c>
      <c r="J1025" s="5">
        <f>Sheet1!M1025 &amp; "," &amp; TEXT(Sheet1!N1025,"dd/mm/yy")</f>
        <v/>
      </c>
      <c r="K1025" s="5" t="inlineStr">
        <is>
          <t>PRINTED</t>
        </is>
      </c>
      <c r="L1025" t="inlineStr">
        <is>
          <t>25/03/2026</t>
        </is>
      </c>
      <c r="M1025" s="30" t="inlineStr">
        <is>
          <t>MANISH KATARIA, VICE CONSUL</t>
        </is>
      </c>
      <c r="N1025" s="30" t="n"/>
    </row>
    <row r="1026">
      <c r="A1026" s="4">
        <f>Sheet1!A1026 &amp; "/" &amp; "2025"</f>
        <v/>
      </c>
      <c r="B1026" s="5">
        <f>Sheet1!E1026</f>
        <v/>
      </c>
      <c r="C1026" s="6">
        <f>UPPER(Sheet1!B1026)</f>
        <v/>
      </c>
      <c r="D1026" s="7">
        <f>IF(Sheet1!F1026="F","FEMALE","MALE")</f>
        <v/>
      </c>
      <c r="E1026" s="6">
        <f>UPPER(Sheet1!G1026)</f>
        <v/>
      </c>
      <c r="F1026" s="6">
        <f>UPPER(Sheet1!H1026)</f>
        <v/>
      </c>
      <c r="G1026" s="5">
        <f>TEXT(Sheet1!C1026,"dd/mm/yyyy") &amp; "," &amp; Sheet1!D1026</f>
        <v/>
      </c>
      <c r="H1026" s="38">
        <f>UPPER(Sheet1!J1026 &amp; "," &amp; Sheet1!K1026 &amp; "," &amp; Sheet1!L1026)</f>
        <v/>
      </c>
      <c r="I1026" s="45">
        <f>Sheet1!I1026</f>
        <v/>
      </c>
      <c r="J1026" s="5">
        <f>Sheet1!M1026 &amp; "," &amp; TEXT(Sheet1!N1026,"dd/mm/yy")</f>
        <v/>
      </c>
      <c r="K1026" s="5" t="inlineStr">
        <is>
          <t>PRINTED</t>
        </is>
      </c>
      <c r="L1026" t="inlineStr">
        <is>
          <t>25/03/2026</t>
        </is>
      </c>
      <c r="M1026" s="30" t="inlineStr">
        <is>
          <t>MANISH KATARIA, VICE CONSUL</t>
        </is>
      </c>
      <c r="N1026" s="30" t="n"/>
    </row>
    <row r="1027">
      <c r="A1027" s="4">
        <f>Sheet1!A1027 &amp; "/" &amp; "2025"</f>
        <v/>
      </c>
      <c r="B1027" s="5">
        <f>Sheet1!E1027</f>
        <v/>
      </c>
      <c r="C1027" s="6">
        <f>UPPER(Sheet1!B1027)</f>
        <v/>
      </c>
      <c r="D1027" s="7">
        <f>IF(Sheet1!F1027="F","FEMALE","MALE")</f>
        <v/>
      </c>
      <c r="E1027" s="6">
        <f>UPPER(Sheet1!G1027)</f>
        <v/>
      </c>
      <c r="F1027" s="6">
        <f>UPPER(Sheet1!H1027)</f>
        <v/>
      </c>
      <c r="G1027" s="5">
        <f>TEXT(Sheet1!C1027,"dd/mm/yyyy") &amp; "," &amp; Sheet1!D1027</f>
        <v/>
      </c>
      <c r="H1027" s="38">
        <f>UPPER(Sheet1!J1027 &amp; "," &amp; Sheet1!K1027 &amp; "," &amp; Sheet1!L1027)</f>
        <v/>
      </c>
      <c r="I1027" s="45">
        <f>Sheet1!I1027</f>
        <v/>
      </c>
      <c r="J1027" s="5">
        <f>Sheet1!M1027 &amp; "," &amp; TEXT(Sheet1!N1027,"dd/mm/yy")</f>
        <v/>
      </c>
      <c r="K1027" s="5" t="inlineStr">
        <is>
          <t>PRINTED</t>
        </is>
      </c>
      <c r="L1027" t="inlineStr">
        <is>
          <t>25/03/2026</t>
        </is>
      </c>
      <c r="M1027" s="30" t="inlineStr">
        <is>
          <t>MANISH KATARIA, VICE CONSUL</t>
        </is>
      </c>
      <c r="N1027" s="30" t="n"/>
    </row>
    <row r="1028">
      <c r="A1028" s="4">
        <f>Sheet1!A1028 &amp; "/" &amp; "2025"</f>
        <v/>
      </c>
      <c r="B1028" s="5">
        <f>Sheet1!E1028</f>
        <v/>
      </c>
      <c r="C1028" s="6">
        <f>UPPER(Sheet1!B1028)</f>
        <v/>
      </c>
      <c r="D1028" s="7">
        <f>IF(Sheet1!F1028="F","FEMALE","MALE")</f>
        <v/>
      </c>
      <c r="E1028" s="6">
        <f>UPPER(Sheet1!G1028)</f>
        <v/>
      </c>
      <c r="F1028" s="6">
        <f>UPPER(Sheet1!H1028)</f>
        <v/>
      </c>
      <c r="G1028" s="5">
        <f>TEXT(Sheet1!C1028,"dd/mm/yyyy") &amp; "," &amp; Sheet1!D1028</f>
        <v/>
      </c>
      <c r="H1028" s="38">
        <f>UPPER(Sheet1!J1028 &amp; "," &amp; Sheet1!K1028 &amp; "," &amp; Sheet1!L1028)</f>
        <v/>
      </c>
      <c r="I1028" s="45">
        <f>Sheet1!I1028</f>
        <v/>
      </c>
      <c r="J1028" s="5">
        <f>Sheet1!M1028 &amp; "," &amp; TEXT(Sheet1!N1028,"dd/mm/yy")</f>
        <v/>
      </c>
      <c r="K1028" s="5" t="inlineStr">
        <is>
          <t>PRINTED</t>
        </is>
      </c>
      <c r="L1028" t="inlineStr">
        <is>
          <t>25/03/2026</t>
        </is>
      </c>
      <c r="M1028" s="30" t="inlineStr">
        <is>
          <t>MANISH KATARIA, VICE CONSUL</t>
        </is>
      </c>
      <c r="N1028" s="30" t="n"/>
    </row>
    <row r="1029">
      <c r="A1029" s="4">
        <f>Sheet1!A1029 &amp; "/" &amp; "2025"</f>
        <v/>
      </c>
      <c r="B1029" s="5">
        <f>Sheet1!E1029</f>
        <v/>
      </c>
      <c r="C1029" s="6">
        <f>UPPER(Sheet1!B1029)</f>
        <v/>
      </c>
      <c r="D1029" s="7">
        <f>IF(Sheet1!F1029="F","FEMALE","MALE")</f>
        <v/>
      </c>
      <c r="E1029" s="6">
        <f>UPPER(Sheet1!G1029)</f>
        <v/>
      </c>
      <c r="F1029" s="6">
        <f>UPPER(Sheet1!H1029)</f>
        <v/>
      </c>
      <c r="G1029" s="5">
        <f>TEXT(Sheet1!C1029,"dd/mm/yyyy") &amp; "," &amp; Sheet1!D1029</f>
        <v/>
      </c>
      <c r="H1029" s="38">
        <f>UPPER(Sheet1!J1029 &amp; "," &amp; Sheet1!K1029 &amp; "," &amp; Sheet1!L1029)</f>
        <v/>
      </c>
      <c r="I1029" s="45">
        <f>Sheet1!I1029</f>
        <v/>
      </c>
      <c r="J1029" s="5">
        <f>Sheet1!M1029 &amp; "," &amp; TEXT(Sheet1!N1029,"dd/mm/yy")</f>
        <v/>
      </c>
      <c r="K1029" s="5" t="inlineStr">
        <is>
          <t>PRINTED</t>
        </is>
      </c>
      <c r="L1029" t="inlineStr">
        <is>
          <t>25/03/2026</t>
        </is>
      </c>
      <c r="M1029" s="30" t="inlineStr">
        <is>
          <t>MANISH KATARIA, VICE CONSUL</t>
        </is>
      </c>
      <c r="N1029" s="30" t="n"/>
    </row>
    <row r="1030">
      <c r="A1030" s="4">
        <f>Sheet1!A1030 &amp; "/" &amp; "2025"</f>
        <v/>
      </c>
      <c r="B1030" s="5">
        <f>Sheet1!E1030</f>
        <v/>
      </c>
      <c r="C1030" s="6">
        <f>UPPER(Sheet1!B1030)</f>
        <v/>
      </c>
      <c r="D1030" s="7">
        <f>IF(Sheet1!F1030="F","FEMALE","MALE")</f>
        <v/>
      </c>
      <c r="E1030" s="6">
        <f>UPPER(Sheet1!G1030)</f>
        <v/>
      </c>
      <c r="F1030" s="6">
        <f>UPPER(Sheet1!H1030)</f>
        <v/>
      </c>
      <c r="G1030" s="5">
        <f>TEXT(Sheet1!C1030,"dd/mm/yyyy") &amp; "," &amp; Sheet1!D1030</f>
        <v/>
      </c>
      <c r="H1030" s="38">
        <f>UPPER(Sheet1!J1030 &amp; "," &amp; Sheet1!K1030 &amp; "," &amp; Sheet1!L1030)</f>
        <v/>
      </c>
      <c r="I1030" s="45">
        <f>Sheet1!I1030</f>
        <v/>
      </c>
      <c r="J1030" s="5">
        <f>Sheet1!M1030 &amp; "," &amp; TEXT(Sheet1!N1030,"dd/mm/yy")</f>
        <v/>
      </c>
      <c r="K1030" s="5" t="inlineStr">
        <is>
          <t>PRINTED</t>
        </is>
      </c>
      <c r="L1030" t="inlineStr">
        <is>
          <t>25/03/2026</t>
        </is>
      </c>
      <c r="M1030" s="30" t="inlineStr">
        <is>
          <t>MANISH KATARIA, VICE CONSUL</t>
        </is>
      </c>
      <c r="N1030" s="30" t="n"/>
    </row>
    <row r="1031">
      <c r="A1031" s="4">
        <f>Sheet1!A1031 &amp; "/" &amp; "2025"</f>
        <v/>
      </c>
      <c r="B1031" s="5">
        <f>Sheet1!E1031</f>
        <v/>
      </c>
      <c r="C1031" s="6">
        <f>UPPER(Sheet1!B1031)</f>
        <v/>
      </c>
      <c r="D1031" s="7">
        <f>IF(Sheet1!F1031="F","FEMALE","MALE")</f>
        <v/>
      </c>
      <c r="E1031" s="6">
        <f>UPPER(Sheet1!G1031)</f>
        <v/>
      </c>
      <c r="F1031" s="6">
        <f>UPPER(Sheet1!H1031)</f>
        <v/>
      </c>
      <c r="G1031" s="5">
        <f>TEXT(Sheet1!C1031,"dd/mm/yyyy") &amp; "," &amp; Sheet1!D1031</f>
        <v/>
      </c>
      <c r="H1031" s="38">
        <f>UPPER(Sheet1!J1031 &amp; "," &amp; Sheet1!K1031 &amp; "," &amp; Sheet1!L1031)</f>
        <v/>
      </c>
      <c r="I1031" s="45">
        <f>Sheet1!I1031</f>
        <v/>
      </c>
      <c r="J1031" s="5">
        <f>Sheet1!M1031 &amp; "," &amp; TEXT(Sheet1!N1031,"dd/mm/yy")</f>
        <v/>
      </c>
      <c r="K1031" s="5" t="inlineStr">
        <is>
          <t>PRINTED</t>
        </is>
      </c>
      <c r="L1031" t="inlineStr">
        <is>
          <t>25/03/2026</t>
        </is>
      </c>
      <c r="M1031" s="30" t="inlineStr">
        <is>
          <t>MANISH KATARIA, VICE CONSUL</t>
        </is>
      </c>
      <c r="N1031" s="30" t="n"/>
    </row>
    <row r="1032">
      <c r="A1032" s="4">
        <f>Sheet1!A1032 &amp; "/" &amp; "2025"</f>
        <v/>
      </c>
      <c r="B1032" s="5">
        <f>Sheet1!E1032</f>
        <v/>
      </c>
      <c r="C1032" s="6">
        <f>UPPER(Sheet1!B1032)</f>
        <v/>
      </c>
      <c r="D1032" s="7">
        <f>IF(Sheet1!F1032="F","FEMALE","MALE")</f>
        <v/>
      </c>
      <c r="E1032" s="6">
        <f>UPPER(Sheet1!G1032)</f>
        <v/>
      </c>
      <c r="F1032" s="6">
        <f>UPPER(Sheet1!H1032)</f>
        <v/>
      </c>
      <c r="G1032" s="5">
        <f>TEXT(Sheet1!C1032,"dd/mm/yyyy") &amp; "," &amp; Sheet1!D1032</f>
        <v/>
      </c>
      <c r="H1032" s="38">
        <f>UPPER(Sheet1!J1032 &amp; "," &amp; Sheet1!K1032 &amp; "," &amp; Sheet1!L1032)</f>
        <v/>
      </c>
      <c r="I1032" s="45">
        <f>Sheet1!I1032</f>
        <v/>
      </c>
      <c r="J1032" s="5">
        <f>Sheet1!M1032 &amp; "," &amp; TEXT(Sheet1!N1032,"dd/mm/yy")</f>
        <v/>
      </c>
      <c r="K1032" s="5" t="inlineStr">
        <is>
          <t>PRINTED</t>
        </is>
      </c>
      <c r="L1032" t="inlineStr">
        <is>
          <t>25/03/2026</t>
        </is>
      </c>
      <c r="M1032" s="30" t="inlineStr">
        <is>
          <t>MANISH KATARIA, VICE CONSUL</t>
        </is>
      </c>
      <c r="N1032" s="30" t="n"/>
    </row>
    <row r="1033">
      <c r="A1033" s="4">
        <f>Sheet1!A1033 &amp; "/" &amp; "2025"</f>
        <v/>
      </c>
      <c r="B1033" s="5">
        <f>Sheet1!E1033</f>
        <v/>
      </c>
      <c r="C1033" s="6">
        <f>UPPER(Sheet1!B1033)</f>
        <v/>
      </c>
      <c r="D1033" s="7">
        <f>IF(Sheet1!F1033="F","FEMALE","MALE")</f>
        <v/>
      </c>
      <c r="E1033" s="6">
        <f>UPPER(Sheet1!G1033)</f>
        <v/>
      </c>
      <c r="F1033" s="6">
        <f>UPPER(Sheet1!H1033)</f>
        <v/>
      </c>
      <c r="G1033" s="5">
        <f>TEXT(Sheet1!C1033,"dd/mm/yyyy") &amp; "," &amp; Sheet1!D1033</f>
        <v/>
      </c>
      <c r="H1033" s="38">
        <f>UPPER(Sheet1!J1033 &amp; "," &amp; Sheet1!K1033 &amp; "," &amp; Sheet1!L1033)</f>
        <v/>
      </c>
      <c r="I1033" s="45">
        <f>Sheet1!I1033</f>
        <v/>
      </c>
      <c r="J1033" s="5">
        <f>Sheet1!M1033 &amp; "," &amp; TEXT(Sheet1!N1033,"dd/mm/yy")</f>
        <v/>
      </c>
      <c r="K1033" s="5" t="inlineStr">
        <is>
          <t>PRINTED</t>
        </is>
      </c>
      <c r="L1033" t="inlineStr">
        <is>
          <t>25/03/2026</t>
        </is>
      </c>
      <c r="M1033" s="30" t="inlineStr">
        <is>
          <t>MANISH KATARIA, VICE CONSUL</t>
        </is>
      </c>
      <c r="N1033" s="30" t="n"/>
    </row>
    <row r="1034">
      <c r="A1034" s="4">
        <f>Sheet1!A1034 &amp; "/" &amp; "2025"</f>
        <v/>
      </c>
      <c r="B1034" s="5">
        <f>Sheet1!E1034</f>
        <v/>
      </c>
      <c r="C1034" s="6">
        <f>UPPER(Sheet1!B1034)</f>
        <v/>
      </c>
      <c r="D1034" s="7">
        <f>IF(Sheet1!F1034="F","FEMALE","MALE")</f>
        <v/>
      </c>
      <c r="E1034" s="6">
        <f>UPPER(Sheet1!G1034)</f>
        <v/>
      </c>
      <c r="F1034" s="6">
        <f>UPPER(Sheet1!H1034)</f>
        <v/>
      </c>
      <c r="G1034" s="5">
        <f>TEXT(Sheet1!C1034,"dd/mm/yyyy") &amp; "," &amp; Sheet1!D1034</f>
        <v/>
      </c>
      <c r="H1034" s="38">
        <f>UPPER(Sheet1!J1034 &amp; "," &amp; Sheet1!K1034 &amp; "," &amp; Sheet1!L1034)</f>
        <v/>
      </c>
      <c r="I1034" s="45">
        <f>Sheet1!I1034</f>
        <v/>
      </c>
      <c r="J1034" s="5">
        <f>Sheet1!M1034 &amp; "," &amp; TEXT(Sheet1!N1034,"dd/mm/yy")</f>
        <v/>
      </c>
      <c r="K1034" s="5" t="inlineStr">
        <is>
          <t>PRINTED</t>
        </is>
      </c>
      <c r="L1034" t="inlineStr">
        <is>
          <t>25/03/2026</t>
        </is>
      </c>
      <c r="M1034" s="30" t="inlineStr">
        <is>
          <t>MANISH KATARIA, VICE CONSUL</t>
        </is>
      </c>
      <c r="N1034" s="30" t="n"/>
    </row>
    <row r="1035">
      <c r="A1035" s="4">
        <f>Sheet1!A1035 &amp; "/" &amp; "2025"</f>
        <v/>
      </c>
      <c r="B1035" s="5">
        <f>Sheet1!E1035</f>
        <v/>
      </c>
      <c r="C1035" s="6">
        <f>UPPER(Sheet1!B1035)</f>
        <v/>
      </c>
      <c r="D1035" s="7">
        <f>IF(Sheet1!F1035="F","FEMALE","MALE")</f>
        <v/>
      </c>
      <c r="E1035" s="6">
        <f>UPPER(Sheet1!G1035)</f>
        <v/>
      </c>
      <c r="F1035" s="6">
        <f>UPPER(Sheet1!H1035)</f>
        <v/>
      </c>
      <c r="G1035" s="5">
        <f>TEXT(Sheet1!C1035,"dd/mm/yyyy") &amp; "," &amp; Sheet1!D1035</f>
        <v/>
      </c>
      <c r="H1035" s="38">
        <f>UPPER(Sheet1!J1035 &amp; "," &amp; Sheet1!K1035 &amp; "," &amp; Sheet1!L1035)</f>
        <v/>
      </c>
      <c r="I1035" s="45">
        <f>Sheet1!I1035</f>
        <v/>
      </c>
      <c r="J1035" s="5">
        <f>Sheet1!M1035 &amp; "," &amp; TEXT(Sheet1!N1035,"dd/mm/yy")</f>
        <v/>
      </c>
      <c r="K1035" s="5" t="inlineStr">
        <is>
          <t>PRINTED</t>
        </is>
      </c>
      <c r="L1035" t="inlineStr">
        <is>
          <t>25/03/2026</t>
        </is>
      </c>
      <c r="M1035" s="30" t="inlineStr">
        <is>
          <t>MANISH KATARIA, VICE CONSUL</t>
        </is>
      </c>
      <c r="N1035" s="30" t="n"/>
    </row>
    <row r="1036">
      <c r="A1036" s="4">
        <f>Sheet1!A1036 &amp; "/" &amp; "2025"</f>
        <v/>
      </c>
      <c r="B1036" s="5">
        <f>Sheet1!E1036</f>
        <v/>
      </c>
      <c r="C1036" s="6">
        <f>UPPER(Sheet1!B1036)</f>
        <v/>
      </c>
      <c r="D1036" s="7">
        <f>IF(Sheet1!F1036="F","FEMALE","MALE")</f>
        <v/>
      </c>
      <c r="E1036" s="6">
        <f>UPPER(Sheet1!G1036)</f>
        <v/>
      </c>
      <c r="F1036" s="6">
        <f>UPPER(Sheet1!H1036)</f>
        <v/>
      </c>
      <c r="G1036" s="5">
        <f>TEXT(Sheet1!C1036,"dd/mm/yyyy") &amp; "," &amp; Sheet1!D1036</f>
        <v/>
      </c>
      <c r="H1036" s="38">
        <f>UPPER(Sheet1!J1036 &amp; "," &amp; Sheet1!K1036 &amp; "," &amp; Sheet1!L1036)</f>
        <v/>
      </c>
      <c r="I1036" s="45">
        <f>Sheet1!I1036</f>
        <v/>
      </c>
      <c r="J1036" s="5">
        <f>Sheet1!M1036 &amp; "," &amp; TEXT(Sheet1!N1036,"dd/mm/yy")</f>
        <v/>
      </c>
      <c r="K1036" s="5" t="inlineStr">
        <is>
          <t>PRINTED</t>
        </is>
      </c>
      <c r="L1036" t="inlineStr">
        <is>
          <t>25/03/2026</t>
        </is>
      </c>
      <c r="M1036" s="30" t="inlineStr">
        <is>
          <t>MANISH KATARIA, VICE CONSUL</t>
        </is>
      </c>
      <c r="N1036" s="30" t="n"/>
    </row>
    <row r="1037">
      <c r="A1037" s="4">
        <f>Sheet1!A1037 &amp; "/" &amp; "2025"</f>
        <v/>
      </c>
      <c r="B1037" s="5">
        <f>Sheet1!E1037</f>
        <v/>
      </c>
      <c r="C1037" s="6">
        <f>UPPER(Sheet1!B1037)</f>
        <v/>
      </c>
      <c r="D1037" s="7">
        <f>IF(Sheet1!F1037="F","FEMALE","MALE")</f>
        <v/>
      </c>
      <c r="E1037" s="6">
        <f>UPPER(Sheet1!G1037)</f>
        <v/>
      </c>
      <c r="F1037" s="6">
        <f>UPPER(Sheet1!H1037)</f>
        <v/>
      </c>
      <c r="G1037" s="5">
        <f>TEXT(Sheet1!C1037,"dd/mm/yyyy") &amp; "," &amp; Sheet1!D1037</f>
        <v/>
      </c>
      <c r="H1037" s="38">
        <f>UPPER(Sheet1!J1037 &amp; "," &amp; Sheet1!K1037 &amp; "," &amp; Sheet1!L1037)</f>
        <v/>
      </c>
      <c r="I1037" s="45">
        <f>Sheet1!I1037</f>
        <v/>
      </c>
      <c r="J1037" s="5">
        <f>Sheet1!M1037 &amp; "," &amp; TEXT(Sheet1!N1037,"dd/mm/yy")</f>
        <v/>
      </c>
      <c r="K1037" s="5" t="inlineStr">
        <is>
          <t>PRINTED</t>
        </is>
      </c>
      <c r="L1037" t="inlineStr">
        <is>
          <t>25/03/2026</t>
        </is>
      </c>
      <c r="M1037" s="30" t="inlineStr">
        <is>
          <t>MANISH KATARIA, VICE CONSUL</t>
        </is>
      </c>
      <c r="N1037" s="30" t="n"/>
    </row>
    <row r="1038">
      <c r="A1038" s="4">
        <f>Sheet1!A1038 &amp; "/" &amp; "2025"</f>
        <v/>
      </c>
      <c r="B1038" s="5">
        <f>Sheet1!E1038</f>
        <v/>
      </c>
      <c r="C1038" s="6">
        <f>UPPER(Sheet1!B1038)</f>
        <v/>
      </c>
      <c r="D1038" s="7">
        <f>IF(Sheet1!F1038="F","FEMALE","MALE")</f>
        <v/>
      </c>
      <c r="E1038" s="6">
        <f>UPPER(Sheet1!G1038)</f>
        <v/>
      </c>
      <c r="F1038" s="6">
        <f>UPPER(Sheet1!H1038)</f>
        <v/>
      </c>
      <c r="G1038" s="5">
        <f>TEXT(Sheet1!C1038,"dd/mm/yyyy") &amp; "," &amp; Sheet1!D1038</f>
        <v/>
      </c>
      <c r="H1038" s="38">
        <f>UPPER(Sheet1!J1038 &amp; "," &amp; Sheet1!K1038 &amp; "," &amp; Sheet1!L1038)</f>
        <v/>
      </c>
      <c r="I1038" s="45">
        <f>Sheet1!I1038</f>
        <v/>
      </c>
      <c r="J1038" s="5">
        <f>Sheet1!M1038 &amp; "," &amp; TEXT(Sheet1!N1038,"dd/mm/yy")</f>
        <v/>
      </c>
      <c r="K1038" s="5" t="inlineStr">
        <is>
          <t>PRINTED</t>
        </is>
      </c>
      <c r="L1038" t="inlineStr">
        <is>
          <t>25/03/2026</t>
        </is>
      </c>
      <c r="M1038" s="30" t="inlineStr">
        <is>
          <t>MANISH KATARIA, VICE CONSUL</t>
        </is>
      </c>
      <c r="N1038" s="30" t="n"/>
    </row>
    <row r="1039">
      <c r="A1039" s="4">
        <f>Sheet1!A1039 &amp; "/" &amp; "2025"</f>
        <v/>
      </c>
      <c r="B1039" s="5">
        <f>Sheet1!E1039</f>
        <v/>
      </c>
      <c r="C1039" s="6">
        <f>UPPER(Sheet1!B1039)</f>
        <v/>
      </c>
      <c r="D1039" s="7">
        <f>IF(Sheet1!F1039="F","FEMALE","MALE")</f>
        <v/>
      </c>
      <c r="E1039" s="6">
        <f>UPPER(Sheet1!G1039)</f>
        <v/>
      </c>
      <c r="F1039" s="6">
        <f>UPPER(Sheet1!H1039)</f>
        <v/>
      </c>
      <c r="G1039" s="5">
        <f>TEXT(Sheet1!C1039,"dd/mm/yyyy") &amp; "," &amp; Sheet1!D1039</f>
        <v/>
      </c>
      <c r="H1039" s="38">
        <f>UPPER(Sheet1!J1039 &amp; "," &amp; Sheet1!K1039 &amp; "," &amp; Sheet1!L1039)</f>
        <v/>
      </c>
      <c r="I1039" s="45">
        <f>Sheet1!I1039</f>
        <v/>
      </c>
      <c r="J1039" s="5">
        <f>Sheet1!M1039 &amp; "," &amp; TEXT(Sheet1!N1039,"dd/mm/yy")</f>
        <v/>
      </c>
      <c r="K1039" s="5" t="inlineStr">
        <is>
          <t>PRINTED</t>
        </is>
      </c>
      <c r="L1039" t="inlineStr">
        <is>
          <t>25/03/2026</t>
        </is>
      </c>
      <c r="M1039" s="30" t="inlineStr">
        <is>
          <t>MANISH KATARIA, VICE CONSUL</t>
        </is>
      </c>
      <c r="N1039" s="30" t="n"/>
    </row>
    <row r="1040">
      <c r="A1040" s="4">
        <f>Sheet1!A1040 &amp; "/" &amp; "2025"</f>
        <v/>
      </c>
      <c r="B1040" s="5">
        <f>Sheet1!E1040</f>
        <v/>
      </c>
      <c r="C1040" s="6">
        <f>UPPER(Sheet1!B1040)</f>
        <v/>
      </c>
      <c r="D1040" s="7">
        <f>IF(Sheet1!F1040="F","FEMALE","MALE")</f>
        <v/>
      </c>
      <c r="E1040" s="6">
        <f>UPPER(Sheet1!G1040)</f>
        <v/>
      </c>
      <c r="F1040" s="6">
        <f>UPPER(Sheet1!H1040)</f>
        <v/>
      </c>
      <c r="G1040" s="5">
        <f>TEXT(Sheet1!C1040,"dd/mm/yyyy") &amp; "," &amp; Sheet1!D1040</f>
        <v/>
      </c>
      <c r="H1040" s="38">
        <f>UPPER(Sheet1!J1040 &amp; "," &amp; Sheet1!K1040 &amp; "," &amp; Sheet1!L1040)</f>
        <v/>
      </c>
      <c r="I1040" s="45">
        <f>Sheet1!I1040</f>
        <v/>
      </c>
      <c r="J1040" s="5">
        <f>Sheet1!M1040 &amp; "," &amp; TEXT(Sheet1!N1040,"dd/mm/yy")</f>
        <v/>
      </c>
      <c r="K1040" s="5" t="inlineStr">
        <is>
          <t>PRINTED</t>
        </is>
      </c>
      <c r="L1040" t="inlineStr">
        <is>
          <t>25/03/2026</t>
        </is>
      </c>
      <c r="M1040" s="30" t="inlineStr">
        <is>
          <t>MANISH KATARIA, VICE CONSUL</t>
        </is>
      </c>
      <c r="N1040" s="30" t="n"/>
    </row>
    <row r="1041">
      <c r="A1041" s="4">
        <f>Sheet1!A1041 &amp; "/" &amp; "2025"</f>
        <v/>
      </c>
      <c r="B1041" s="5">
        <f>Sheet1!E1041</f>
        <v/>
      </c>
      <c r="C1041" s="6">
        <f>UPPER(Sheet1!B1041)</f>
        <v/>
      </c>
      <c r="D1041" s="7">
        <f>IF(Sheet1!F1041="F","FEMALE","MALE")</f>
        <v/>
      </c>
      <c r="E1041" s="6">
        <f>UPPER(Sheet1!G1041)</f>
        <v/>
      </c>
      <c r="F1041" s="6">
        <f>UPPER(Sheet1!H1041)</f>
        <v/>
      </c>
      <c r="G1041" s="5">
        <f>TEXT(Sheet1!C1041,"dd/mm/yyyy") &amp; "," &amp; Sheet1!D1041</f>
        <v/>
      </c>
      <c r="H1041" s="38">
        <f>UPPER(Sheet1!J1041 &amp; "," &amp; Sheet1!K1041 &amp; "," &amp; Sheet1!L1041)</f>
        <v/>
      </c>
      <c r="I1041" s="45">
        <f>Sheet1!I1041</f>
        <v/>
      </c>
      <c r="J1041" s="5">
        <f>Sheet1!M1041 &amp; "," &amp; TEXT(Sheet1!N1041,"dd/mm/yy")</f>
        <v/>
      </c>
      <c r="K1041" s="5" t="inlineStr">
        <is>
          <t>PRINTED</t>
        </is>
      </c>
      <c r="L1041" t="inlineStr">
        <is>
          <t>25/03/2026</t>
        </is>
      </c>
      <c r="M1041" s="30" t="inlineStr">
        <is>
          <t>MANISH KATARIA, VICE CONSUL</t>
        </is>
      </c>
      <c r="N1041" s="30" t="n"/>
    </row>
    <row r="1042">
      <c r="A1042" s="4">
        <f>Sheet1!A1042 &amp; "/" &amp; "2025"</f>
        <v/>
      </c>
      <c r="B1042" s="5">
        <f>Sheet1!E1042</f>
        <v/>
      </c>
      <c r="C1042" s="6">
        <f>UPPER(Sheet1!B1042)</f>
        <v/>
      </c>
      <c r="D1042" s="7">
        <f>IF(Sheet1!F1042="F","FEMALE","MALE")</f>
        <v/>
      </c>
      <c r="E1042" s="6">
        <f>UPPER(Sheet1!G1042)</f>
        <v/>
      </c>
      <c r="F1042" s="6">
        <f>UPPER(Sheet1!H1042)</f>
        <v/>
      </c>
      <c r="G1042" s="5">
        <f>TEXT(Sheet1!C1042,"dd/mm/yyyy") &amp; "," &amp; Sheet1!D1042</f>
        <v/>
      </c>
      <c r="H1042" s="38">
        <f>UPPER(Sheet1!J1042 &amp; "," &amp; Sheet1!K1042 &amp; "," &amp; Sheet1!L1042)</f>
        <v/>
      </c>
      <c r="I1042" s="45">
        <f>Sheet1!I1042</f>
        <v/>
      </c>
      <c r="J1042" s="5">
        <f>Sheet1!M1042 &amp; "," &amp; TEXT(Sheet1!N1042,"dd/mm/yy")</f>
        <v/>
      </c>
      <c r="K1042" s="5" t="inlineStr">
        <is>
          <t>PRINTED</t>
        </is>
      </c>
      <c r="L1042" t="inlineStr">
        <is>
          <t>25/03/2026</t>
        </is>
      </c>
      <c r="M1042" s="30" t="inlineStr">
        <is>
          <t>MANISH KATARIA, VICE CONSUL</t>
        </is>
      </c>
      <c r="N1042" s="30" t="n"/>
    </row>
    <row r="1043">
      <c r="A1043" s="4">
        <f>Sheet1!A1043 &amp; "/" &amp; "2025"</f>
        <v/>
      </c>
      <c r="B1043" s="5">
        <f>Sheet1!E1043</f>
        <v/>
      </c>
      <c r="C1043" s="6">
        <f>UPPER(Sheet1!B1043)</f>
        <v/>
      </c>
      <c r="D1043" s="7">
        <f>IF(Sheet1!F1043="F","FEMALE","MALE")</f>
        <v/>
      </c>
      <c r="E1043" s="6">
        <f>UPPER(Sheet1!G1043)</f>
        <v/>
      </c>
      <c r="F1043" s="6">
        <f>UPPER(Sheet1!H1043)</f>
        <v/>
      </c>
      <c r="G1043" s="5">
        <f>TEXT(Sheet1!C1043,"dd/mm/yyyy") &amp; "," &amp; Sheet1!D1043</f>
        <v/>
      </c>
      <c r="H1043" s="38">
        <f>UPPER(Sheet1!J1043 &amp; "," &amp; Sheet1!K1043 &amp; "," &amp; Sheet1!L1043)</f>
        <v/>
      </c>
      <c r="I1043" s="45">
        <f>Sheet1!I1043</f>
        <v/>
      </c>
      <c r="J1043" s="5">
        <f>Sheet1!M1043 &amp; "," &amp; TEXT(Sheet1!N1043,"dd/mm/yy")</f>
        <v/>
      </c>
      <c r="K1043" s="5" t="inlineStr">
        <is>
          <t>PRINTED</t>
        </is>
      </c>
      <c r="L1043" t="inlineStr">
        <is>
          <t>25/03/2026</t>
        </is>
      </c>
      <c r="M1043" s="30" t="inlineStr">
        <is>
          <t>MANISH KATARIA, VICE CONSUL</t>
        </is>
      </c>
      <c r="N1043" s="30" t="n"/>
    </row>
    <row r="1044">
      <c r="A1044" s="4">
        <f>Sheet1!A1044 &amp; "/" &amp; "2025"</f>
        <v/>
      </c>
      <c r="B1044" s="5">
        <f>Sheet1!E1044</f>
        <v/>
      </c>
      <c r="C1044" s="6">
        <f>UPPER(Sheet1!B1044)</f>
        <v/>
      </c>
      <c r="D1044" s="7">
        <f>IF(Sheet1!F1044="F","FEMALE","MALE")</f>
        <v/>
      </c>
      <c r="E1044" s="6">
        <f>UPPER(Sheet1!G1044)</f>
        <v/>
      </c>
      <c r="F1044" s="6">
        <f>UPPER(Sheet1!H1044)</f>
        <v/>
      </c>
      <c r="G1044" s="5">
        <f>TEXT(Sheet1!C1044,"dd/mm/yyyy") &amp; "," &amp; Sheet1!D1044</f>
        <v/>
      </c>
      <c r="H1044" s="38">
        <f>UPPER(Sheet1!J1044 &amp; "," &amp; Sheet1!K1044 &amp; "," &amp; Sheet1!L1044)</f>
        <v/>
      </c>
      <c r="I1044" s="45">
        <f>Sheet1!I1044</f>
        <v/>
      </c>
      <c r="J1044" s="5">
        <f>Sheet1!M1044 &amp; "," &amp; TEXT(Sheet1!N1044,"dd/mm/yy")</f>
        <v/>
      </c>
      <c r="K1044" s="5" t="inlineStr">
        <is>
          <t>PRINTED</t>
        </is>
      </c>
      <c r="L1044" t="inlineStr">
        <is>
          <t>25/03/2026</t>
        </is>
      </c>
      <c r="M1044" s="30" t="inlineStr">
        <is>
          <t>MANISH KATARIA, VICE CONSUL</t>
        </is>
      </c>
      <c r="N1044" s="30" t="n"/>
    </row>
    <row r="1045">
      <c r="A1045" s="4">
        <f>Sheet1!A1045 &amp; "/" &amp; "2025"</f>
        <v/>
      </c>
      <c r="B1045" s="5">
        <f>Sheet1!E1045</f>
        <v/>
      </c>
      <c r="C1045" s="6">
        <f>UPPER(Sheet1!B1045)</f>
        <v/>
      </c>
      <c r="D1045" s="7">
        <f>IF(Sheet1!F1045="F","FEMALE","MALE")</f>
        <v/>
      </c>
      <c r="E1045" s="6">
        <f>UPPER(Sheet1!G1045)</f>
        <v/>
      </c>
      <c r="F1045" s="6">
        <f>UPPER(Sheet1!H1045)</f>
        <v/>
      </c>
      <c r="G1045" s="5">
        <f>TEXT(Sheet1!C1045,"dd/mm/yyyy") &amp; "," &amp; Sheet1!D1045</f>
        <v/>
      </c>
      <c r="H1045" s="38">
        <f>UPPER(Sheet1!J1045 &amp; "," &amp; Sheet1!K1045 &amp; "," &amp; Sheet1!L1045)</f>
        <v/>
      </c>
      <c r="I1045" s="45">
        <f>Sheet1!I1045</f>
        <v/>
      </c>
      <c r="J1045" s="5">
        <f>Sheet1!M1045 &amp; "," &amp; TEXT(Sheet1!N1045,"dd/mm/yy")</f>
        <v/>
      </c>
      <c r="K1045" s="5" t="inlineStr">
        <is>
          <t>PRINTED</t>
        </is>
      </c>
      <c r="L1045" t="inlineStr">
        <is>
          <t>25/03/2026</t>
        </is>
      </c>
      <c r="M1045" s="30" t="inlineStr">
        <is>
          <t>MANISH KATARIA, VICE CONSUL</t>
        </is>
      </c>
      <c r="N1045" s="30" t="n"/>
    </row>
    <row r="1046">
      <c r="A1046" s="4">
        <f>Sheet1!A1046 &amp; "/" &amp; "2025"</f>
        <v/>
      </c>
      <c r="B1046" s="5">
        <f>Sheet1!E1046</f>
        <v/>
      </c>
      <c r="C1046" s="6">
        <f>UPPER(Sheet1!B1046)</f>
        <v/>
      </c>
      <c r="D1046" s="7">
        <f>IF(Sheet1!F1046="F","FEMALE","MALE")</f>
        <v/>
      </c>
      <c r="E1046" s="6">
        <f>UPPER(Sheet1!G1046)</f>
        <v/>
      </c>
      <c r="F1046" s="6">
        <f>UPPER(Sheet1!H1046)</f>
        <v/>
      </c>
      <c r="G1046" s="5">
        <f>TEXT(Sheet1!C1046,"dd/mm/yyyy") &amp; "," &amp; Sheet1!D1046</f>
        <v/>
      </c>
      <c r="H1046" s="38">
        <f>UPPER(Sheet1!J1046 &amp; "," &amp; Sheet1!K1046 &amp; "," &amp; Sheet1!L1046)</f>
        <v/>
      </c>
      <c r="I1046" s="45">
        <f>Sheet1!I1046</f>
        <v/>
      </c>
      <c r="J1046" s="5">
        <f>Sheet1!M1046 &amp; "," &amp; TEXT(Sheet1!N1046,"dd/mm/yy")</f>
        <v/>
      </c>
      <c r="K1046" s="5" t="inlineStr">
        <is>
          <t>PRINTED</t>
        </is>
      </c>
      <c r="L1046" t="inlineStr">
        <is>
          <t>25/03/2026</t>
        </is>
      </c>
      <c r="M1046" s="30" t="inlineStr">
        <is>
          <t>MANISH KATARIA, VICE CONSUL</t>
        </is>
      </c>
      <c r="N1046" s="30" t="n"/>
    </row>
    <row r="1047">
      <c r="A1047" s="4">
        <f>Sheet1!A1047 &amp; "/" &amp; "2025"</f>
        <v/>
      </c>
      <c r="B1047" s="5">
        <f>Sheet1!E1047</f>
        <v/>
      </c>
      <c r="C1047" s="6">
        <f>UPPER(Sheet1!B1047)</f>
        <v/>
      </c>
      <c r="D1047" s="7">
        <f>IF(Sheet1!F1047="F","FEMALE","MALE")</f>
        <v/>
      </c>
      <c r="E1047" s="6">
        <f>UPPER(Sheet1!G1047)</f>
        <v/>
      </c>
      <c r="F1047" s="6">
        <f>UPPER(Sheet1!H1047)</f>
        <v/>
      </c>
      <c r="G1047" s="5">
        <f>TEXT(Sheet1!C1047,"dd/mm/yyyy") &amp; "," &amp; Sheet1!D1047</f>
        <v/>
      </c>
      <c r="H1047" s="38">
        <f>UPPER(Sheet1!J1047 &amp; "," &amp; Sheet1!K1047 &amp; "," &amp; Sheet1!L1047)</f>
        <v/>
      </c>
      <c r="I1047" s="45">
        <f>Sheet1!I1047</f>
        <v/>
      </c>
      <c r="J1047" s="5">
        <f>Sheet1!M1047 &amp; "," &amp; TEXT(Sheet1!N1047,"dd/mm/yy")</f>
        <v/>
      </c>
      <c r="K1047" s="5" t="inlineStr">
        <is>
          <t>PRINTED</t>
        </is>
      </c>
      <c r="L1047" t="inlineStr">
        <is>
          <t>25/03/2026</t>
        </is>
      </c>
      <c r="M1047" s="30" t="inlineStr">
        <is>
          <t>MANISH KATARIA, VICE CONSUL</t>
        </is>
      </c>
      <c r="N1047" s="30" t="n"/>
    </row>
    <row r="1048">
      <c r="A1048" s="4">
        <f>Sheet1!A1048 &amp; "/" &amp; "2025"</f>
        <v/>
      </c>
      <c r="B1048" s="5">
        <f>Sheet1!E1048</f>
        <v/>
      </c>
      <c r="C1048" s="6">
        <f>UPPER(Sheet1!B1048)</f>
        <v/>
      </c>
      <c r="D1048" s="7">
        <f>IF(Sheet1!F1048="F","FEMALE","MALE")</f>
        <v/>
      </c>
      <c r="E1048" s="6">
        <f>UPPER(Sheet1!G1048)</f>
        <v/>
      </c>
      <c r="F1048" s="6">
        <f>UPPER(Sheet1!H1048)</f>
        <v/>
      </c>
      <c r="G1048" s="5">
        <f>TEXT(Sheet1!C1048,"dd/mm/yyyy") &amp; "," &amp; Sheet1!D1048</f>
        <v/>
      </c>
      <c r="H1048" s="38">
        <f>UPPER(Sheet1!J1048 &amp; "," &amp; Sheet1!K1048 &amp; "," &amp; Sheet1!L1048)</f>
        <v/>
      </c>
      <c r="I1048" s="45">
        <f>Sheet1!I1048</f>
        <v/>
      </c>
      <c r="J1048" s="5">
        <f>Sheet1!M1048 &amp; "," &amp; TEXT(Sheet1!N1048,"dd/mm/yy")</f>
        <v/>
      </c>
      <c r="K1048" s="5" t="inlineStr">
        <is>
          <t>PRINTED</t>
        </is>
      </c>
      <c r="L1048" t="inlineStr">
        <is>
          <t>25/03/2026</t>
        </is>
      </c>
      <c r="M1048" s="30" t="inlineStr">
        <is>
          <t>MANISH KATARIA, VICE CONSUL</t>
        </is>
      </c>
      <c r="N1048" s="30" t="n"/>
    </row>
    <row r="1049">
      <c r="A1049" s="4">
        <f>Sheet1!A1049 &amp; "/" &amp; "2025"</f>
        <v/>
      </c>
      <c r="B1049" s="5">
        <f>Sheet1!E1049</f>
        <v/>
      </c>
      <c r="C1049" s="6">
        <f>UPPER(Sheet1!B1049)</f>
        <v/>
      </c>
      <c r="D1049" s="7">
        <f>IF(Sheet1!F1049="F","FEMALE","MALE")</f>
        <v/>
      </c>
      <c r="E1049" s="6">
        <f>UPPER(Sheet1!G1049)</f>
        <v/>
      </c>
      <c r="F1049" s="6">
        <f>UPPER(Sheet1!H1049)</f>
        <v/>
      </c>
      <c r="G1049" s="5">
        <f>TEXT(Sheet1!C1049,"dd/mm/yyyy") &amp; "," &amp; Sheet1!D1049</f>
        <v/>
      </c>
      <c r="H1049" s="38">
        <f>UPPER(Sheet1!J1049 &amp; "," &amp; Sheet1!K1049 &amp; "," &amp; Sheet1!L1049)</f>
        <v/>
      </c>
      <c r="I1049" s="45">
        <f>Sheet1!I1049</f>
        <v/>
      </c>
      <c r="J1049" s="5">
        <f>Sheet1!M1049 &amp; "," &amp; TEXT(Sheet1!N1049,"dd/mm/yy")</f>
        <v/>
      </c>
      <c r="K1049" s="5" t="inlineStr">
        <is>
          <t>PRINTED</t>
        </is>
      </c>
      <c r="L1049" t="inlineStr">
        <is>
          <t>25/03/2026</t>
        </is>
      </c>
      <c r="M1049" s="30" t="inlineStr">
        <is>
          <t>MANISH KATARIA, VICE CONSUL</t>
        </is>
      </c>
      <c r="N1049" s="30" t="n"/>
    </row>
    <row r="1050">
      <c r="A1050" s="4">
        <f>Sheet1!A1050 &amp; "/" &amp; "2025"</f>
        <v/>
      </c>
      <c r="B1050" s="5">
        <f>Sheet1!E1050</f>
        <v/>
      </c>
      <c r="C1050" s="6">
        <f>UPPER(Sheet1!B1050)</f>
        <v/>
      </c>
      <c r="D1050" s="7">
        <f>IF(Sheet1!F1050="F","FEMALE","MALE")</f>
        <v/>
      </c>
      <c r="E1050" s="6">
        <f>UPPER(Sheet1!G1050)</f>
        <v/>
      </c>
      <c r="F1050" s="6">
        <f>UPPER(Sheet1!H1050)</f>
        <v/>
      </c>
      <c r="G1050" s="5">
        <f>TEXT(Sheet1!C1050,"dd/mm/yyyy") &amp; "," &amp; Sheet1!D1050</f>
        <v/>
      </c>
      <c r="H1050" s="38">
        <f>UPPER(Sheet1!J1050 &amp; "," &amp; Sheet1!K1050 &amp; "," &amp; Sheet1!L1050)</f>
        <v/>
      </c>
      <c r="I1050" s="45">
        <f>Sheet1!I1050</f>
        <v/>
      </c>
      <c r="J1050" s="5">
        <f>Sheet1!M1050 &amp; "," &amp; TEXT(Sheet1!N1050,"dd/mm/yy")</f>
        <v/>
      </c>
      <c r="K1050" s="5" t="inlineStr">
        <is>
          <t>PRINTED</t>
        </is>
      </c>
      <c r="L1050" t="inlineStr">
        <is>
          <t>25/03/2026</t>
        </is>
      </c>
      <c r="M1050" s="30" t="inlineStr">
        <is>
          <t>MANISH KATARIA, VICE CONSUL</t>
        </is>
      </c>
      <c r="N1050" s="30" t="n"/>
    </row>
    <row r="1051">
      <c r="A1051" s="4">
        <f>Sheet1!A1051 &amp; "/" &amp; "2025"</f>
        <v/>
      </c>
      <c r="B1051" s="5">
        <f>Sheet1!E1051</f>
        <v/>
      </c>
      <c r="C1051" s="6">
        <f>UPPER(Sheet1!B1051)</f>
        <v/>
      </c>
      <c r="D1051" s="7">
        <f>IF(Sheet1!F1051="F","FEMALE","MALE")</f>
        <v/>
      </c>
      <c r="E1051" s="6">
        <f>UPPER(Sheet1!G1051)</f>
        <v/>
      </c>
      <c r="F1051" s="6">
        <f>UPPER(Sheet1!H1051)</f>
        <v/>
      </c>
      <c r="G1051" s="5">
        <f>TEXT(Sheet1!C1051,"dd/mm/yyyy") &amp; "," &amp; Sheet1!D1051</f>
        <v/>
      </c>
      <c r="H1051" s="38">
        <f>UPPER(Sheet1!J1051 &amp; "," &amp; Sheet1!K1051 &amp; "," &amp; Sheet1!L1051)</f>
        <v/>
      </c>
      <c r="I1051" s="45">
        <f>Sheet1!I1051</f>
        <v/>
      </c>
      <c r="J1051" s="5">
        <f>Sheet1!M1051 &amp; "," &amp; TEXT(Sheet1!N1051,"dd/mm/yy")</f>
        <v/>
      </c>
      <c r="K1051" s="5" t="inlineStr">
        <is>
          <t>PRINTED</t>
        </is>
      </c>
      <c r="L1051" t="inlineStr">
        <is>
          <t>25/03/2026</t>
        </is>
      </c>
      <c r="M1051" s="30" t="inlineStr">
        <is>
          <t>MANISH KATARIA, VICE CONSUL</t>
        </is>
      </c>
      <c r="N1051" s="30" t="n"/>
    </row>
    <row r="1052">
      <c r="A1052" s="4">
        <f>Sheet1!A1052 &amp; "/" &amp; "2025"</f>
        <v/>
      </c>
      <c r="B1052" s="5">
        <f>Sheet1!E1052</f>
        <v/>
      </c>
      <c r="C1052" s="6">
        <f>UPPER(Sheet1!B1052)</f>
        <v/>
      </c>
      <c r="D1052" s="7">
        <f>IF(Sheet1!F1052="F","FEMALE","MALE")</f>
        <v/>
      </c>
      <c r="E1052" s="6">
        <f>UPPER(Sheet1!G1052)</f>
        <v/>
      </c>
      <c r="F1052" s="6">
        <f>UPPER(Sheet1!H1052)</f>
        <v/>
      </c>
      <c r="G1052" s="5">
        <f>TEXT(Sheet1!C1052,"dd/mm/yyyy") &amp; "," &amp; Sheet1!D1052</f>
        <v/>
      </c>
      <c r="H1052" s="38">
        <f>UPPER(Sheet1!J1052 &amp; "," &amp; Sheet1!K1052 &amp; "," &amp; Sheet1!L1052)</f>
        <v/>
      </c>
      <c r="I1052" s="45">
        <f>Sheet1!I1052</f>
        <v/>
      </c>
      <c r="J1052" s="5">
        <f>Sheet1!M1052 &amp; "," &amp; TEXT(Sheet1!N1052,"dd/mm/yy")</f>
        <v/>
      </c>
      <c r="K1052" s="5" t="inlineStr">
        <is>
          <t>PRINTED</t>
        </is>
      </c>
      <c r="L1052" t="inlineStr">
        <is>
          <t>25/03/2026</t>
        </is>
      </c>
      <c r="M1052" s="30" t="inlineStr">
        <is>
          <t>MANISH KATARIA, VICE CONSUL</t>
        </is>
      </c>
      <c r="N1052" s="30" t="n"/>
    </row>
    <row r="1053">
      <c r="A1053" s="4">
        <f>Sheet1!A1053 &amp; "/" &amp; "2025"</f>
        <v/>
      </c>
      <c r="B1053" s="5">
        <f>Sheet1!E1053</f>
        <v/>
      </c>
      <c r="C1053" s="6">
        <f>UPPER(Sheet1!B1053)</f>
        <v/>
      </c>
      <c r="D1053" s="7">
        <f>IF(Sheet1!F1053="F","FEMALE","MALE")</f>
        <v/>
      </c>
      <c r="E1053" s="6">
        <f>UPPER(Sheet1!G1053)</f>
        <v/>
      </c>
      <c r="F1053" s="6">
        <f>UPPER(Sheet1!H1053)</f>
        <v/>
      </c>
      <c r="G1053" s="5">
        <f>TEXT(Sheet1!C1053,"dd/mm/yyyy") &amp; "," &amp; Sheet1!D1053</f>
        <v/>
      </c>
      <c r="H1053" s="38">
        <f>UPPER(Sheet1!J1053 &amp; "," &amp; Sheet1!K1053 &amp; "," &amp; Sheet1!L1053)</f>
        <v/>
      </c>
      <c r="I1053" s="45">
        <f>Sheet1!I1053</f>
        <v/>
      </c>
      <c r="J1053" s="5">
        <f>Sheet1!M1053 &amp; "," &amp; TEXT(Sheet1!N1053,"dd/mm/yy")</f>
        <v/>
      </c>
      <c r="K1053" s="5" t="inlineStr">
        <is>
          <t>PRINTED</t>
        </is>
      </c>
      <c r="L1053" t="inlineStr">
        <is>
          <t>25/03/2026</t>
        </is>
      </c>
      <c r="M1053" s="30" t="inlineStr">
        <is>
          <t>MANISH KATARIA, VICE CONSUL</t>
        </is>
      </c>
      <c r="N1053" s="30" t="n"/>
    </row>
    <row r="1054">
      <c r="A1054" s="4">
        <f>Sheet1!A1054 &amp; "/" &amp; "2025"</f>
        <v/>
      </c>
      <c r="B1054" s="5">
        <f>Sheet1!E1054</f>
        <v/>
      </c>
      <c r="C1054" s="6">
        <f>UPPER(Sheet1!B1054)</f>
        <v/>
      </c>
      <c r="D1054" s="7">
        <f>IF(Sheet1!F1054="F","FEMALE","MALE")</f>
        <v/>
      </c>
      <c r="E1054" s="6">
        <f>UPPER(Sheet1!G1054)</f>
        <v/>
      </c>
      <c r="F1054" s="6">
        <f>UPPER(Sheet1!H1054)</f>
        <v/>
      </c>
      <c r="G1054" s="5">
        <f>TEXT(Sheet1!C1054,"dd/mm/yyyy") &amp; "," &amp; Sheet1!D1054</f>
        <v/>
      </c>
      <c r="H1054" s="38">
        <f>UPPER(Sheet1!J1054 &amp; "," &amp; Sheet1!K1054 &amp; "," &amp; Sheet1!L1054)</f>
        <v/>
      </c>
      <c r="I1054" s="45">
        <f>Sheet1!I1054</f>
        <v/>
      </c>
      <c r="J1054" s="5">
        <f>Sheet1!M1054 &amp; "," &amp; TEXT(Sheet1!N1054,"dd/mm/yy")</f>
        <v/>
      </c>
      <c r="K1054" s="5" t="inlineStr">
        <is>
          <t>PRINTED</t>
        </is>
      </c>
      <c r="L1054" t="inlineStr">
        <is>
          <t>25/03/2026</t>
        </is>
      </c>
      <c r="M1054" s="30" t="inlineStr">
        <is>
          <t>MANISH KATARIA, VICE CONSUL</t>
        </is>
      </c>
      <c r="N1054" s="30" t="n"/>
    </row>
    <row r="1055">
      <c r="A1055" s="4">
        <f>Sheet1!A1055 &amp; "/" &amp; "2025"</f>
        <v/>
      </c>
      <c r="B1055" s="5">
        <f>Sheet1!E1055</f>
        <v/>
      </c>
      <c r="C1055" s="6">
        <f>UPPER(Sheet1!B1055)</f>
        <v/>
      </c>
      <c r="D1055" s="7">
        <f>IF(Sheet1!F1055="F","FEMALE","MALE")</f>
        <v/>
      </c>
      <c r="E1055" s="6">
        <f>UPPER(Sheet1!G1055)</f>
        <v/>
      </c>
      <c r="F1055" s="6">
        <f>UPPER(Sheet1!H1055)</f>
        <v/>
      </c>
      <c r="G1055" s="5">
        <f>TEXT(Sheet1!C1055,"dd/mm/yyyy") &amp; "," &amp; Sheet1!D1055</f>
        <v/>
      </c>
      <c r="H1055" s="38">
        <f>UPPER(Sheet1!J1055 &amp; "," &amp; Sheet1!K1055 &amp; "," &amp; Sheet1!L1055)</f>
        <v/>
      </c>
      <c r="I1055" s="45">
        <f>Sheet1!I1055</f>
        <v/>
      </c>
      <c r="J1055" s="5">
        <f>Sheet1!M1055 &amp; "," &amp; TEXT(Sheet1!N1055,"dd/mm/yy")</f>
        <v/>
      </c>
      <c r="K1055" s="5" t="inlineStr">
        <is>
          <t>PRINTED</t>
        </is>
      </c>
      <c r="L1055" t="inlineStr">
        <is>
          <t>25/03/2026</t>
        </is>
      </c>
      <c r="M1055" s="30" t="inlineStr">
        <is>
          <t>MANISH KATARIA, VICE CONSUL</t>
        </is>
      </c>
      <c r="N1055" s="30" t="n"/>
    </row>
    <row r="1056">
      <c r="A1056" s="4">
        <f>Sheet1!A1056 &amp; "/" &amp; "2025"</f>
        <v/>
      </c>
      <c r="B1056" s="5">
        <f>Sheet1!E1056</f>
        <v/>
      </c>
      <c r="C1056" s="6">
        <f>UPPER(Sheet1!B1056)</f>
        <v/>
      </c>
      <c r="D1056" s="7">
        <f>IF(Sheet1!F1056="F","FEMALE","MALE")</f>
        <v/>
      </c>
      <c r="E1056" s="6">
        <f>UPPER(Sheet1!G1056)</f>
        <v/>
      </c>
      <c r="F1056" s="6">
        <f>UPPER(Sheet1!H1056)</f>
        <v/>
      </c>
      <c r="G1056" s="5">
        <f>TEXT(Sheet1!C1056,"dd/mm/yyyy") &amp; "," &amp; Sheet1!D1056</f>
        <v/>
      </c>
      <c r="H1056" s="38">
        <f>UPPER(Sheet1!J1056 &amp; "," &amp; Sheet1!K1056 &amp; "," &amp; Sheet1!L1056)</f>
        <v/>
      </c>
      <c r="I1056" s="45">
        <f>Sheet1!I1056</f>
        <v/>
      </c>
      <c r="J1056" s="5">
        <f>Sheet1!M1056 &amp; "," &amp; TEXT(Sheet1!N1056,"dd/mm/yy")</f>
        <v/>
      </c>
      <c r="K1056" s="5" t="inlineStr">
        <is>
          <t>PRINTED</t>
        </is>
      </c>
      <c r="L1056" t="inlineStr">
        <is>
          <t>25/03/2026</t>
        </is>
      </c>
      <c r="M1056" s="30" t="inlineStr">
        <is>
          <t>MANISH KATARIA, VICE CONSUL</t>
        </is>
      </c>
      <c r="N1056" s="30" t="n"/>
    </row>
    <row r="1057">
      <c r="A1057" s="4">
        <f>Sheet1!A1057 &amp; "/" &amp; "2025"</f>
        <v/>
      </c>
      <c r="B1057" s="5">
        <f>Sheet1!E1057</f>
        <v/>
      </c>
      <c r="C1057" s="6">
        <f>UPPER(Sheet1!B1057)</f>
        <v/>
      </c>
      <c r="D1057" s="7">
        <f>IF(Sheet1!F1057="F","FEMALE","MALE")</f>
        <v/>
      </c>
      <c r="E1057" s="6">
        <f>UPPER(Sheet1!G1057)</f>
        <v/>
      </c>
      <c r="F1057" s="6">
        <f>UPPER(Sheet1!H1057)</f>
        <v/>
      </c>
      <c r="G1057" s="5">
        <f>TEXT(Sheet1!C1057,"dd/mm/yyyy") &amp; "," &amp; Sheet1!D1057</f>
        <v/>
      </c>
      <c r="H1057" s="38">
        <f>UPPER(Sheet1!J1057 &amp; "," &amp; Sheet1!K1057 &amp; "," &amp; Sheet1!L1057)</f>
        <v/>
      </c>
      <c r="I1057" s="45">
        <f>Sheet1!I1057</f>
        <v/>
      </c>
      <c r="J1057" s="5">
        <f>Sheet1!M1057 &amp; "," &amp; TEXT(Sheet1!N1057,"dd/mm/yy")</f>
        <v/>
      </c>
      <c r="K1057" s="5" t="inlineStr">
        <is>
          <t>PRINTED</t>
        </is>
      </c>
      <c r="L1057" t="inlineStr">
        <is>
          <t>25/03/2026</t>
        </is>
      </c>
      <c r="M1057" s="30" t="inlineStr">
        <is>
          <t>MANISH KATARIA, VICE CONSUL</t>
        </is>
      </c>
      <c r="N1057" s="30" t="n"/>
    </row>
    <row r="1058">
      <c r="A1058" s="4">
        <f>Sheet1!A1058 &amp; "/" &amp; "2025"</f>
        <v/>
      </c>
      <c r="B1058" s="5">
        <f>Sheet1!E1058</f>
        <v/>
      </c>
      <c r="C1058" s="6">
        <f>UPPER(Sheet1!B1058)</f>
        <v/>
      </c>
      <c r="D1058" s="7">
        <f>IF(Sheet1!F1058="F","FEMALE","MALE")</f>
        <v/>
      </c>
      <c r="E1058" s="6">
        <f>UPPER(Sheet1!G1058)</f>
        <v/>
      </c>
      <c r="F1058" s="6">
        <f>UPPER(Sheet1!H1058)</f>
        <v/>
      </c>
      <c r="G1058" s="5">
        <f>TEXT(Sheet1!C1058,"dd/mm/yyyy") &amp; "," &amp; Sheet1!D1058</f>
        <v/>
      </c>
      <c r="H1058" s="38">
        <f>UPPER(Sheet1!J1058 &amp; "," &amp; Sheet1!K1058 &amp; "," &amp; Sheet1!L1058)</f>
        <v/>
      </c>
      <c r="I1058" s="45">
        <f>Sheet1!I1058</f>
        <v/>
      </c>
      <c r="J1058" s="5">
        <f>Sheet1!M1058 &amp; "," &amp; TEXT(Sheet1!N1058,"dd/mm/yy")</f>
        <v/>
      </c>
      <c r="K1058" s="5" t="inlineStr">
        <is>
          <t>PRINTED</t>
        </is>
      </c>
      <c r="L1058" t="inlineStr">
        <is>
          <t>25/03/2026</t>
        </is>
      </c>
      <c r="M1058" s="30" t="inlineStr">
        <is>
          <t>MANISH KATARIA, VICE CONSUL</t>
        </is>
      </c>
      <c r="N1058" s="30" t="n"/>
    </row>
    <row r="1059">
      <c r="A1059" s="4">
        <f>Sheet1!A1059 &amp; "/" &amp; "2025"</f>
        <v/>
      </c>
      <c r="B1059" s="5">
        <f>Sheet1!E1059</f>
        <v/>
      </c>
      <c r="C1059" s="6">
        <f>UPPER(Sheet1!B1059)</f>
        <v/>
      </c>
      <c r="D1059" s="7">
        <f>IF(Sheet1!F1059="F","FEMALE","MALE")</f>
        <v/>
      </c>
      <c r="E1059" s="6">
        <f>UPPER(Sheet1!G1059)</f>
        <v/>
      </c>
      <c r="F1059" s="6">
        <f>UPPER(Sheet1!H1059)</f>
        <v/>
      </c>
      <c r="G1059" s="5">
        <f>TEXT(Sheet1!C1059,"dd/mm/yyyy") &amp; "," &amp; Sheet1!D1059</f>
        <v/>
      </c>
      <c r="H1059" s="38">
        <f>UPPER(Sheet1!J1059 &amp; "," &amp; Sheet1!K1059 &amp; "," &amp; Sheet1!L1059)</f>
        <v/>
      </c>
      <c r="I1059" s="45">
        <f>Sheet1!I1059</f>
        <v/>
      </c>
      <c r="J1059" s="5">
        <f>Sheet1!M1059 &amp; "," &amp; TEXT(Sheet1!N1059,"dd/mm/yy")</f>
        <v/>
      </c>
      <c r="K1059" s="5" t="inlineStr">
        <is>
          <t>PRINTED</t>
        </is>
      </c>
      <c r="L1059" t="inlineStr">
        <is>
          <t>25/03/2026</t>
        </is>
      </c>
      <c r="M1059" s="30" t="inlineStr">
        <is>
          <t>MANISH KATARIA, VICE CONSUL</t>
        </is>
      </c>
      <c r="N1059" s="30" t="n"/>
    </row>
    <row r="1060">
      <c r="A1060" s="4">
        <f>Sheet1!A1060 &amp; "/" &amp; "2025"</f>
        <v/>
      </c>
      <c r="B1060" s="5">
        <f>Sheet1!E1060</f>
        <v/>
      </c>
      <c r="C1060" s="6">
        <f>UPPER(Sheet1!B1060)</f>
        <v/>
      </c>
      <c r="D1060" s="7">
        <f>IF(Sheet1!F1060="F","FEMALE","MALE")</f>
        <v/>
      </c>
      <c r="E1060" s="6">
        <f>UPPER(Sheet1!G1060)</f>
        <v/>
      </c>
      <c r="F1060" s="6">
        <f>UPPER(Sheet1!H1060)</f>
        <v/>
      </c>
      <c r="G1060" s="5">
        <f>TEXT(Sheet1!C1060,"dd/mm/yyyy") &amp; "," &amp; Sheet1!D1060</f>
        <v/>
      </c>
      <c r="H1060" s="38">
        <f>UPPER(Sheet1!J1060 &amp; "," &amp; Sheet1!K1060 &amp; "," &amp; Sheet1!L1060)</f>
        <v/>
      </c>
      <c r="I1060" s="45">
        <f>Sheet1!I1060</f>
        <v/>
      </c>
      <c r="J1060" s="5">
        <f>Sheet1!M1060 &amp; "," &amp; TEXT(Sheet1!N1060,"dd/mm/yy")</f>
        <v/>
      </c>
      <c r="K1060" s="5" t="inlineStr">
        <is>
          <t>PRINTED</t>
        </is>
      </c>
      <c r="L1060" t="inlineStr">
        <is>
          <t>25/03/2026</t>
        </is>
      </c>
      <c r="M1060" s="30" t="inlineStr">
        <is>
          <t>MANISH KATARIA, VICE CONSUL</t>
        </is>
      </c>
      <c r="N1060" s="30" t="n"/>
    </row>
    <row r="1061">
      <c r="A1061" s="4">
        <f>Sheet1!A1061 &amp; "/" &amp; "2025"</f>
        <v/>
      </c>
      <c r="B1061" s="5">
        <f>Sheet1!E1061</f>
        <v/>
      </c>
      <c r="C1061" s="6">
        <f>UPPER(Sheet1!B1061)</f>
        <v/>
      </c>
      <c r="D1061" s="7">
        <f>IF(Sheet1!F1061="F","FEMALE","MALE")</f>
        <v/>
      </c>
      <c r="E1061" s="6">
        <f>UPPER(Sheet1!G1061)</f>
        <v/>
      </c>
      <c r="F1061" s="6">
        <f>UPPER(Sheet1!H1061)</f>
        <v/>
      </c>
      <c r="G1061" s="5">
        <f>TEXT(Sheet1!C1061,"dd/mm/yyyy") &amp; "," &amp; Sheet1!D1061</f>
        <v/>
      </c>
      <c r="H1061" s="38">
        <f>UPPER(Sheet1!J1061 &amp; "," &amp; Sheet1!K1061 &amp; "," &amp; Sheet1!L1061)</f>
        <v/>
      </c>
      <c r="I1061" s="45">
        <f>Sheet1!I1061</f>
        <v/>
      </c>
      <c r="J1061" s="5">
        <f>Sheet1!M1061 &amp; "," &amp; TEXT(Sheet1!N1061,"dd/mm/yy")</f>
        <v/>
      </c>
      <c r="K1061" s="5" t="inlineStr">
        <is>
          <t>PRINTED</t>
        </is>
      </c>
      <c r="L1061" t="inlineStr">
        <is>
          <t>25/03/2026</t>
        </is>
      </c>
      <c r="M1061" s="30" t="inlineStr">
        <is>
          <t>MANISH KATARIA, VICE CONSUL</t>
        </is>
      </c>
      <c r="N1061" s="30" t="n"/>
    </row>
    <row r="1062">
      <c r="A1062" s="4">
        <f>Sheet1!A1062 &amp; "/" &amp; "2025"</f>
        <v/>
      </c>
      <c r="B1062" s="5">
        <f>Sheet1!E1062</f>
        <v/>
      </c>
      <c r="C1062" s="6">
        <f>UPPER(Sheet1!B1062)</f>
        <v/>
      </c>
      <c r="D1062" s="7">
        <f>IF(Sheet1!F1062="F","FEMALE","MALE")</f>
        <v/>
      </c>
      <c r="E1062" s="6">
        <f>UPPER(Sheet1!G1062)</f>
        <v/>
      </c>
      <c r="F1062" s="6">
        <f>UPPER(Sheet1!H1062)</f>
        <v/>
      </c>
      <c r="G1062" s="5">
        <f>TEXT(Sheet1!C1062,"dd/mm/yyyy") &amp; "," &amp; Sheet1!D1062</f>
        <v/>
      </c>
      <c r="H1062" s="38">
        <f>UPPER(Sheet1!J1062 &amp; "," &amp; Sheet1!K1062 &amp; "," &amp; Sheet1!L1062)</f>
        <v/>
      </c>
      <c r="I1062" s="45">
        <f>Sheet1!I1062</f>
        <v/>
      </c>
      <c r="J1062" s="5">
        <f>Sheet1!M1062 &amp; "," &amp; TEXT(Sheet1!N1062,"dd/mm/yy")</f>
        <v/>
      </c>
      <c r="K1062" s="5" t="inlineStr">
        <is>
          <t>PRINTED</t>
        </is>
      </c>
      <c r="L1062" t="inlineStr">
        <is>
          <t>25/03/2026</t>
        </is>
      </c>
      <c r="M1062" s="30" t="inlineStr">
        <is>
          <t>MANISH KATARIA, VICE CONSUL</t>
        </is>
      </c>
      <c r="N1062" s="30" t="n"/>
    </row>
    <row r="1063">
      <c r="A1063" s="4">
        <f>Sheet1!A1063 &amp; "/" &amp; "2025"</f>
        <v/>
      </c>
      <c r="B1063" s="5">
        <f>Sheet1!E1063</f>
        <v/>
      </c>
      <c r="C1063" s="6">
        <f>UPPER(Sheet1!B1063)</f>
        <v/>
      </c>
      <c r="D1063" s="7">
        <f>IF(Sheet1!F1063="F","FEMALE","MALE")</f>
        <v/>
      </c>
      <c r="E1063" s="6">
        <f>UPPER(Sheet1!G1063)</f>
        <v/>
      </c>
      <c r="F1063" s="6">
        <f>UPPER(Sheet1!H1063)</f>
        <v/>
      </c>
      <c r="G1063" s="5">
        <f>TEXT(Sheet1!C1063,"dd/mm/yyyy") &amp; "," &amp; Sheet1!D1063</f>
        <v/>
      </c>
      <c r="H1063" s="38">
        <f>UPPER(Sheet1!J1063 &amp; "," &amp; Sheet1!K1063 &amp; "," &amp; Sheet1!L1063)</f>
        <v/>
      </c>
      <c r="I1063" s="45">
        <f>Sheet1!I1063</f>
        <v/>
      </c>
      <c r="J1063" s="5">
        <f>Sheet1!M1063 &amp; "," &amp; TEXT(Sheet1!N1063,"dd/mm/yy")</f>
        <v/>
      </c>
      <c r="K1063" s="5" t="inlineStr">
        <is>
          <t>PRINTED</t>
        </is>
      </c>
      <c r="L1063" t="inlineStr">
        <is>
          <t>25/03/2026</t>
        </is>
      </c>
      <c r="M1063" s="30" t="inlineStr">
        <is>
          <t>MANISH KATARIA, VICE CONSUL</t>
        </is>
      </c>
      <c r="N1063" s="30" t="n"/>
    </row>
    <row r="1064">
      <c r="A1064" s="4">
        <f>Sheet1!A1064 &amp; "/" &amp; "2025"</f>
        <v/>
      </c>
      <c r="B1064" s="5">
        <f>Sheet1!E1064</f>
        <v/>
      </c>
      <c r="C1064" s="6">
        <f>UPPER(Sheet1!B1064)</f>
        <v/>
      </c>
      <c r="D1064" s="7">
        <f>IF(Sheet1!F1064="F","FEMALE","MALE")</f>
        <v/>
      </c>
      <c r="E1064" s="6">
        <f>UPPER(Sheet1!G1064)</f>
        <v/>
      </c>
      <c r="F1064" s="6">
        <f>UPPER(Sheet1!H1064)</f>
        <v/>
      </c>
      <c r="G1064" s="5">
        <f>TEXT(Sheet1!C1064,"dd/mm/yyyy") &amp; "," &amp; Sheet1!D1064</f>
        <v/>
      </c>
      <c r="H1064" s="38">
        <f>UPPER(Sheet1!J1064 &amp; "," &amp; Sheet1!K1064 &amp; "," &amp; Sheet1!L1064)</f>
        <v/>
      </c>
      <c r="I1064" s="45">
        <f>Sheet1!I1064</f>
        <v/>
      </c>
      <c r="J1064" s="5">
        <f>Sheet1!M1064 &amp; "," &amp; TEXT(Sheet1!N1064,"dd/mm/yy")</f>
        <v/>
      </c>
      <c r="K1064" s="5" t="inlineStr">
        <is>
          <t>PRINTED</t>
        </is>
      </c>
      <c r="L1064" t="inlineStr">
        <is>
          <t>25/03/2026</t>
        </is>
      </c>
      <c r="M1064" s="30" t="inlineStr">
        <is>
          <t>MANISH KATARIA, VICE CONSUL</t>
        </is>
      </c>
      <c r="N1064" s="30" t="n"/>
    </row>
    <row r="1065">
      <c r="A1065" s="4">
        <f>Sheet1!A1065 &amp; "/" &amp; "2025"</f>
        <v/>
      </c>
      <c r="B1065" s="5">
        <f>Sheet1!E1065</f>
        <v/>
      </c>
      <c r="C1065" s="6">
        <f>UPPER(Sheet1!B1065)</f>
        <v/>
      </c>
      <c r="D1065" s="7">
        <f>IF(Sheet1!F1065="F","FEMALE","MALE")</f>
        <v/>
      </c>
      <c r="E1065" s="6">
        <f>UPPER(Sheet1!G1065)</f>
        <v/>
      </c>
      <c r="F1065" s="6">
        <f>UPPER(Sheet1!H1065)</f>
        <v/>
      </c>
      <c r="G1065" s="5">
        <f>TEXT(Sheet1!C1065,"dd/mm/yyyy") &amp; "," &amp; Sheet1!D1065</f>
        <v/>
      </c>
      <c r="H1065" s="38">
        <f>UPPER(Sheet1!J1065 &amp; "," &amp; Sheet1!K1065 &amp; "," &amp; Sheet1!L1065)</f>
        <v/>
      </c>
      <c r="I1065" s="45">
        <f>Sheet1!I1065</f>
        <v/>
      </c>
      <c r="J1065" s="5">
        <f>Sheet1!M1065 &amp; "," &amp; TEXT(Sheet1!N1065,"dd/mm/yy")</f>
        <v/>
      </c>
      <c r="K1065" s="5" t="inlineStr">
        <is>
          <t>PRINTED</t>
        </is>
      </c>
      <c r="L1065" t="inlineStr">
        <is>
          <t>25/03/2026</t>
        </is>
      </c>
      <c r="M1065" s="30" t="inlineStr">
        <is>
          <t>MANISH KATARIA, VICE CONSUL</t>
        </is>
      </c>
      <c r="N1065" s="30" t="n"/>
    </row>
    <row r="1066">
      <c r="A1066" s="4">
        <f>Sheet1!A1066 &amp; "/" &amp; "2025"</f>
        <v/>
      </c>
      <c r="B1066" s="5">
        <f>Sheet1!E1066</f>
        <v/>
      </c>
      <c r="C1066" s="6">
        <f>UPPER(Sheet1!B1066)</f>
        <v/>
      </c>
      <c r="D1066" s="7">
        <f>IF(Sheet1!F1066="F","FEMALE","MALE")</f>
        <v/>
      </c>
      <c r="E1066" s="6">
        <f>UPPER(Sheet1!G1066)</f>
        <v/>
      </c>
      <c r="F1066" s="6">
        <f>UPPER(Sheet1!H1066)</f>
        <v/>
      </c>
      <c r="G1066" s="5">
        <f>TEXT(Sheet1!C1066,"dd/mm/yyyy") &amp; "," &amp; Sheet1!D1066</f>
        <v/>
      </c>
      <c r="H1066" s="38">
        <f>UPPER(Sheet1!J1066 &amp; "," &amp; Sheet1!K1066 &amp; "," &amp; Sheet1!L1066)</f>
        <v/>
      </c>
      <c r="I1066" s="45">
        <f>Sheet1!I1066</f>
        <v/>
      </c>
      <c r="J1066" s="5">
        <f>Sheet1!M1066 &amp; "," &amp; TEXT(Sheet1!N1066,"dd/mm/yy")</f>
        <v/>
      </c>
      <c r="K1066" s="5" t="inlineStr">
        <is>
          <t>PRINTED</t>
        </is>
      </c>
      <c r="L1066" t="inlineStr">
        <is>
          <t>25/03/2026</t>
        </is>
      </c>
      <c r="M1066" s="30" t="inlineStr">
        <is>
          <t>MANISH KATARIA, VICE CONSUL</t>
        </is>
      </c>
      <c r="N1066" s="30" t="n"/>
    </row>
    <row r="1067">
      <c r="A1067" s="4">
        <f>Sheet1!A1067 &amp; "/" &amp; "2025"</f>
        <v/>
      </c>
      <c r="B1067" s="5">
        <f>Sheet1!E1067</f>
        <v/>
      </c>
      <c r="C1067" s="6">
        <f>UPPER(Sheet1!B1067)</f>
        <v/>
      </c>
      <c r="D1067" s="7">
        <f>IF(Sheet1!F1067="F","FEMALE","MALE")</f>
        <v/>
      </c>
      <c r="E1067" s="6">
        <f>UPPER(Sheet1!G1067)</f>
        <v/>
      </c>
      <c r="F1067" s="6">
        <f>UPPER(Sheet1!H1067)</f>
        <v/>
      </c>
      <c r="G1067" s="5">
        <f>TEXT(Sheet1!C1067,"dd/mm/yyyy") &amp; "," &amp; Sheet1!D1067</f>
        <v/>
      </c>
      <c r="H1067" s="38">
        <f>UPPER(Sheet1!J1067 &amp; "," &amp; Sheet1!K1067 &amp; "," &amp; Sheet1!L1067)</f>
        <v/>
      </c>
      <c r="I1067" s="45">
        <f>Sheet1!I1067</f>
        <v/>
      </c>
      <c r="J1067" s="5">
        <f>Sheet1!M1067 &amp; "," &amp; TEXT(Sheet1!N1067,"dd/mm/yy")</f>
        <v/>
      </c>
      <c r="K1067" s="5" t="inlineStr">
        <is>
          <t>PRINTED</t>
        </is>
      </c>
      <c r="L1067" t="inlineStr">
        <is>
          <t>25/03/2026</t>
        </is>
      </c>
      <c r="M1067" s="30" t="inlineStr">
        <is>
          <t>MANISH KATARIA, VICE CONSUL</t>
        </is>
      </c>
      <c r="N1067" s="30" t="n"/>
    </row>
    <row r="1068">
      <c r="A1068" s="4">
        <f>Sheet1!A1068 &amp; "/" &amp; "2025"</f>
        <v/>
      </c>
      <c r="B1068" s="5">
        <f>Sheet1!E1068</f>
        <v/>
      </c>
      <c r="C1068" s="6">
        <f>UPPER(Sheet1!B1068)</f>
        <v/>
      </c>
      <c r="D1068" s="7">
        <f>IF(Sheet1!F1068="F","FEMALE","MALE")</f>
        <v/>
      </c>
      <c r="E1068" s="6">
        <f>UPPER(Sheet1!G1068)</f>
        <v/>
      </c>
      <c r="F1068" s="6">
        <f>UPPER(Sheet1!H1068)</f>
        <v/>
      </c>
      <c r="G1068" s="5">
        <f>TEXT(Sheet1!C1068,"dd/mm/yyyy") &amp; "," &amp; Sheet1!D1068</f>
        <v/>
      </c>
      <c r="H1068" s="38">
        <f>UPPER(Sheet1!J1068 &amp; "," &amp; Sheet1!K1068 &amp; "," &amp; Sheet1!L1068)</f>
        <v/>
      </c>
      <c r="I1068" s="45">
        <f>Sheet1!I1068</f>
        <v/>
      </c>
      <c r="J1068" s="5">
        <f>Sheet1!M1068 &amp; "," &amp; TEXT(Sheet1!N1068,"dd/mm/yy")</f>
        <v/>
      </c>
      <c r="K1068" s="5" t="inlineStr">
        <is>
          <t>PRINTED</t>
        </is>
      </c>
      <c r="L1068" t="inlineStr">
        <is>
          <t>25/03/2026</t>
        </is>
      </c>
      <c r="M1068" s="30" t="inlineStr">
        <is>
          <t>MANISH KATARIA, VICE CONSUL</t>
        </is>
      </c>
      <c r="N1068" s="30" t="n"/>
    </row>
    <row r="1069">
      <c r="A1069" s="4">
        <f>Sheet1!A1069 &amp; "/" &amp; "2025"</f>
        <v/>
      </c>
      <c r="B1069" s="5">
        <f>Sheet1!E1069</f>
        <v/>
      </c>
      <c r="C1069" s="6">
        <f>UPPER(Sheet1!B1069)</f>
        <v/>
      </c>
      <c r="D1069" s="7">
        <f>IF(Sheet1!F1069="F","FEMALE","MALE")</f>
        <v/>
      </c>
      <c r="E1069" s="6">
        <f>UPPER(Sheet1!G1069)</f>
        <v/>
      </c>
      <c r="F1069" s="6">
        <f>UPPER(Sheet1!H1069)</f>
        <v/>
      </c>
      <c r="G1069" s="5">
        <f>TEXT(Sheet1!C1069,"dd/mm/yyyy") &amp; "," &amp; Sheet1!D1069</f>
        <v/>
      </c>
      <c r="H1069" s="38">
        <f>UPPER(Sheet1!J1069 &amp; "," &amp; Sheet1!K1069 &amp; "," &amp; Sheet1!L1069)</f>
        <v/>
      </c>
      <c r="I1069" s="45">
        <f>Sheet1!I1069</f>
        <v/>
      </c>
      <c r="J1069" s="5">
        <f>Sheet1!M1069 &amp; "," &amp; TEXT(Sheet1!N1069,"dd/mm/yy")</f>
        <v/>
      </c>
      <c r="K1069" s="5" t="inlineStr">
        <is>
          <t>PRINTED</t>
        </is>
      </c>
      <c r="L1069" t="inlineStr">
        <is>
          <t>25/03/2026</t>
        </is>
      </c>
      <c r="M1069" s="30" t="inlineStr">
        <is>
          <t>MANISH KATARIA, VICE CONSUL</t>
        </is>
      </c>
      <c r="N1069" s="30" t="n"/>
    </row>
    <row r="1070">
      <c r="A1070" s="4">
        <f>Sheet1!A1070 &amp; "/" &amp; "2025"</f>
        <v/>
      </c>
      <c r="B1070" s="5">
        <f>Sheet1!E1070</f>
        <v/>
      </c>
      <c r="C1070" s="6">
        <f>UPPER(Sheet1!B1070)</f>
        <v/>
      </c>
      <c r="D1070" s="7">
        <f>IF(Sheet1!F1070="F","FEMALE","MALE")</f>
        <v/>
      </c>
      <c r="E1070" s="6">
        <f>UPPER(Sheet1!G1070)</f>
        <v/>
      </c>
      <c r="F1070" s="6">
        <f>UPPER(Sheet1!H1070)</f>
        <v/>
      </c>
      <c r="G1070" s="5">
        <f>TEXT(Sheet1!C1070,"dd/mm/yyyy") &amp; "," &amp; Sheet1!D1070</f>
        <v/>
      </c>
      <c r="H1070" s="38">
        <f>UPPER(Sheet1!J1070 &amp; "," &amp; Sheet1!K1070 &amp; "," &amp; Sheet1!L1070)</f>
        <v/>
      </c>
      <c r="I1070" s="45">
        <f>Sheet1!I1070</f>
        <v/>
      </c>
      <c r="J1070" s="5">
        <f>Sheet1!M1070 &amp; "," &amp; TEXT(Sheet1!N1070,"dd/mm/yy")</f>
        <v/>
      </c>
      <c r="K1070" s="5" t="inlineStr">
        <is>
          <t>PRINTED</t>
        </is>
      </c>
      <c r="L1070" t="inlineStr">
        <is>
          <t>25/03/2026</t>
        </is>
      </c>
      <c r="M1070" s="30" t="inlineStr">
        <is>
          <t>MANISH KATARIA, VICE CONSUL</t>
        </is>
      </c>
      <c r="N1070" s="30" t="n"/>
    </row>
    <row r="1071">
      <c r="A1071" s="4">
        <f>Sheet1!A1071 &amp; "/" &amp; "2025"</f>
        <v/>
      </c>
      <c r="B1071" s="5">
        <f>Sheet1!E1071</f>
        <v/>
      </c>
      <c r="C1071" s="6">
        <f>UPPER(Sheet1!B1071)</f>
        <v/>
      </c>
      <c r="D1071" s="7">
        <f>IF(Sheet1!F1071="F","FEMALE","MALE")</f>
        <v/>
      </c>
      <c r="E1071" s="6">
        <f>UPPER(Sheet1!G1071)</f>
        <v/>
      </c>
      <c r="F1071" s="6">
        <f>UPPER(Sheet1!H1071)</f>
        <v/>
      </c>
      <c r="G1071" s="5">
        <f>TEXT(Sheet1!C1071,"dd/mm/yyyy") &amp; "," &amp; Sheet1!D1071</f>
        <v/>
      </c>
      <c r="H1071" s="38">
        <f>UPPER(Sheet1!J1071 &amp; "," &amp; Sheet1!K1071 &amp; "," &amp; Sheet1!L1071)</f>
        <v/>
      </c>
      <c r="I1071" s="45">
        <f>Sheet1!I1071</f>
        <v/>
      </c>
      <c r="J1071" s="5">
        <f>Sheet1!M1071 &amp; "," &amp; TEXT(Sheet1!N1071,"dd/mm/yy")</f>
        <v/>
      </c>
      <c r="K1071" s="5" t="inlineStr">
        <is>
          <t>PRINTED</t>
        </is>
      </c>
      <c r="L1071" t="inlineStr">
        <is>
          <t>25/03/2026</t>
        </is>
      </c>
      <c r="M1071" s="30" t="inlineStr">
        <is>
          <t>MANISH KATARIA, VICE CONSUL</t>
        </is>
      </c>
      <c r="N1071" s="30" t="n"/>
    </row>
    <row r="1072">
      <c r="A1072" s="4">
        <f>Sheet1!A1072 &amp; "/" &amp; "2025"</f>
        <v/>
      </c>
      <c r="B1072" s="5">
        <f>Sheet1!E1072</f>
        <v/>
      </c>
      <c r="C1072" s="6">
        <f>UPPER(Sheet1!B1072)</f>
        <v/>
      </c>
      <c r="D1072" s="7">
        <f>IF(Sheet1!F1072="F","FEMALE","MALE")</f>
        <v/>
      </c>
      <c r="E1072" s="6">
        <f>UPPER(Sheet1!G1072)</f>
        <v/>
      </c>
      <c r="F1072" s="6">
        <f>UPPER(Sheet1!H1072)</f>
        <v/>
      </c>
      <c r="G1072" s="5">
        <f>TEXT(Sheet1!C1072,"dd/mm/yyyy") &amp; "," &amp; Sheet1!D1072</f>
        <v/>
      </c>
      <c r="H1072" s="38">
        <f>UPPER(Sheet1!J1072 &amp; "," &amp; Sheet1!K1072 &amp; "," &amp; Sheet1!L1072)</f>
        <v/>
      </c>
      <c r="I1072" s="45">
        <f>Sheet1!I1072</f>
        <v/>
      </c>
      <c r="J1072" s="5">
        <f>Sheet1!M1072 &amp; "," &amp; TEXT(Sheet1!N1072,"dd/mm/yy")</f>
        <v/>
      </c>
      <c r="K1072" s="5" t="inlineStr">
        <is>
          <t>PRINTED</t>
        </is>
      </c>
      <c r="L1072" t="inlineStr">
        <is>
          <t>25/03/2026</t>
        </is>
      </c>
      <c r="M1072" s="30" t="inlineStr">
        <is>
          <t>MANISH KATARIA, VICE CONSUL</t>
        </is>
      </c>
      <c r="N1072" s="30" t="n"/>
    </row>
    <row r="1073">
      <c r="A1073" s="4">
        <f>Sheet1!A1073 &amp; "/" &amp; "2025"</f>
        <v/>
      </c>
      <c r="B1073" s="5">
        <f>Sheet1!E1073</f>
        <v/>
      </c>
      <c r="C1073" s="6">
        <f>UPPER(Sheet1!B1073)</f>
        <v/>
      </c>
      <c r="D1073" s="7">
        <f>IF(Sheet1!F1073="F","FEMALE","MALE")</f>
        <v/>
      </c>
      <c r="E1073" s="6">
        <f>UPPER(Sheet1!G1073)</f>
        <v/>
      </c>
      <c r="F1073" s="6">
        <f>UPPER(Sheet1!H1073)</f>
        <v/>
      </c>
      <c r="G1073" s="5">
        <f>TEXT(Sheet1!C1073,"dd/mm/yyyy") &amp; "," &amp; Sheet1!D1073</f>
        <v/>
      </c>
      <c r="H1073" s="38">
        <f>UPPER(Sheet1!J1073 &amp; "," &amp; Sheet1!K1073 &amp; "," &amp; Sheet1!L1073)</f>
        <v/>
      </c>
      <c r="I1073" s="45">
        <f>Sheet1!I1073</f>
        <v/>
      </c>
      <c r="J1073" s="5">
        <f>Sheet1!M1073 &amp; "," &amp; TEXT(Sheet1!N1073,"dd/mm/yy")</f>
        <v/>
      </c>
      <c r="K1073" s="5" t="inlineStr">
        <is>
          <t>PRINTED</t>
        </is>
      </c>
      <c r="L1073" t="inlineStr">
        <is>
          <t>25/03/2026</t>
        </is>
      </c>
      <c r="M1073" s="30" t="inlineStr">
        <is>
          <t>MANISH KATARIA, VICE CONSUL</t>
        </is>
      </c>
      <c r="N1073" s="30" t="n"/>
    </row>
    <row r="1074">
      <c r="A1074" s="4">
        <f>Sheet1!A1074 &amp; "/" &amp; "2025"</f>
        <v/>
      </c>
      <c r="B1074" s="5">
        <f>Sheet1!E1074</f>
        <v/>
      </c>
      <c r="C1074" s="6">
        <f>UPPER(Sheet1!B1074)</f>
        <v/>
      </c>
      <c r="D1074" s="7">
        <f>IF(Sheet1!F1074="F","FEMALE","MALE")</f>
        <v/>
      </c>
      <c r="E1074" s="6">
        <f>UPPER(Sheet1!G1074)</f>
        <v/>
      </c>
      <c r="F1074" s="6">
        <f>UPPER(Sheet1!H1074)</f>
        <v/>
      </c>
      <c r="G1074" s="5">
        <f>TEXT(Sheet1!C1074,"dd/mm/yyyy") &amp; "," &amp; Sheet1!D1074</f>
        <v/>
      </c>
      <c r="H1074" s="38">
        <f>UPPER(Sheet1!J1074 &amp; "," &amp; Sheet1!K1074 &amp; "," &amp; Sheet1!L1074)</f>
        <v/>
      </c>
      <c r="I1074" s="45">
        <f>Sheet1!I1074</f>
        <v/>
      </c>
      <c r="J1074" s="5">
        <f>Sheet1!M1074 &amp; "," &amp; TEXT(Sheet1!N1074,"dd/mm/yy")</f>
        <v/>
      </c>
      <c r="K1074" s="5" t="inlineStr">
        <is>
          <t>PRINTED</t>
        </is>
      </c>
      <c r="L1074" t="inlineStr">
        <is>
          <t>25/03/2026</t>
        </is>
      </c>
      <c r="M1074" s="30" t="inlineStr">
        <is>
          <t>MANISH KATARIA, VICE CONSUL</t>
        </is>
      </c>
      <c r="N1074" s="30" t="n"/>
    </row>
    <row r="1075">
      <c r="A1075" s="4">
        <f>Sheet1!A1075 &amp; "/" &amp; "2025"</f>
        <v/>
      </c>
      <c r="B1075" s="5">
        <f>Sheet1!E1075</f>
        <v/>
      </c>
      <c r="C1075" s="6">
        <f>UPPER(Sheet1!B1075)</f>
        <v/>
      </c>
      <c r="D1075" s="7">
        <f>IF(Sheet1!F1075="F","FEMALE","MALE")</f>
        <v/>
      </c>
      <c r="E1075" s="6">
        <f>UPPER(Sheet1!G1075)</f>
        <v/>
      </c>
      <c r="F1075" s="6">
        <f>UPPER(Sheet1!H1075)</f>
        <v/>
      </c>
      <c r="G1075" s="5">
        <f>TEXT(Sheet1!C1075,"dd/mm/yyyy") &amp; "," &amp; Sheet1!D1075</f>
        <v/>
      </c>
      <c r="H1075" s="38">
        <f>UPPER(Sheet1!J1075 &amp; "," &amp; Sheet1!K1075 &amp; "," &amp; Sheet1!L1075)</f>
        <v/>
      </c>
      <c r="I1075" s="45">
        <f>Sheet1!I1075</f>
        <v/>
      </c>
      <c r="J1075" s="5">
        <f>Sheet1!M1075 &amp; "," &amp; TEXT(Sheet1!N1075,"dd/mm/yy")</f>
        <v/>
      </c>
      <c r="K1075" s="5" t="inlineStr">
        <is>
          <t>PRINTED</t>
        </is>
      </c>
      <c r="L1075" t="inlineStr">
        <is>
          <t>25/03/2026</t>
        </is>
      </c>
      <c r="M1075" s="30" t="inlineStr">
        <is>
          <t>MANISH KATARIA, VICE CONSUL</t>
        </is>
      </c>
      <c r="N1075" s="30" t="n"/>
    </row>
    <row r="1076">
      <c r="A1076" s="4">
        <f>Sheet1!A1076 &amp; "/" &amp; "2025"</f>
        <v/>
      </c>
      <c r="B1076" s="5">
        <f>Sheet1!E1076</f>
        <v/>
      </c>
      <c r="C1076" s="6">
        <f>UPPER(Sheet1!B1076)</f>
        <v/>
      </c>
      <c r="D1076" s="7">
        <f>IF(Sheet1!F1076="F","FEMALE","MALE")</f>
        <v/>
      </c>
      <c r="E1076" s="6">
        <f>UPPER(Sheet1!G1076)</f>
        <v/>
      </c>
      <c r="F1076" s="6">
        <f>UPPER(Sheet1!H1076)</f>
        <v/>
      </c>
      <c r="G1076" s="5">
        <f>TEXT(Sheet1!C1076,"dd/mm/yyyy") &amp; "," &amp; Sheet1!D1076</f>
        <v/>
      </c>
      <c r="H1076" s="38">
        <f>UPPER(Sheet1!J1076 &amp; "," &amp; Sheet1!K1076 &amp; "," &amp; Sheet1!L1076)</f>
        <v/>
      </c>
      <c r="I1076" s="45">
        <f>Sheet1!I1076</f>
        <v/>
      </c>
      <c r="J1076" s="5">
        <f>Sheet1!M1076 &amp; "," &amp; TEXT(Sheet1!N1076,"dd/mm/yy")</f>
        <v/>
      </c>
      <c r="K1076" s="5" t="inlineStr">
        <is>
          <t>PRINTED</t>
        </is>
      </c>
      <c r="L1076" t="inlineStr">
        <is>
          <t>25/03/2026</t>
        </is>
      </c>
      <c r="M1076" s="30" t="inlineStr">
        <is>
          <t>MANISH KATARIA, VICE CONSUL</t>
        </is>
      </c>
      <c r="N1076" s="30" t="n"/>
    </row>
    <row r="1077">
      <c r="A1077" s="4">
        <f>Sheet1!A1077 &amp; "/" &amp; "2025"</f>
        <v/>
      </c>
      <c r="B1077" s="5">
        <f>Sheet1!E1077</f>
        <v/>
      </c>
      <c r="C1077" s="6">
        <f>UPPER(Sheet1!B1077)</f>
        <v/>
      </c>
      <c r="D1077" s="7">
        <f>IF(Sheet1!F1077="F","FEMALE","MALE")</f>
        <v/>
      </c>
      <c r="E1077" s="6">
        <f>UPPER(Sheet1!G1077)</f>
        <v/>
      </c>
      <c r="F1077" s="6">
        <f>UPPER(Sheet1!H1077)</f>
        <v/>
      </c>
      <c r="G1077" s="5">
        <f>TEXT(Sheet1!C1077,"dd/mm/yyyy") &amp; "," &amp; Sheet1!D1077</f>
        <v/>
      </c>
      <c r="H1077" s="38">
        <f>UPPER(Sheet1!J1077 &amp; "," &amp; Sheet1!K1077 &amp; "," &amp; Sheet1!L1077)</f>
        <v/>
      </c>
      <c r="I1077" s="45">
        <f>Sheet1!I1077</f>
        <v/>
      </c>
      <c r="J1077" s="5">
        <f>Sheet1!M1077 &amp; "," &amp; TEXT(Sheet1!N1077,"dd/mm/yy")</f>
        <v/>
      </c>
      <c r="K1077" s="5" t="inlineStr">
        <is>
          <t>PRINTED</t>
        </is>
      </c>
      <c r="L1077" t="inlineStr">
        <is>
          <t>25/03/2026</t>
        </is>
      </c>
      <c r="M1077" s="30" t="inlineStr">
        <is>
          <t>MANISH KATARIA, VICE CONSUL</t>
        </is>
      </c>
      <c r="N1077" s="30" t="n"/>
    </row>
    <row r="1078">
      <c r="A1078" s="4">
        <f>Sheet1!A1078 &amp; "/" &amp; "2025"</f>
        <v/>
      </c>
      <c r="B1078" s="5">
        <f>Sheet1!E1078</f>
        <v/>
      </c>
      <c r="C1078" s="6">
        <f>UPPER(Sheet1!B1078)</f>
        <v/>
      </c>
      <c r="D1078" s="7">
        <f>IF(Sheet1!F1078="F","FEMALE","MALE")</f>
        <v/>
      </c>
      <c r="E1078" s="6">
        <f>UPPER(Sheet1!G1078)</f>
        <v/>
      </c>
      <c r="F1078" s="6">
        <f>UPPER(Sheet1!H1078)</f>
        <v/>
      </c>
      <c r="G1078" s="5">
        <f>TEXT(Sheet1!C1078,"dd/mm/yyyy") &amp; "," &amp; Sheet1!D1078</f>
        <v/>
      </c>
      <c r="H1078" s="38">
        <f>UPPER(Sheet1!J1078 &amp; "," &amp; Sheet1!K1078 &amp; "," &amp; Sheet1!L1078)</f>
        <v/>
      </c>
      <c r="I1078" s="45">
        <f>Sheet1!I1078</f>
        <v/>
      </c>
      <c r="J1078" s="5">
        <f>Sheet1!M1078 &amp; "," &amp; TEXT(Sheet1!N1078,"dd/mm/yy")</f>
        <v/>
      </c>
      <c r="K1078" s="5" t="inlineStr">
        <is>
          <t>PRINTED</t>
        </is>
      </c>
      <c r="L1078" t="inlineStr">
        <is>
          <t>25/03/2026</t>
        </is>
      </c>
      <c r="M1078" s="30" t="inlineStr">
        <is>
          <t>MANISH KATARIA, VICE CONSUL</t>
        </is>
      </c>
      <c r="N1078" s="30" t="n"/>
    </row>
    <row r="1079">
      <c r="A1079" s="4">
        <f>Sheet1!A1079 &amp; "/" &amp; "2025"</f>
        <v/>
      </c>
      <c r="B1079" s="5">
        <f>Sheet1!E1079</f>
        <v/>
      </c>
      <c r="C1079" s="6">
        <f>UPPER(Sheet1!B1079)</f>
        <v/>
      </c>
      <c r="D1079" s="7">
        <f>IF(Sheet1!F1079="F","FEMALE","MALE")</f>
        <v/>
      </c>
      <c r="E1079" s="6">
        <f>UPPER(Sheet1!G1079)</f>
        <v/>
      </c>
      <c r="F1079" s="6">
        <f>UPPER(Sheet1!H1079)</f>
        <v/>
      </c>
      <c r="G1079" s="5">
        <f>TEXT(Sheet1!C1079,"dd/mm/yyyy") &amp; "," &amp; Sheet1!D1079</f>
        <v/>
      </c>
      <c r="H1079" s="38">
        <f>UPPER(Sheet1!J1079 &amp; "," &amp; Sheet1!K1079 &amp; "," &amp; Sheet1!L1079)</f>
        <v/>
      </c>
      <c r="I1079" s="45">
        <f>Sheet1!I1079</f>
        <v/>
      </c>
      <c r="J1079" s="5">
        <f>Sheet1!M1079 &amp; "," &amp; TEXT(Sheet1!N1079,"dd/mm/yy")</f>
        <v/>
      </c>
      <c r="K1079" s="5" t="inlineStr">
        <is>
          <t>PRINTED</t>
        </is>
      </c>
      <c r="L1079" t="inlineStr">
        <is>
          <t>25/03/2026</t>
        </is>
      </c>
      <c r="M1079" s="30" t="inlineStr">
        <is>
          <t>MANISH KATARIA, VICE CONSUL</t>
        </is>
      </c>
      <c r="N1079" s="30" t="n"/>
    </row>
    <row r="1080">
      <c r="A1080" s="4">
        <f>Sheet1!A1080 &amp; "/" &amp; "2025"</f>
        <v/>
      </c>
      <c r="B1080" s="5">
        <f>Sheet1!E1080</f>
        <v/>
      </c>
      <c r="C1080" s="6">
        <f>UPPER(Sheet1!B1080)</f>
        <v/>
      </c>
      <c r="D1080" s="7">
        <f>IF(Sheet1!F1080="F","FEMALE","MALE")</f>
        <v/>
      </c>
      <c r="E1080" s="6">
        <f>UPPER(Sheet1!G1080)</f>
        <v/>
      </c>
      <c r="F1080" s="6">
        <f>UPPER(Sheet1!H1080)</f>
        <v/>
      </c>
      <c r="G1080" s="5">
        <f>TEXT(Sheet1!C1080,"dd/mm/yyyy") &amp; "," &amp; Sheet1!D1080</f>
        <v/>
      </c>
      <c r="H1080" s="38">
        <f>UPPER(Sheet1!J1080 &amp; "," &amp; Sheet1!K1080 &amp; "," &amp; Sheet1!L1080)</f>
        <v/>
      </c>
      <c r="I1080" s="45">
        <f>Sheet1!I1080</f>
        <v/>
      </c>
      <c r="J1080" s="5">
        <f>Sheet1!M1080 &amp; "," &amp; TEXT(Sheet1!N1080,"dd/mm/yy")</f>
        <v/>
      </c>
      <c r="K1080" s="5" t="inlineStr">
        <is>
          <t>PRINTED</t>
        </is>
      </c>
      <c r="L1080" t="inlineStr">
        <is>
          <t>25/03/2026</t>
        </is>
      </c>
      <c r="M1080" s="30" t="inlineStr">
        <is>
          <t>MANISH KATARIA, VICE CONSUL</t>
        </is>
      </c>
      <c r="N1080" s="30" t="n"/>
    </row>
    <row r="1081">
      <c r="A1081" s="4">
        <f>Sheet1!A1081 &amp; "/" &amp; "2025"</f>
        <v/>
      </c>
      <c r="B1081" s="5">
        <f>Sheet1!E1081</f>
        <v/>
      </c>
      <c r="C1081" s="6">
        <f>UPPER(Sheet1!B1081)</f>
        <v/>
      </c>
      <c r="D1081" s="7">
        <f>IF(Sheet1!F1081="F","FEMALE","MALE")</f>
        <v/>
      </c>
      <c r="E1081" s="6">
        <f>UPPER(Sheet1!G1081)</f>
        <v/>
      </c>
      <c r="F1081" s="6">
        <f>UPPER(Sheet1!H1081)</f>
        <v/>
      </c>
      <c r="G1081" s="5">
        <f>TEXT(Sheet1!C1081,"dd/mm/yyyy") &amp; "," &amp; Sheet1!D1081</f>
        <v/>
      </c>
      <c r="H1081" s="38">
        <f>UPPER(Sheet1!J1081 &amp; "," &amp; Sheet1!K1081 &amp; "," &amp; Sheet1!L1081)</f>
        <v/>
      </c>
      <c r="I1081" s="45">
        <f>Sheet1!I1081</f>
        <v/>
      </c>
      <c r="J1081" s="5">
        <f>Sheet1!M1081 &amp; "," &amp; TEXT(Sheet1!N1081,"dd/mm/yy")</f>
        <v/>
      </c>
      <c r="K1081" s="5" t="inlineStr">
        <is>
          <t>PRINTED</t>
        </is>
      </c>
      <c r="L1081" t="inlineStr">
        <is>
          <t>25/03/2026</t>
        </is>
      </c>
      <c r="M1081" s="30" t="inlineStr">
        <is>
          <t>MANISH KATARIA, VICE CONSUL</t>
        </is>
      </c>
      <c r="N1081" s="30" t="n"/>
    </row>
    <row r="1082">
      <c r="A1082" s="4">
        <f>Sheet1!A1082 &amp; "/" &amp; "2025"</f>
        <v/>
      </c>
      <c r="B1082" s="5">
        <f>Sheet1!E1082</f>
        <v/>
      </c>
      <c r="C1082" s="6">
        <f>UPPER(Sheet1!B1082)</f>
        <v/>
      </c>
      <c r="D1082" s="7">
        <f>IF(Sheet1!F1082="F","FEMALE","MALE")</f>
        <v/>
      </c>
      <c r="E1082" s="6">
        <f>UPPER(Sheet1!G1082)</f>
        <v/>
      </c>
      <c r="F1082" s="6">
        <f>UPPER(Sheet1!H1082)</f>
        <v/>
      </c>
      <c r="G1082" s="5">
        <f>TEXT(Sheet1!C1082,"dd/mm/yyyy") &amp; "," &amp; Sheet1!D1082</f>
        <v/>
      </c>
      <c r="H1082" s="38">
        <f>UPPER(Sheet1!J1082 &amp; "," &amp; Sheet1!K1082 &amp; "," &amp; Sheet1!L1082)</f>
        <v/>
      </c>
      <c r="I1082" s="45">
        <f>Sheet1!I1082</f>
        <v/>
      </c>
      <c r="J1082" s="5">
        <f>Sheet1!M1082 &amp; "," &amp; TEXT(Sheet1!N1082,"dd/mm/yy")</f>
        <v/>
      </c>
      <c r="K1082" s="5" t="inlineStr">
        <is>
          <t>PRINTED</t>
        </is>
      </c>
      <c r="L1082" t="inlineStr">
        <is>
          <t>25/03/2026</t>
        </is>
      </c>
      <c r="M1082" s="30" t="inlineStr">
        <is>
          <t>MANISH KATARIA, VICE CONSUL</t>
        </is>
      </c>
      <c r="N1082" s="30" t="n"/>
    </row>
    <row r="1083">
      <c r="A1083" s="4">
        <f>Sheet1!A1083 &amp; "/" &amp; "2025"</f>
        <v/>
      </c>
      <c r="B1083" s="5">
        <f>Sheet1!E1083</f>
        <v/>
      </c>
      <c r="C1083" s="6">
        <f>UPPER(Sheet1!B1083)</f>
        <v/>
      </c>
      <c r="D1083" s="7">
        <f>IF(Sheet1!F1083="F","FEMALE","MALE")</f>
        <v/>
      </c>
      <c r="E1083" s="6">
        <f>UPPER(Sheet1!G1083)</f>
        <v/>
      </c>
      <c r="F1083" s="6">
        <f>UPPER(Sheet1!H1083)</f>
        <v/>
      </c>
      <c r="G1083" s="5">
        <f>TEXT(Sheet1!C1083,"dd/mm/yyyy") &amp; "," &amp; Sheet1!D1083</f>
        <v/>
      </c>
      <c r="H1083" s="38">
        <f>UPPER(Sheet1!J1083 &amp; "," &amp; Sheet1!K1083 &amp; "," &amp; Sheet1!L1083)</f>
        <v/>
      </c>
      <c r="I1083" s="45">
        <f>Sheet1!I1083</f>
        <v/>
      </c>
      <c r="J1083" s="5">
        <f>Sheet1!M1083 &amp; "," &amp; TEXT(Sheet1!N1083,"dd/mm/yy")</f>
        <v/>
      </c>
      <c r="K1083" s="5" t="inlineStr">
        <is>
          <t>PRINTED</t>
        </is>
      </c>
      <c r="L1083" t="inlineStr">
        <is>
          <t>25/03/2026</t>
        </is>
      </c>
      <c r="M1083" s="30" t="inlineStr">
        <is>
          <t>MANISH KATARIA, VICE CONSUL</t>
        </is>
      </c>
      <c r="N1083" s="30" t="n"/>
    </row>
    <row r="1084">
      <c r="A1084" s="4">
        <f>Sheet1!A1084 &amp; "/" &amp; "2025"</f>
        <v/>
      </c>
      <c r="B1084" s="5">
        <f>Sheet1!E1084</f>
        <v/>
      </c>
      <c r="C1084" s="6">
        <f>UPPER(Sheet1!B1084)</f>
        <v/>
      </c>
      <c r="D1084" s="7">
        <f>IF(Sheet1!F1084="F","FEMALE","MALE")</f>
        <v/>
      </c>
      <c r="E1084" s="6">
        <f>UPPER(Sheet1!G1084)</f>
        <v/>
      </c>
      <c r="F1084" s="6">
        <f>UPPER(Sheet1!H1084)</f>
        <v/>
      </c>
      <c r="G1084" s="5">
        <f>TEXT(Sheet1!C1084,"dd/mm/yyyy") &amp; "," &amp; Sheet1!D1084</f>
        <v/>
      </c>
      <c r="H1084" s="38">
        <f>UPPER(Sheet1!J1084 &amp; "," &amp; Sheet1!K1084 &amp; "," &amp; Sheet1!L1084)</f>
        <v/>
      </c>
      <c r="I1084" s="45">
        <f>Sheet1!I1084</f>
        <v/>
      </c>
      <c r="J1084" s="5">
        <f>Sheet1!M1084 &amp; "," &amp; TEXT(Sheet1!N1084,"dd/mm/yy")</f>
        <v/>
      </c>
      <c r="K1084" s="5" t="inlineStr">
        <is>
          <t>PRINTED</t>
        </is>
      </c>
      <c r="L1084" t="inlineStr">
        <is>
          <t>25/03/2026</t>
        </is>
      </c>
      <c r="M1084" s="30" t="inlineStr">
        <is>
          <t>MANISH KATARIA, VICE CONSUL</t>
        </is>
      </c>
      <c r="N1084" s="30" t="n"/>
    </row>
    <row r="1085">
      <c r="A1085" s="4">
        <f>Sheet1!A1085 &amp; "/" &amp; "2025"</f>
        <v/>
      </c>
      <c r="B1085" s="5">
        <f>Sheet1!E1085</f>
        <v/>
      </c>
      <c r="C1085" s="6">
        <f>UPPER(Sheet1!B1085)</f>
        <v/>
      </c>
      <c r="D1085" s="7">
        <f>IF(Sheet1!F1085="F","FEMALE","MALE")</f>
        <v/>
      </c>
      <c r="E1085" s="6">
        <f>UPPER(Sheet1!G1085)</f>
        <v/>
      </c>
      <c r="F1085" s="6">
        <f>UPPER(Sheet1!H1085)</f>
        <v/>
      </c>
      <c r="G1085" s="5">
        <f>TEXT(Sheet1!C1085,"dd/mm/yyyy") &amp; "," &amp; Sheet1!D1085</f>
        <v/>
      </c>
      <c r="H1085" s="38">
        <f>UPPER(Sheet1!J1085 &amp; "," &amp; Sheet1!K1085 &amp; "," &amp; Sheet1!L1085)</f>
        <v/>
      </c>
      <c r="I1085" s="45">
        <f>Sheet1!I1085</f>
        <v/>
      </c>
      <c r="J1085" s="5">
        <f>Sheet1!M1085 &amp; "," &amp; TEXT(Sheet1!N1085,"dd/mm/yy")</f>
        <v/>
      </c>
      <c r="K1085" s="5" t="inlineStr">
        <is>
          <t>PRINTED</t>
        </is>
      </c>
      <c r="L1085" t="inlineStr">
        <is>
          <t>25/03/2026</t>
        </is>
      </c>
      <c r="M1085" s="30" t="inlineStr">
        <is>
          <t>MANISH KATARIA, VICE CONSUL</t>
        </is>
      </c>
      <c r="N1085" s="30" t="n"/>
    </row>
    <row r="1086">
      <c r="A1086" s="4">
        <f>Sheet1!A1086 &amp; "/" &amp; "2025"</f>
        <v/>
      </c>
      <c r="B1086" s="5">
        <f>Sheet1!E1086</f>
        <v/>
      </c>
      <c r="C1086" s="6">
        <f>UPPER(Sheet1!B1086)</f>
        <v/>
      </c>
      <c r="D1086" s="7">
        <f>IF(Sheet1!F1086="F","FEMALE","MALE")</f>
        <v/>
      </c>
      <c r="E1086" s="6">
        <f>UPPER(Sheet1!G1086)</f>
        <v/>
      </c>
      <c r="F1086" s="6">
        <f>UPPER(Sheet1!H1086)</f>
        <v/>
      </c>
      <c r="G1086" s="5">
        <f>TEXT(Sheet1!C1086,"dd/mm/yyyy") &amp; "," &amp; Sheet1!D1086</f>
        <v/>
      </c>
      <c r="H1086" s="38">
        <f>UPPER(Sheet1!J1086 &amp; "," &amp; Sheet1!K1086 &amp; "," &amp; Sheet1!L1086)</f>
        <v/>
      </c>
      <c r="I1086" s="45">
        <f>Sheet1!I1086</f>
        <v/>
      </c>
      <c r="J1086" s="5">
        <f>Sheet1!M1086 &amp; "," &amp; TEXT(Sheet1!N1086,"dd/mm/yy")</f>
        <v/>
      </c>
      <c r="K1086" s="5" t="inlineStr">
        <is>
          <t>PRINTED</t>
        </is>
      </c>
      <c r="L1086" t="inlineStr">
        <is>
          <t>25/03/2026</t>
        </is>
      </c>
      <c r="M1086" s="30" t="inlineStr">
        <is>
          <t>MANISH KATARIA, VICE CONSUL</t>
        </is>
      </c>
      <c r="N1086" s="30" t="n"/>
    </row>
    <row r="1087">
      <c r="A1087" s="4">
        <f>Sheet1!A1087 &amp; "/" &amp; "2025"</f>
        <v/>
      </c>
      <c r="B1087" s="5">
        <f>Sheet1!E1087</f>
        <v/>
      </c>
      <c r="C1087" s="6">
        <f>UPPER(Sheet1!B1087)</f>
        <v/>
      </c>
      <c r="D1087" s="7">
        <f>IF(Sheet1!F1087="F","FEMALE","MALE")</f>
        <v/>
      </c>
      <c r="E1087" s="6">
        <f>UPPER(Sheet1!G1087)</f>
        <v/>
      </c>
      <c r="F1087" s="6">
        <f>UPPER(Sheet1!H1087)</f>
        <v/>
      </c>
      <c r="G1087" s="5">
        <f>TEXT(Sheet1!C1087,"dd/mm/yyyy") &amp; "," &amp; Sheet1!D1087</f>
        <v/>
      </c>
      <c r="H1087" s="38">
        <f>UPPER(Sheet1!J1087 &amp; "," &amp; Sheet1!K1087 &amp; "," &amp; Sheet1!L1087)</f>
        <v/>
      </c>
      <c r="I1087" s="45">
        <f>Sheet1!I1087</f>
        <v/>
      </c>
      <c r="J1087" s="5">
        <f>Sheet1!M1087 &amp; "," &amp; TEXT(Sheet1!N1087,"dd/mm/yy")</f>
        <v/>
      </c>
      <c r="K1087" s="5" t="inlineStr">
        <is>
          <t>PRINTED</t>
        </is>
      </c>
      <c r="L1087" t="inlineStr">
        <is>
          <t>25/03/2026</t>
        </is>
      </c>
      <c r="M1087" s="30" t="inlineStr">
        <is>
          <t>MANISH KATARIA, VICE CONSUL</t>
        </is>
      </c>
      <c r="N1087" s="30" t="n"/>
    </row>
    <row r="1088">
      <c r="A1088" s="4">
        <f>Sheet1!A1088 &amp; "/" &amp; "2025"</f>
        <v/>
      </c>
      <c r="B1088" s="5">
        <f>Sheet1!E1088</f>
        <v/>
      </c>
      <c r="C1088" s="6">
        <f>UPPER(Sheet1!B1088)</f>
        <v/>
      </c>
      <c r="D1088" s="7">
        <f>IF(Sheet1!F1088="F","FEMALE","MALE")</f>
        <v/>
      </c>
      <c r="E1088" s="6">
        <f>UPPER(Sheet1!G1088)</f>
        <v/>
      </c>
      <c r="F1088" s="6">
        <f>UPPER(Sheet1!H1088)</f>
        <v/>
      </c>
      <c r="G1088" s="5">
        <f>TEXT(Sheet1!C1088,"dd/mm/yyyy") &amp; "," &amp; Sheet1!D1088</f>
        <v/>
      </c>
      <c r="H1088" s="38">
        <f>UPPER(Sheet1!J1088 &amp; "," &amp; Sheet1!K1088 &amp; "," &amp; Sheet1!L1088)</f>
        <v/>
      </c>
      <c r="I1088" s="45">
        <f>Sheet1!I1088</f>
        <v/>
      </c>
      <c r="J1088" s="5">
        <f>Sheet1!M1088 &amp; "," &amp; TEXT(Sheet1!N1088,"dd/mm/yy")</f>
        <v/>
      </c>
      <c r="K1088" s="5" t="inlineStr">
        <is>
          <t>PRINTED</t>
        </is>
      </c>
      <c r="L1088" t="inlineStr">
        <is>
          <t>25/03/2026</t>
        </is>
      </c>
      <c r="M1088" s="30" t="inlineStr">
        <is>
          <t>MANISH KATARIA, VICE CONSUL</t>
        </is>
      </c>
      <c r="N1088" s="30" t="n"/>
    </row>
    <row r="1089">
      <c r="A1089" s="4">
        <f>Sheet1!A1089 &amp; "/" &amp; "2025"</f>
        <v/>
      </c>
      <c r="B1089" s="5">
        <f>Sheet1!E1089</f>
        <v/>
      </c>
      <c r="C1089" s="6">
        <f>UPPER(Sheet1!B1089)</f>
        <v/>
      </c>
      <c r="D1089" s="7">
        <f>IF(Sheet1!F1089="F","FEMALE","MALE")</f>
        <v/>
      </c>
      <c r="E1089" s="6">
        <f>UPPER(Sheet1!G1089)</f>
        <v/>
      </c>
      <c r="F1089" s="6">
        <f>UPPER(Sheet1!H1089)</f>
        <v/>
      </c>
      <c r="G1089" s="5">
        <f>TEXT(Sheet1!C1089,"dd/mm/yyyy") &amp; "," &amp; Sheet1!D1089</f>
        <v/>
      </c>
      <c r="H1089" s="38">
        <f>UPPER(Sheet1!J1089 &amp; "," &amp; Sheet1!K1089 &amp; "," &amp; Sheet1!L1089)</f>
        <v/>
      </c>
      <c r="I1089" s="45">
        <f>Sheet1!I1089</f>
        <v/>
      </c>
      <c r="J1089" s="5">
        <f>Sheet1!M1089 &amp; "," &amp; TEXT(Sheet1!N1089,"dd/mm/yy")</f>
        <v/>
      </c>
      <c r="K1089" s="5" t="inlineStr">
        <is>
          <t>PRINTED</t>
        </is>
      </c>
      <c r="L1089" t="inlineStr">
        <is>
          <t>25/03/2026</t>
        </is>
      </c>
      <c r="M1089" s="30" t="inlineStr">
        <is>
          <t>MANISH KATARIA, VICE CONSUL</t>
        </is>
      </c>
      <c r="N1089" s="30" t="n"/>
    </row>
    <row r="1090">
      <c r="A1090" s="4">
        <f>Sheet1!A1090 &amp; "/" &amp; "2025"</f>
        <v/>
      </c>
      <c r="B1090" s="5">
        <f>Sheet1!E1090</f>
        <v/>
      </c>
      <c r="C1090" s="6">
        <f>UPPER(Sheet1!B1090)</f>
        <v/>
      </c>
      <c r="D1090" s="7">
        <f>IF(Sheet1!F1090="F","FEMALE","MALE")</f>
        <v/>
      </c>
      <c r="E1090" s="6">
        <f>UPPER(Sheet1!G1090)</f>
        <v/>
      </c>
      <c r="F1090" s="6">
        <f>UPPER(Sheet1!H1090)</f>
        <v/>
      </c>
      <c r="G1090" s="5">
        <f>TEXT(Sheet1!C1090,"dd/mm/yyyy") &amp; "," &amp; Sheet1!D1090</f>
        <v/>
      </c>
      <c r="H1090" s="38">
        <f>UPPER(Sheet1!J1090 &amp; "," &amp; Sheet1!K1090 &amp; "," &amp; Sheet1!L1090)</f>
        <v/>
      </c>
      <c r="I1090" s="45">
        <f>Sheet1!I1090</f>
        <v/>
      </c>
      <c r="J1090" s="5">
        <f>Sheet1!M1090 &amp; "," &amp; TEXT(Sheet1!N1090,"dd/mm/yy")</f>
        <v/>
      </c>
      <c r="K1090" s="5" t="inlineStr">
        <is>
          <t>PRINTED</t>
        </is>
      </c>
      <c r="L1090" t="inlineStr">
        <is>
          <t>25/03/2026</t>
        </is>
      </c>
      <c r="M1090" s="30" t="inlineStr">
        <is>
          <t>MANISH KATARIA, VICE CONSUL</t>
        </is>
      </c>
      <c r="N1090" s="30" t="n"/>
    </row>
    <row r="1091">
      <c r="A1091" s="4">
        <f>Sheet1!A1091 &amp; "/" &amp; "2025"</f>
        <v/>
      </c>
      <c r="B1091" s="5">
        <f>Sheet1!E1091</f>
        <v/>
      </c>
      <c r="C1091" s="6">
        <f>UPPER(Sheet1!B1091)</f>
        <v/>
      </c>
      <c r="D1091" s="7">
        <f>IF(Sheet1!F1091="F","FEMALE","MALE")</f>
        <v/>
      </c>
      <c r="E1091" s="6">
        <f>UPPER(Sheet1!G1091)</f>
        <v/>
      </c>
      <c r="F1091" s="6">
        <f>UPPER(Sheet1!H1091)</f>
        <v/>
      </c>
      <c r="G1091" s="5">
        <f>TEXT(Sheet1!C1091,"dd/mm/yyyy") &amp; "," &amp; Sheet1!D1091</f>
        <v/>
      </c>
      <c r="H1091" s="38">
        <f>UPPER(Sheet1!J1091 &amp; "," &amp; Sheet1!K1091 &amp; "," &amp; Sheet1!L1091)</f>
        <v/>
      </c>
      <c r="I1091" s="45">
        <f>Sheet1!I1091</f>
        <v/>
      </c>
      <c r="J1091" s="5">
        <f>Sheet1!M1091 &amp; "," &amp; TEXT(Sheet1!N1091,"dd/mm/yy")</f>
        <v/>
      </c>
      <c r="K1091" s="5" t="inlineStr">
        <is>
          <t>PRINTED</t>
        </is>
      </c>
      <c r="L1091" t="inlineStr">
        <is>
          <t>25/03/2026</t>
        </is>
      </c>
      <c r="M1091" s="30" t="inlineStr">
        <is>
          <t>MANISH KATARIA, VICE CONSUL</t>
        </is>
      </c>
      <c r="N1091" s="30" t="n"/>
    </row>
    <row r="1092">
      <c r="A1092" s="4">
        <f>Sheet1!A1092 &amp; "/" &amp; "2025"</f>
        <v/>
      </c>
      <c r="B1092" s="5">
        <f>Sheet1!E1092</f>
        <v/>
      </c>
      <c r="C1092" s="6">
        <f>UPPER(Sheet1!B1092)</f>
        <v/>
      </c>
      <c r="D1092" s="7">
        <f>IF(Sheet1!F1092="F","FEMALE","MALE")</f>
        <v/>
      </c>
      <c r="E1092" s="6">
        <f>UPPER(Sheet1!G1092)</f>
        <v/>
      </c>
      <c r="F1092" s="6">
        <f>UPPER(Sheet1!H1092)</f>
        <v/>
      </c>
      <c r="G1092" s="5">
        <f>TEXT(Sheet1!C1092,"dd/mm/yyyy") &amp; "," &amp; Sheet1!D1092</f>
        <v/>
      </c>
      <c r="H1092" s="38">
        <f>UPPER(Sheet1!J1092 &amp; "," &amp; Sheet1!K1092 &amp; "," &amp; Sheet1!L1092)</f>
        <v/>
      </c>
      <c r="I1092" s="45">
        <f>Sheet1!I1092</f>
        <v/>
      </c>
      <c r="J1092" s="5">
        <f>Sheet1!M1092 &amp; "," &amp; TEXT(Sheet1!N1092,"dd/mm/yy")</f>
        <v/>
      </c>
      <c r="K1092" s="5" t="inlineStr">
        <is>
          <t>PRINTED</t>
        </is>
      </c>
      <c r="L1092" t="inlineStr">
        <is>
          <t>25/03/2026</t>
        </is>
      </c>
      <c r="M1092" s="30" t="inlineStr">
        <is>
          <t>MANISH KATARIA, VICE CONSUL</t>
        </is>
      </c>
      <c r="N1092" s="30" t="n"/>
    </row>
    <row r="1093">
      <c r="A1093" s="4">
        <f>Sheet1!A1093 &amp; "/" &amp; "2025"</f>
        <v/>
      </c>
      <c r="B1093" s="5">
        <f>Sheet1!E1093</f>
        <v/>
      </c>
      <c r="C1093" s="6">
        <f>UPPER(Sheet1!B1093)</f>
        <v/>
      </c>
      <c r="D1093" s="7">
        <f>IF(Sheet1!F1093="F","FEMALE","MALE")</f>
        <v/>
      </c>
      <c r="E1093" s="6">
        <f>UPPER(Sheet1!G1093)</f>
        <v/>
      </c>
      <c r="F1093" s="6">
        <f>UPPER(Sheet1!H1093)</f>
        <v/>
      </c>
      <c r="G1093" s="5">
        <f>TEXT(Sheet1!C1093,"dd/mm/yyyy") &amp; "," &amp; Sheet1!D1093</f>
        <v/>
      </c>
      <c r="H1093" s="38">
        <f>UPPER(Sheet1!J1093 &amp; "," &amp; Sheet1!K1093 &amp; "," &amp; Sheet1!L1093)</f>
        <v/>
      </c>
      <c r="I1093" s="45">
        <f>Sheet1!I1093</f>
        <v/>
      </c>
      <c r="J1093" s="5">
        <f>Sheet1!M1093 &amp; "," &amp; TEXT(Sheet1!N1093,"dd/mm/yy")</f>
        <v/>
      </c>
      <c r="K1093" s="5" t="inlineStr">
        <is>
          <t>PRINTED</t>
        </is>
      </c>
      <c r="L1093" t="inlineStr">
        <is>
          <t>25/03/2026</t>
        </is>
      </c>
      <c r="M1093" s="30" t="inlineStr">
        <is>
          <t>MANISH KATARIA, VICE CONSUL</t>
        </is>
      </c>
      <c r="N1093" s="30" t="n"/>
    </row>
    <row r="1094">
      <c r="A1094" s="4">
        <f>Sheet1!A1094 &amp; "/" &amp; "2025"</f>
        <v/>
      </c>
      <c r="B1094" s="5">
        <f>Sheet1!E1094</f>
        <v/>
      </c>
      <c r="C1094" s="6">
        <f>UPPER(Sheet1!B1094)</f>
        <v/>
      </c>
      <c r="D1094" s="7">
        <f>IF(Sheet1!F1094="F","FEMALE","MALE")</f>
        <v/>
      </c>
      <c r="E1094" s="6">
        <f>UPPER(Sheet1!G1094)</f>
        <v/>
      </c>
      <c r="F1094" s="6">
        <f>UPPER(Sheet1!H1094)</f>
        <v/>
      </c>
      <c r="G1094" s="5">
        <f>TEXT(Sheet1!C1094,"dd/mm/yyyy") &amp; "," &amp; Sheet1!D1094</f>
        <v/>
      </c>
      <c r="H1094" s="38">
        <f>UPPER(Sheet1!J1094 &amp; "," &amp; Sheet1!K1094 &amp; "," &amp; Sheet1!L1094)</f>
        <v/>
      </c>
      <c r="I1094" s="45">
        <f>Sheet1!I1094</f>
        <v/>
      </c>
      <c r="J1094" s="5">
        <f>Sheet1!M1094 &amp; "," &amp; TEXT(Sheet1!N1094,"dd/mm/yy")</f>
        <v/>
      </c>
      <c r="K1094" s="5" t="inlineStr">
        <is>
          <t>PRINTED</t>
        </is>
      </c>
      <c r="L1094" t="inlineStr">
        <is>
          <t>25/03/2026</t>
        </is>
      </c>
      <c r="M1094" s="30" t="inlineStr">
        <is>
          <t>MANISH KATARIA, VICE CONSUL</t>
        </is>
      </c>
      <c r="N1094" s="30" t="n"/>
    </row>
    <row r="1095">
      <c r="A1095" s="4">
        <f>Sheet1!A1095 &amp; "/" &amp; "2025"</f>
        <v/>
      </c>
      <c r="B1095" s="5">
        <f>Sheet1!E1095</f>
        <v/>
      </c>
      <c r="C1095" s="6">
        <f>UPPER(Sheet1!B1095)</f>
        <v/>
      </c>
      <c r="D1095" s="7">
        <f>IF(Sheet1!F1095="F","FEMALE","MALE")</f>
        <v/>
      </c>
      <c r="E1095" s="6">
        <f>UPPER(Sheet1!G1095)</f>
        <v/>
      </c>
      <c r="F1095" s="6">
        <f>UPPER(Sheet1!H1095)</f>
        <v/>
      </c>
      <c r="G1095" s="5">
        <f>TEXT(Sheet1!C1095,"dd/mm/yyyy") &amp; "," &amp; Sheet1!D1095</f>
        <v/>
      </c>
      <c r="H1095" s="38">
        <f>UPPER(Sheet1!J1095 &amp; "," &amp; Sheet1!K1095 &amp; "," &amp; Sheet1!L1095)</f>
        <v/>
      </c>
      <c r="I1095" s="45">
        <f>Sheet1!I1095</f>
        <v/>
      </c>
      <c r="J1095" s="5">
        <f>Sheet1!M1095 &amp; "," &amp; TEXT(Sheet1!N1095,"dd/mm/yy")</f>
        <v/>
      </c>
      <c r="K1095" s="5" t="inlineStr">
        <is>
          <t>PRINTED</t>
        </is>
      </c>
      <c r="L1095" t="inlineStr">
        <is>
          <t>25/03/2026</t>
        </is>
      </c>
      <c r="M1095" s="30" t="inlineStr">
        <is>
          <t>MANISH KATARIA, VICE CONSUL</t>
        </is>
      </c>
      <c r="N1095" s="30" t="n"/>
    </row>
    <row r="1096">
      <c r="A1096" s="4">
        <f>Sheet1!A1096 &amp; "/" &amp; "2025"</f>
        <v/>
      </c>
      <c r="B1096" s="5">
        <f>Sheet1!E1096</f>
        <v/>
      </c>
      <c r="C1096" s="6">
        <f>UPPER(Sheet1!B1096)</f>
        <v/>
      </c>
      <c r="D1096" s="7">
        <f>IF(Sheet1!F1096="F","FEMALE","MALE")</f>
        <v/>
      </c>
      <c r="E1096" s="6">
        <f>UPPER(Sheet1!G1096)</f>
        <v/>
      </c>
      <c r="F1096" s="6">
        <f>UPPER(Sheet1!H1096)</f>
        <v/>
      </c>
      <c r="G1096" s="5">
        <f>TEXT(Sheet1!C1096,"dd/mm/yyyy") &amp; "," &amp; Sheet1!D1096</f>
        <v/>
      </c>
      <c r="H1096" s="38">
        <f>UPPER(Sheet1!J1096 &amp; "," &amp; Sheet1!K1096 &amp; "," &amp; Sheet1!L1096)</f>
        <v/>
      </c>
      <c r="I1096" s="45">
        <f>Sheet1!I1096</f>
        <v/>
      </c>
      <c r="J1096" s="5">
        <f>Sheet1!M1096 &amp; "," &amp; TEXT(Sheet1!N1096,"dd/mm/yy")</f>
        <v/>
      </c>
      <c r="K1096" s="5" t="inlineStr">
        <is>
          <t>PRINTED</t>
        </is>
      </c>
      <c r="L1096" t="inlineStr">
        <is>
          <t>25/03/2026</t>
        </is>
      </c>
      <c r="M1096" s="30" t="inlineStr">
        <is>
          <t>MANISH KATARIA, VICE CONSUL</t>
        </is>
      </c>
      <c r="N1096" s="30" t="n"/>
    </row>
    <row r="1097">
      <c r="A1097" s="4">
        <f>Sheet1!A1097 &amp; "/" &amp; "2025"</f>
        <v/>
      </c>
      <c r="B1097" s="5">
        <f>Sheet1!E1097</f>
        <v/>
      </c>
      <c r="C1097" s="6">
        <f>UPPER(Sheet1!B1097)</f>
        <v/>
      </c>
      <c r="D1097" s="7">
        <f>IF(Sheet1!F1097="F","FEMALE","MALE")</f>
        <v/>
      </c>
      <c r="E1097" s="6">
        <f>UPPER(Sheet1!G1097)</f>
        <v/>
      </c>
      <c r="F1097" s="6">
        <f>UPPER(Sheet1!H1097)</f>
        <v/>
      </c>
      <c r="G1097" s="5">
        <f>TEXT(Sheet1!C1097,"dd/mm/yyyy") &amp; "," &amp; Sheet1!D1097</f>
        <v/>
      </c>
      <c r="H1097" s="38">
        <f>UPPER(Sheet1!J1097 &amp; "," &amp; Sheet1!K1097 &amp; "," &amp; Sheet1!L1097)</f>
        <v/>
      </c>
      <c r="I1097" s="45">
        <f>Sheet1!I1097</f>
        <v/>
      </c>
      <c r="J1097" s="5">
        <f>Sheet1!M1097 &amp; "," &amp; TEXT(Sheet1!N1097,"dd/mm/yy")</f>
        <v/>
      </c>
      <c r="K1097" s="5" t="inlineStr">
        <is>
          <t>PRINTED</t>
        </is>
      </c>
      <c r="L1097" t="inlineStr">
        <is>
          <t>25/03/2026</t>
        </is>
      </c>
      <c r="M1097" s="30" t="inlineStr">
        <is>
          <t>MANISH KATARIA, VICE CONSUL</t>
        </is>
      </c>
      <c r="N1097" s="30" t="n"/>
    </row>
    <row r="1098">
      <c r="A1098" s="4">
        <f>Sheet1!A1098 &amp; "/" &amp; "2025"</f>
        <v/>
      </c>
      <c r="B1098" s="5">
        <f>Sheet1!E1098</f>
        <v/>
      </c>
      <c r="C1098" s="6">
        <f>UPPER(Sheet1!B1098)</f>
        <v/>
      </c>
      <c r="D1098" s="7">
        <f>IF(Sheet1!F1098="F","FEMALE","MALE")</f>
        <v/>
      </c>
      <c r="E1098" s="6">
        <f>UPPER(Sheet1!G1098)</f>
        <v/>
      </c>
      <c r="F1098" s="6">
        <f>UPPER(Sheet1!H1098)</f>
        <v/>
      </c>
      <c r="G1098" s="5">
        <f>TEXT(Sheet1!C1098,"dd/mm/yyyy") &amp; "," &amp; Sheet1!D1098</f>
        <v/>
      </c>
      <c r="H1098" s="38">
        <f>UPPER(Sheet1!J1098 &amp; "," &amp; Sheet1!K1098 &amp; "," &amp; Sheet1!L1098)</f>
        <v/>
      </c>
      <c r="I1098" s="45">
        <f>Sheet1!I1098</f>
        <v/>
      </c>
      <c r="J1098" s="5">
        <f>Sheet1!M1098 &amp; "," &amp; TEXT(Sheet1!N1098,"dd/mm/yy")</f>
        <v/>
      </c>
      <c r="K1098" s="5" t="inlineStr">
        <is>
          <t>PRINTED</t>
        </is>
      </c>
      <c r="L1098" t="inlineStr">
        <is>
          <t>25/03/2026</t>
        </is>
      </c>
      <c r="M1098" s="30" t="inlineStr">
        <is>
          <t>MANISH KATARIA, VICE CONSUL</t>
        </is>
      </c>
      <c r="N1098" s="30" t="n"/>
    </row>
    <row r="1099">
      <c r="A1099" s="4">
        <f>Sheet1!A1099 &amp; "/" &amp; "2025"</f>
        <v/>
      </c>
      <c r="B1099" s="5">
        <f>Sheet1!E1099</f>
        <v/>
      </c>
      <c r="C1099" s="6">
        <f>UPPER(Sheet1!B1099)</f>
        <v/>
      </c>
      <c r="D1099" s="7">
        <f>IF(Sheet1!F1099="F","FEMALE","MALE")</f>
        <v/>
      </c>
      <c r="E1099" s="6">
        <f>UPPER(Sheet1!G1099)</f>
        <v/>
      </c>
      <c r="F1099" s="6">
        <f>UPPER(Sheet1!H1099)</f>
        <v/>
      </c>
      <c r="G1099" s="5">
        <f>TEXT(Sheet1!C1099,"dd/mm/yyyy") &amp; "," &amp; Sheet1!D1099</f>
        <v/>
      </c>
      <c r="H1099" s="38">
        <f>UPPER(Sheet1!J1099 &amp; "," &amp; Sheet1!K1099 &amp; "," &amp; Sheet1!L1099)</f>
        <v/>
      </c>
      <c r="I1099" s="45">
        <f>Sheet1!I1099</f>
        <v/>
      </c>
      <c r="J1099" s="5">
        <f>Sheet1!M1099 &amp; "," &amp; TEXT(Sheet1!N1099,"dd/mm/yy")</f>
        <v/>
      </c>
      <c r="K1099" s="5" t="inlineStr">
        <is>
          <t>PRINTED</t>
        </is>
      </c>
      <c r="L1099" t="inlineStr">
        <is>
          <t>25/03/2026</t>
        </is>
      </c>
      <c r="M1099" s="30" t="inlineStr">
        <is>
          <t>MANISH KATARIA, VICE CONSUL</t>
        </is>
      </c>
      <c r="N1099" s="30" t="n"/>
    </row>
    <row r="1100">
      <c r="A1100" s="4">
        <f>Sheet1!A1100 &amp; "/" &amp; "2025"</f>
        <v/>
      </c>
      <c r="B1100" s="5">
        <f>Sheet1!E1100</f>
        <v/>
      </c>
      <c r="C1100" s="6">
        <f>UPPER(Sheet1!B1100)</f>
        <v/>
      </c>
      <c r="D1100" s="7">
        <f>IF(Sheet1!F1100="F","FEMALE","MALE")</f>
        <v/>
      </c>
      <c r="E1100" s="6">
        <f>UPPER(Sheet1!G1100)</f>
        <v/>
      </c>
      <c r="F1100" s="6">
        <f>UPPER(Sheet1!H1100)</f>
        <v/>
      </c>
      <c r="G1100" s="5">
        <f>TEXT(Sheet1!C1100,"dd/mm/yyyy") &amp; "," &amp; Sheet1!D1100</f>
        <v/>
      </c>
      <c r="H1100" s="38">
        <f>UPPER(Sheet1!J1100 &amp; "," &amp; Sheet1!K1100 &amp; "," &amp; Sheet1!L1100)</f>
        <v/>
      </c>
      <c r="I1100" s="45">
        <f>Sheet1!I1100</f>
        <v/>
      </c>
      <c r="J1100" s="5">
        <f>Sheet1!M1100 &amp; "," &amp; TEXT(Sheet1!N1100,"dd/mm/yy")</f>
        <v/>
      </c>
      <c r="K1100" s="5" t="inlineStr">
        <is>
          <t>PRINTED</t>
        </is>
      </c>
      <c r="L1100" t="inlineStr">
        <is>
          <t>25/03/2026</t>
        </is>
      </c>
      <c r="M1100" s="30" t="inlineStr">
        <is>
          <t>MANISH KATARIA, VICE CONSUL</t>
        </is>
      </c>
      <c r="N1100" s="30" t="n"/>
    </row>
    <row r="1101">
      <c r="A1101" s="4">
        <f>Sheet1!A1101 &amp; "/" &amp; "2025"</f>
        <v/>
      </c>
      <c r="B1101" s="5">
        <f>Sheet1!E1101</f>
        <v/>
      </c>
      <c r="C1101" s="6">
        <f>UPPER(Sheet1!B1101)</f>
        <v/>
      </c>
      <c r="D1101" s="7">
        <f>IF(Sheet1!F1101="F","FEMALE","MALE")</f>
        <v/>
      </c>
      <c r="E1101" s="6">
        <f>UPPER(Sheet1!G1101)</f>
        <v/>
      </c>
      <c r="F1101" s="6">
        <f>UPPER(Sheet1!H1101)</f>
        <v/>
      </c>
      <c r="G1101" s="5">
        <f>TEXT(Sheet1!C1101,"dd/mm/yyyy") &amp; "," &amp; Sheet1!D1101</f>
        <v/>
      </c>
      <c r="H1101" s="38">
        <f>UPPER(Sheet1!J1101 &amp; "," &amp; Sheet1!K1101 &amp; "," &amp; Sheet1!L1101)</f>
        <v/>
      </c>
      <c r="I1101" s="45">
        <f>Sheet1!I1101</f>
        <v/>
      </c>
      <c r="J1101" s="5">
        <f>Sheet1!M1101 &amp; "," &amp; TEXT(Sheet1!N1101,"dd/mm/yy")</f>
        <v/>
      </c>
      <c r="K1101" s="5" t="inlineStr">
        <is>
          <t>PRINTED</t>
        </is>
      </c>
      <c r="L1101" t="inlineStr">
        <is>
          <t>25/03/2026</t>
        </is>
      </c>
      <c r="M1101" s="30" t="inlineStr">
        <is>
          <t>MANISH KATARIA, VICE CONSUL</t>
        </is>
      </c>
      <c r="N1101" s="30" t="n"/>
    </row>
    <row r="1102">
      <c r="A1102" s="4">
        <f>Sheet1!A1102 &amp; "/" &amp; "2025"</f>
        <v/>
      </c>
      <c r="B1102" s="5">
        <f>Sheet1!E1102</f>
        <v/>
      </c>
      <c r="C1102" s="6">
        <f>UPPER(Sheet1!B1102)</f>
        <v/>
      </c>
      <c r="D1102" s="7">
        <f>IF(Sheet1!F1102="F","FEMALE","MALE")</f>
        <v/>
      </c>
      <c r="E1102" s="6">
        <f>UPPER(Sheet1!G1102)</f>
        <v/>
      </c>
      <c r="F1102" s="6">
        <f>UPPER(Sheet1!H1102)</f>
        <v/>
      </c>
      <c r="G1102" s="5">
        <f>TEXT(Sheet1!C1102,"dd/mm/yyyy") &amp; "," &amp; Sheet1!D1102</f>
        <v/>
      </c>
      <c r="H1102" s="38">
        <f>UPPER(Sheet1!J1102 &amp; "," &amp; Sheet1!K1102 &amp; "," &amp; Sheet1!L1102)</f>
        <v/>
      </c>
      <c r="I1102" s="45">
        <f>Sheet1!I1102</f>
        <v/>
      </c>
      <c r="J1102" s="5">
        <f>Sheet1!M1102 &amp; "," &amp; TEXT(Sheet1!N1102,"dd/mm/yy")</f>
        <v/>
      </c>
      <c r="K1102" s="5" t="inlineStr">
        <is>
          <t>PRINTED</t>
        </is>
      </c>
      <c r="L1102" t="inlineStr">
        <is>
          <t>25/03/2026</t>
        </is>
      </c>
      <c r="M1102" s="30" t="inlineStr">
        <is>
          <t>MANISH KATARIA, VICE CONSUL</t>
        </is>
      </c>
      <c r="N1102" s="30" t="n"/>
    </row>
    <row r="1103">
      <c r="A1103" s="4">
        <f>Sheet1!A1103 &amp; "/" &amp; "2025"</f>
        <v/>
      </c>
      <c r="B1103" s="5">
        <f>Sheet1!E1103</f>
        <v/>
      </c>
      <c r="C1103" s="6">
        <f>UPPER(Sheet1!B1103)</f>
        <v/>
      </c>
      <c r="D1103" s="7">
        <f>IF(Sheet1!F1103="F","FEMALE","MALE")</f>
        <v/>
      </c>
      <c r="E1103" s="6">
        <f>UPPER(Sheet1!G1103)</f>
        <v/>
      </c>
      <c r="F1103" s="6">
        <f>UPPER(Sheet1!H1103)</f>
        <v/>
      </c>
      <c r="G1103" s="5">
        <f>TEXT(Sheet1!C1103,"dd/mm/yyyy") &amp; "," &amp; Sheet1!D1103</f>
        <v/>
      </c>
      <c r="H1103" s="38">
        <f>UPPER(Sheet1!J1103 &amp; "," &amp; Sheet1!K1103 &amp; "," &amp; Sheet1!L1103)</f>
        <v/>
      </c>
      <c r="I1103" s="45">
        <f>Sheet1!I1103</f>
        <v/>
      </c>
      <c r="J1103" s="5">
        <f>Sheet1!M1103 &amp; "," &amp; TEXT(Sheet1!N1103,"dd/mm/yy")</f>
        <v/>
      </c>
      <c r="K1103" s="5" t="inlineStr">
        <is>
          <t>PRINTED</t>
        </is>
      </c>
      <c r="L1103" t="inlineStr">
        <is>
          <t>25/03/2026</t>
        </is>
      </c>
      <c r="M1103" s="30" t="inlineStr">
        <is>
          <t>MANISH KATARIA, VICE CONSUL</t>
        </is>
      </c>
      <c r="N1103" s="30" t="n"/>
    </row>
    <row r="1104">
      <c r="A1104" s="4">
        <f>Sheet1!A1104 &amp; "/" &amp; "2025"</f>
        <v/>
      </c>
      <c r="B1104" s="5">
        <f>Sheet1!E1104</f>
        <v/>
      </c>
      <c r="C1104" s="6">
        <f>UPPER(Sheet1!B1104)</f>
        <v/>
      </c>
      <c r="D1104" s="7">
        <f>IF(Sheet1!F1104="F","FEMALE","MALE")</f>
        <v/>
      </c>
      <c r="E1104" s="6">
        <f>UPPER(Sheet1!G1104)</f>
        <v/>
      </c>
      <c r="F1104" s="6">
        <f>UPPER(Sheet1!H1104)</f>
        <v/>
      </c>
      <c r="G1104" s="5">
        <f>TEXT(Sheet1!C1104,"dd/mm/yyyy") &amp; "," &amp; Sheet1!D1104</f>
        <v/>
      </c>
      <c r="H1104" s="38">
        <f>UPPER(Sheet1!J1104 &amp; "," &amp; Sheet1!K1104 &amp; "," &amp; Sheet1!L1104)</f>
        <v/>
      </c>
      <c r="I1104" s="45">
        <f>Sheet1!I1104</f>
        <v/>
      </c>
      <c r="J1104" s="5">
        <f>Sheet1!M1104 &amp; "," &amp; TEXT(Sheet1!N1104,"dd/mm/yy")</f>
        <v/>
      </c>
      <c r="K1104" s="5" t="inlineStr">
        <is>
          <t>PRINTED</t>
        </is>
      </c>
      <c r="L1104" t="inlineStr">
        <is>
          <t>25/03/2026</t>
        </is>
      </c>
      <c r="M1104" s="30" t="inlineStr">
        <is>
          <t>MANISH KATARIA, VICE CONSUL</t>
        </is>
      </c>
      <c r="N1104" s="30" t="n"/>
    </row>
    <row r="1105">
      <c r="A1105" s="4">
        <f>Sheet1!A1105 &amp; "/" &amp; "2025"</f>
        <v/>
      </c>
      <c r="B1105" s="5">
        <f>Sheet1!E1105</f>
        <v/>
      </c>
      <c r="C1105" s="6">
        <f>UPPER(Sheet1!B1105)</f>
        <v/>
      </c>
      <c r="D1105" s="7">
        <f>IF(Sheet1!F1105="F","FEMALE","MALE")</f>
        <v/>
      </c>
      <c r="E1105" s="6">
        <f>UPPER(Sheet1!G1105)</f>
        <v/>
      </c>
      <c r="F1105" s="6">
        <f>UPPER(Sheet1!H1105)</f>
        <v/>
      </c>
      <c r="G1105" s="5">
        <f>TEXT(Sheet1!C1105,"dd/mm/yyyy") &amp; "," &amp; Sheet1!D1105</f>
        <v/>
      </c>
      <c r="H1105" s="38">
        <f>UPPER(Sheet1!J1105 &amp; "," &amp; Sheet1!K1105 &amp; "," &amp; Sheet1!L1105)</f>
        <v/>
      </c>
      <c r="I1105" s="45">
        <f>Sheet1!I1105</f>
        <v/>
      </c>
      <c r="J1105" s="5">
        <f>Sheet1!M1105 &amp; "," &amp; TEXT(Sheet1!N1105,"dd/mm/yy")</f>
        <v/>
      </c>
      <c r="K1105" s="5" t="inlineStr">
        <is>
          <t>PRINTED</t>
        </is>
      </c>
      <c r="L1105" t="inlineStr">
        <is>
          <t>25/03/2026</t>
        </is>
      </c>
      <c r="M1105" s="30" t="inlineStr">
        <is>
          <t>MANISH KATARIA, VICE CONSUL</t>
        </is>
      </c>
      <c r="N1105" s="30" t="n"/>
    </row>
    <row r="1106">
      <c r="A1106" s="4">
        <f>Sheet1!A1106 &amp; "/" &amp; "2025"</f>
        <v/>
      </c>
      <c r="B1106" s="5">
        <f>Sheet1!E1106</f>
        <v/>
      </c>
      <c r="C1106" s="6">
        <f>UPPER(Sheet1!B1106)</f>
        <v/>
      </c>
      <c r="D1106" s="7">
        <f>IF(Sheet1!F1106="F","FEMALE","MALE")</f>
        <v/>
      </c>
      <c r="E1106" s="6">
        <f>UPPER(Sheet1!G1106)</f>
        <v/>
      </c>
      <c r="F1106" s="6">
        <f>UPPER(Sheet1!H1106)</f>
        <v/>
      </c>
      <c r="G1106" s="5">
        <f>TEXT(Sheet1!C1106,"dd/mm/yyyy") &amp; "," &amp; Sheet1!D1106</f>
        <v/>
      </c>
      <c r="H1106" s="38">
        <f>UPPER(Sheet1!J1106 &amp; "," &amp; Sheet1!K1106 &amp; "," &amp; Sheet1!L1106)</f>
        <v/>
      </c>
      <c r="I1106" s="45">
        <f>Sheet1!I1106</f>
        <v/>
      </c>
      <c r="J1106" s="5">
        <f>Sheet1!M1106 &amp; "," &amp; TEXT(Sheet1!N1106,"dd/mm/yy")</f>
        <v/>
      </c>
      <c r="K1106" s="5" t="inlineStr">
        <is>
          <t>PRINTED</t>
        </is>
      </c>
      <c r="L1106" t="inlineStr">
        <is>
          <t>25/03/2026</t>
        </is>
      </c>
      <c r="M1106" s="30" t="inlineStr">
        <is>
          <t>MANISH KATARIA, VICE CONSUL</t>
        </is>
      </c>
      <c r="N1106" s="30" t="n"/>
    </row>
    <row r="1107">
      <c r="A1107" s="4">
        <f>Sheet1!A1107 &amp; "/" &amp; "2025"</f>
        <v/>
      </c>
      <c r="B1107" s="5">
        <f>Sheet1!E1107</f>
        <v/>
      </c>
      <c r="C1107" s="6">
        <f>UPPER(Sheet1!B1107)</f>
        <v/>
      </c>
      <c r="D1107" s="7">
        <f>IF(Sheet1!F1107="F","FEMALE","MALE")</f>
        <v/>
      </c>
      <c r="E1107" s="6">
        <f>UPPER(Sheet1!G1107)</f>
        <v/>
      </c>
      <c r="F1107" s="6">
        <f>UPPER(Sheet1!H1107)</f>
        <v/>
      </c>
      <c r="G1107" s="5">
        <f>TEXT(Sheet1!C1107,"dd/mm/yyyy") &amp; "," &amp; Sheet1!D1107</f>
        <v/>
      </c>
      <c r="H1107" s="38">
        <f>UPPER(Sheet1!J1107 &amp; "," &amp; Sheet1!K1107 &amp; "," &amp; Sheet1!L1107)</f>
        <v/>
      </c>
      <c r="I1107" s="45">
        <f>Sheet1!I1107</f>
        <v/>
      </c>
      <c r="J1107" s="5">
        <f>Sheet1!M1107 &amp; "," &amp; TEXT(Sheet1!N1107,"dd/mm/yy")</f>
        <v/>
      </c>
      <c r="K1107" s="5" t="inlineStr">
        <is>
          <t>PRINTED</t>
        </is>
      </c>
      <c r="L1107" t="inlineStr">
        <is>
          <t>25/03/2026</t>
        </is>
      </c>
      <c r="M1107" s="30" t="inlineStr">
        <is>
          <t>MANISH KATARIA, VICE CONSUL</t>
        </is>
      </c>
      <c r="N1107" s="30" t="n"/>
    </row>
    <row r="1108">
      <c r="A1108" s="4">
        <f>Sheet1!A1108 &amp; "/" &amp; "2025"</f>
        <v/>
      </c>
      <c r="B1108" s="5">
        <f>Sheet1!E1108</f>
        <v/>
      </c>
      <c r="C1108" s="6">
        <f>UPPER(Sheet1!B1108)</f>
        <v/>
      </c>
      <c r="D1108" s="7">
        <f>IF(Sheet1!F1108="F","FEMALE","MALE")</f>
        <v/>
      </c>
      <c r="E1108" s="6">
        <f>UPPER(Sheet1!G1108)</f>
        <v/>
      </c>
      <c r="F1108" s="6">
        <f>UPPER(Sheet1!H1108)</f>
        <v/>
      </c>
      <c r="G1108" s="5">
        <f>TEXT(Sheet1!C1108,"dd/mm/yyyy") &amp; "," &amp; Sheet1!D1108</f>
        <v/>
      </c>
      <c r="H1108" s="38">
        <f>UPPER(Sheet1!J1108 &amp; "," &amp; Sheet1!K1108 &amp; "," &amp; Sheet1!L1108)</f>
        <v/>
      </c>
      <c r="I1108" s="45">
        <f>Sheet1!I1108</f>
        <v/>
      </c>
      <c r="J1108" s="5">
        <f>Sheet1!M1108 &amp; "," &amp; TEXT(Sheet1!N1108,"dd/mm/yy")</f>
        <v/>
      </c>
      <c r="K1108" s="5" t="inlineStr">
        <is>
          <t>PRINTED</t>
        </is>
      </c>
      <c r="L1108" t="inlineStr">
        <is>
          <t>25/03/2026</t>
        </is>
      </c>
      <c r="M1108" s="30" t="inlineStr">
        <is>
          <t>MANISH KATARIA, VICE CONSUL</t>
        </is>
      </c>
      <c r="N1108" s="30" t="n"/>
    </row>
    <row r="1109">
      <c r="A1109" s="4">
        <f>Sheet1!A1109 &amp; "/" &amp; "2025"</f>
        <v/>
      </c>
      <c r="B1109" s="5">
        <f>Sheet1!E1109</f>
        <v/>
      </c>
      <c r="C1109" s="6">
        <f>UPPER(Sheet1!B1109)</f>
        <v/>
      </c>
      <c r="D1109" s="7">
        <f>IF(Sheet1!F1109="F","FEMALE","MALE")</f>
        <v/>
      </c>
      <c r="E1109" s="6">
        <f>UPPER(Sheet1!G1109)</f>
        <v/>
      </c>
      <c r="F1109" s="6">
        <f>UPPER(Sheet1!H1109)</f>
        <v/>
      </c>
      <c r="G1109" s="5">
        <f>TEXT(Sheet1!C1109,"dd/mm/yyyy") &amp; "," &amp; Sheet1!D1109</f>
        <v/>
      </c>
      <c r="H1109" s="38">
        <f>UPPER(Sheet1!J1109 &amp; "," &amp; Sheet1!K1109 &amp; "," &amp; Sheet1!L1109)</f>
        <v/>
      </c>
      <c r="I1109" s="45">
        <f>Sheet1!I1109</f>
        <v/>
      </c>
      <c r="J1109" s="5">
        <f>Sheet1!M1109 &amp; "," &amp; TEXT(Sheet1!N1109,"dd/mm/yy")</f>
        <v/>
      </c>
      <c r="K1109" s="5" t="inlineStr">
        <is>
          <t>PRINTED</t>
        </is>
      </c>
      <c r="L1109" t="inlineStr">
        <is>
          <t>25/03/2026</t>
        </is>
      </c>
      <c r="M1109" s="30" t="inlineStr">
        <is>
          <t>MANISH KATARIA, VICE CONSUL</t>
        </is>
      </c>
      <c r="N1109" s="30" t="n"/>
    </row>
    <row r="1110">
      <c r="A1110" s="4">
        <f>Sheet1!A1110 &amp; "/" &amp; "2025"</f>
        <v/>
      </c>
      <c r="B1110" s="5">
        <f>Sheet1!E1110</f>
        <v/>
      </c>
      <c r="C1110" s="6">
        <f>UPPER(Sheet1!B1110)</f>
        <v/>
      </c>
      <c r="D1110" s="7">
        <f>IF(Sheet1!F1110="F","FEMALE","MALE")</f>
        <v/>
      </c>
      <c r="E1110" s="6">
        <f>UPPER(Sheet1!G1110)</f>
        <v/>
      </c>
      <c r="F1110" s="6">
        <f>UPPER(Sheet1!H1110)</f>
        <v/>
      </c>
      <c r="G1110" s="5">
        <f>TEXT(Sheet1!C1110,"dd/mm/yyyy") &amp; "," &amp; Sheet1!D1110</f>
        <v/>
      </c>
      <c r="H1110" s="38">
        <f>UPPER(Sheet1!J1110 &amp; "," &amp; Sheet1!K1110 &amp; "," &amp; Sheet1!L1110)</f>
        <v/>
      </c>
      <c r="I1110" s="45">
        <f>Sheet1!I1110</f>
        <v/>
      </c>
      <c r="J1110" s="5">
        <f>Sheet1!M1110 &amp; "," &amp; TEXT(Sheet1!N1110,"dd/mm/yy")</f>
        <v/>
      </c>
      <c r="K1110" s="5" t="inlineStr">
        <is>
          <t>PRINTED</t>
        </is>
      </c>
      <c r="L1110" t="inlineStr">
        <is>
          <t>25/03/2026</t>
        </is>
      </c>
      <c r="M1110" s="30" t="inlineStr">
        <is>
          <t>MANISH KATARIA, VICE CONSUL</t>
        </is>
      </c>
      <c r="N1110" s="30" t="n"/>
    </row>
    <row r="1111">
      <c r="A1111" s="4">
        <f>Sheet1!A1111 &amp; "/" &amp; "2025"</f>
        <v/>
      </c>
      <c r="B1111" s="5">
        <f>Sheet1!E1111</f>
        <v/>
      </c>
      <c r="C1111" s="6">
        <f>UPPER(Sheet1!B1111)</f>
        <v/>
      </c>
      <c r="D1111" s="7">
        <f>IF(Sheet1!F1111="F","FEMALE","MALE")</f>
        <v/>
      </c>
      <c r="E1111" s="6">
        <f>UPPER(Sheet1!G1111)</f>
        <v/>
      </c>
      <c r="F1111" s="6">
        <f>UPPER(Sheet1!H1111)</f>
        <v/>
      </c>
      <c r="G1111" s="5">
        <f>TEXT(Sheet1!C1111,"dd/mm/yyyy") &amp; "," &amp; Sheet1!D1111</f>
        <v/>
      </c>
      <c r="H1111" s="38">
        <f>UPPER(Sheet1!J1111 &amp; "," &amp; Sheet1!K1111 &amp; "," &amp; Sheet1!L1111)</f>
        <v/>
      </c>
      <c r="I1111" s="45">
        <f>Sheet1!I1111</f>
        <v/>
      </c>
      <c r="J1111" s="5">
        <f>Sheet1!M1111 &amp; "," &amp; TEXT(Sheet1!N1111,"dd/mm/yy")</f>
        <v/>
      </c>
      <c r="K1111" s="5" t="inlineStr">
        <is>
          <t>PRINTED</t>
        </is>
      </c>
      <c r="L1111" t="inlineStr">
        <is>
          <t>25/03/2026</t>
        </is>
      </c>
      <c r="M1111" s="30" t="inlineStr">
        <is>
          <t>MANISH KATARIA, VICE CONSUL</t>
        </is>
      </c>
      <c r="N1111" s="30" t="n"/>
    </row>
    <row r="1112">
      <c r="A1112" s="4">
        <f>Sheet1!A1112 &amp; "/" &amp; "2025"</f>
        <v/>
      </c>
      <c r="B1112" s="5">
        <f>Sheet1!E1112</f>
        <v/>
      </c>
      <c r="C1112" s="6">
        <f>UPPER(Sheet1!B1112)</f>
        <v/>
      </c>
      <c r="D1112" s="7">
        <f>IF(Sheet1!F1112="F","FEMALE","MALE")</f>
        <v/>
      </c>
      <c r="E1112" s="6">
        <f>UPPER(Sheet1!G1112)</f>
        <v/>
      </c>
      <c r="F1112" s="6">
        <f>UPPER(Sheet1!H1112)</f>
        <v/>
      </c>
      <c r="G1112" s="5">
        <f>TEXT(Sheet1!C1112,"dd/mm/yyyy") &amp; "," &amp; Sheet1!D1112</f>
        <v/>
      </c>
      <c r="H1112" s="38">
        <f>UPPER(Sheet1!J1112 &amp; "," &amp; Sheet1!K1112 &amp; "," &amp; Sheet1!L1112)</f>
        <v/>
      </c>
      <c r="I1112" s="45">
        <f>Sheet1!I1112</f>
        <v/>
      </c>
      <c r="J1112" s="5">
        <f>Sheet1!M1112 &amp; "," &amp; TEXT(Sheet1!N1112,"dd/mm/yy")</f>
        <v/>
      </c>
      <c r="K1112" s="5" t="inlineStr">
        <is>
          <t>PRINTED</t>
        </is>
      </c>
      <c r="L1112" t="inlineStr">
        <is>
          <t>25/03/2026</t>
        </is>
      </c>
      <c r="M1112" s="30" t="inlineStr">
        <is>
          <t>MANISH KATARIA, VICE CONSUL</t>
        </is>
      </c>
      <c r="N1112" s="30" t="n"/>
    </row>
    <row r="1113">
      <c r="A1113" s="4">
        <f>Sheet1!A1113 &amp; "/" &amp; "2025"</f>
        <v/>
      </c>
      <c r="B1113" s="5">
        <f>Sheet1!E1113</f>
        <v/>
      </c>
      <c r="C1113" s="6">
        <f>UPPER(Sheet1!B1113)</f>
        <v/>
      </c>
      <c r="D1113" s="7">
        <f>IF(Sheet1!F1113="F","FEMALE","MALE")</f>
        <v/>
      </c>
      <c r="E1113" s="6">
        <f>UPPER(Sheet1!G1113)</f>
        <v/>
      </c>
      <c r="F1113" s="6">
        <f>UPPER(Sheet1!H1113)</f>
        <v/>
      </c>
      <c r="G1113" s="5">
        <f>TEXT(Sheet1!C1113,"dd/mm/yyyy") &amp; "," &amp; Sheet1!D1113</f>
        <v/>
      </c>
      <c r="H1113" s="38">
        <f>UPPER(Sheet1!J1113 &amp; "," &amp; Sheet1!K1113 &amp; "," &amp; Sheet1!L1113)</f>
        <v/>
      </c>
      <c r="I1113" s="45">
        <f>Sheet1!I1113</f>
        <v/>
      </c>
      <c r="J1113" s="5">
        <f>Sheet1!M1113 &amp; "," &amp; TEXT(Sheet1!N1113,"dd/mm/yy")</f>
        <v/>
      </c>
      <c r="K1113" s="5" t="inlineStr">
        <is>
          <t>PRINTED</t>
        </is>
      </c>
      <c r="L1113" t="inlineStr">
        <is>
          <t>25/03/2026</t>
        </is>
      </c>
      <c r="M1113" s="30" t="inlineStr">
        <is>
          <t>MANISH KATARIA, VICE CONSUL</t>
        </is>
      </c>
      <c r="N1113" s="30" t="n"/>
    </row>
    <row r="1114">
      <c r="A1114" s="4">
        <f>Sheet1!A1114 &amp; "/" &amp; "2025"</f>
        <v/>
      </c>
      <c r="B1114" s="5">
        <f>Sheet1!E1114</f>
        <v/>
      </c>
      <c r="C1114" s="6">
        <f>UPPER(Sheet1!B1114)</f>
        <v/>
      </c>
      <c r="D1114" s="7">
        <f>IF(Sheet1!F1114="F","FEMALE","MALE")</f>
        <v/>
      </c>
      <c r="E1114" s="6">
        <f>UPPER(Sheet1!G1114)</f>
        <v/>
      </c>
      <c r="F1114" s="6">
        <f>UPPER(Sheet1!H1114)</f>
        <v/>
      </c>
      <c r="G1114" s="5">
        <f>TEXT(Sheet1!C1114,"dd/mm/yyyy") &amp; "," &amp; Sheet1!D1114</f>
        <v/>
      </c>
      <c r="H1114" s="38">
        <f>UPPER(Sheet1!J1114 &amp; "," &amp; Sheet1!K1114 &amp; "," &amp; Sheet1!L1114)</f>
        <v/>
      </c>
      <c r="I1114" s="45">
        <f>Sheet1!I1114</f>
        <v/>
      </c>
      <c r="J1114" s="5">
        <f>Sheet1!M1114 &amp; "," &amp; TEXT(Sheet1!N1114,"dd/mm/yy")</f>
        <v/>
      </c>
      <c r="K1114" s="5" t="inlineStr">
        <is>
          <t>PRINTED</t>
        </is>
      </c>
      <c r="L1114" t="inlineStr">
        <is>
          <t>25/03/2026</t>
        </is>
      </c>
      <c r="M1114" s="30" t="inlineStr">
        <is>
          <t>MANISH KATARIA, VICE CONSUL</t>
        </is>
      </c>
      <c r="N1114" s="30" t="n"/>
    </row>
    <row r="1115">
      <c r="A1115" s="4">
        <f>Sheet1!A1115 &amp; "/" &amp; "2025"</f>
        <v/>
      </c>
      <c r="B1115" s="5">
        <f>Sheet1!E1115</f>
        <v/>
      </c>
      <c r="C1115" s="6">
        <f>UPPER(Sheet1!B1115)</f>
        <v/>
      </c>
      <c r="D1115" s="7">
        <f>IF(Sheet1!F1115="F","FEMALE","MALE")</f>
        <v/>
      </c>
      <c r="E1115" s="6">
        <f>UPPER(Sheet1!G1115)</f>
        <v/>
      </c>
      <c r="F1115" s="6">
        <f>UPPER(Sheet1!H1115)</f>
        <v/>
      </c>
      <c r="G1115" s="5">
        <f>TEXT(Sheet1!C1115,"dd/mm/yyyy") &amp; "," &amp; Sheet1!D1115</f>
        <v/>
      </c>
      <c r="H1115" s="38">
        <f>UPPER(Sheet1!J1115 &amp; "," &amp; Sheet1!K1115 &amp; "," &amp; Sheet1!L1115)</f>
        <v/>
      </c>
      <c r="I1115" s="45">
        <f>Sheet1!I1115</f>
        <v/>
      </c>
      <c r="J1115" s="5">
        <f>Sheet1!M1115 &amp; "," &amp; TEXT(Sheet1!N1115,"dd/mm/yy")</f>
        <v/>
      </c>
      <c r="K1115" s="5" t="inlineStr">
        <is>
          <t>PRINTED</t>
        </is>
      </c>
      <c r="L1115" t="inlineStr">
        <is>
          <t>25/03/2026</t>
        </is>
      </c>
      <c r="M1115" s="30" t="inlineStr">
        <is>
          <t>MANISH KATARIA, VICE CONSUL</t>
        </is>
      </c>
      <c r="N1115" s="30" t="n"/>
    </row>
    <row r="1116">
      <c r="A1116" s="4">
        <f>Sheet1!A1116 &amp; "/" &amp; "2025"</f>
        <v/>
      </c>
      <c r="B1116" s="5">
        <f>Sheet1!E1116</f>
        <v/>
      </c>
      <c r="C1116" s="6">
        <f>UPPER(Sheet1!B1116)</f>
        <v/>
      </c>
      <c r="D1116" s="7">
        <f>IF(Sheet1!F1116="F","FEMALE","MALE")</f>
        <v/>
      </c>
      <c r="E1116" s="6">
        <f>UPPER(Sheet1!G1116)</f>
        <v/>
      </c>
      <c r="F1116" s="6">
        <f>UPPER(Sheet1!H1116)</f>
        <v/>
      </c>
      <c r="G1116" s="5">
        <f>TEXT(Sheet1!C1116,"dd/mm/yyyy") &amp; "," &amp; Sheet1!D1116</f>
        <v/>
      </c>
      <c r="H1116" s="38">
        <f>UPPER(Sheet1!J1116 &amp; "," &amp; Sheet1!K1116 &amp; "," &amp; Sheet1!L1116)</f>
        <v/>
      </c>
      <c r="I1116" s="45">
        <f>Sheet1!I1116</f>
        <v/>
      </c>
      <c r="J1116" s="5">
        <f>Sheet1!M1116 &amp; "," &amp; TEXT(Sheet1!N1116,"dd/mm/yy")</f>
        <v/>
      </c>
      <c r="K1116" s="5" t="inlineStr">
        <is>
          <t>PRINTED</t>
        </is>
      </c>
      <c r="L1116" t="inlineStr">
        <is>
          <t>25/03/2026</t>
        </is>
      </c>
      <c r="M1116" s="30" t="inlineStr">
        <is>
          <t>MANISH KATARIA, VICE CONSUL</t>
        </is>
      </c>
      <c r="N1116" s="30" t="n"/>
    </row>
    <row r="1117">
      <c r="A1117" s="4">
        <f>Sheet1!A1117 &amp; "/" &amp; "2025"</f>
        <v/>
      </c>
      <c r="B1117" s="5">
        <f>Sheet1!E1117</f>
        <v/>
      </c>
      <c r="C1117" s="6">
        <f>UPPER(Sheet1!B1117)</f>
        <v/>
      </c>
      <c r="D1117" s="7">
        <f>IF(Sheet1!F1117="F","FEMALE","MALE")</f>
        <v/>
      </c>
      <c r="E1117" s="6">
        <f>UPPER(Sheet1!G1117)</f>
        <v/>
      </c>
      <c r="F1117" s="6">
        <f>UPPER(Sheet1!H1117)</f>
        <v/>
      </c>
      <c r="G1117" s="5">
        <f>TEXT(Sheet1!C1117,"dd/mm/yyyy") &amp; "," &amp; Sheet1!D1117</f>
        <v/>
      </c>
      <c r="H1117" s="38">
        <f>UPPER(Sheet1!J1117 &amp; "," &amp; Sheet1!K1117 &amp; "," &amp; Sheet1!L1117)</f>
        <v/>
      </c>
      <c r="I1117" s="45">
        <f>Sheet1!I1117</f>
        <v/>
      </c>
      <c r="J1117" s="5">
        <f>Sheet1!M1117 &amp; "," &amp; TEXT(Sheet1!N1117,"dd/mm/yy")</f>
        <v/>
      </c>
      <c r="K1117" s="5" t="inlineStr">
        <is>
          <t>PRINTED</t>
        </is>
      </c>
      <c r="L1117" t="inlineStr">
        <is>
          <t>25/03/2026</t>
        </is>
      </c>
      <c r="M1117" s="30" t="inlineStr">
        <is>
          <t>MANISH KATARIA, VICE CONSUL</t>
        </is>
      </c>
      <c r="N1117" s="30" t="n"/>
    </row>
    <row r="1118">
      <c r="A1118" s="4">
        <f>Sheet1!A1118 &amp; "/" &amp; "2025"</f>
        <v/>
      </c>
      <c r="B1118" s="5">
        <f>Sheet1!E1118</f>
        <v/>
      </c>
      <c r="C1118" s="6">
        <f>UPPER(Sheet1!B1118)</f>
        <v/>
      </c>
      <c r="D1118" s="7">
        <f>IF(Sheet1!F1118="F","FEMALE","MALE")</f>
        <v/>
      </c>
      <c r="E1118" s="6">
        <f>UPPER(Sheet1!G1118)</f>
        <v/>
      </c>
      <c r="F1118" s="6">
        <f>UPPER(Sheet1!H1118)</f>
        <v/>
      </c>
      <c r="G1118" s="5">
        <f>TEXT(Sheet1!C1118,"dd/mm/yyyy") &amp; "," &amp; Sheet1!D1118</f>
        <v/>
      </c>
      <c r="H1118" s="38">
        <f>UPPER(Sheet1!J1118 &amp; "," &amp; Sheet1!K1118 &amp; "," &amp; Sheet1!L1118)</f>
        <v/>
      </c>
      <c r="I1118" s="45">
        <f>Sheet1!I1118</f>
        <v/>
      </c>
      <c r="J1118" s="5">
        <f>Sheet1!M1118 &amp; "," &amp; TEXT(Sheet1!N1118,"dd/mm/yy")</f>
        <v/>
      </c>
      <c r="K1118" s="5" t="inlineStr">
        <is>
          <t>PRINTED</t>
        </is>
      </c>
      <c r="L1118" t="inlineStr">
        <is>
          <t>25/03/2026</t>
        </is>
      </c>
      <c r="M1118" s="30" t="inlineStr">
        <is>
          <t>MANISH KATARIA, VICE CONSUL</t>
        </is>
      </c>
      <c r="N1118" s="30" t="n"/>
    </row>
    <row r="1119">
      <c r="A1119" s="4">
        <f>Sheet1!A1119 &amp; "/" &amp; "2025"</f>
        <v/>
      </c>
      <c r="B1119" s="5">
        <f>Sheet1!E1119</f>
        <v/>
      </c>
      <c r="C1119" s="6">
        <f>UPPER(Sheet1!B1119)</f>
        <v/>
      </c>
      <c r="D1119" s="7">
        <f>IF(Sheet1!F1119="F","FEMALE","MALE")</f>
        <v/>
      </c>
      <c r="E1119" s="6">
        <f>UPPER(Sheet1!G1119)</f>
        <v/>
      </c>
      <c r="F1119" s="6">
        <f>UPPER(Sheet1!H1119)</f>
        <v/>
      </c>
      <c r="G1119" s="5">
        <f>TEXT(Sheet1!C1119,"dd/mm/yyyy") &amp; "," &amp; Sheet1!D1119</f>
        <v/>
      </c>
      <c r="H1119" s="38">
        <f>UPPER(Sheet1!J1119 &amp; "," &amp; Sheet1!K1119 &amp; "," &amp; Sheet1!L1119)</f>
        <v/>
      </c>
      <c r="I1119" s="45">
        <f>Sheet1!I1119</f>
        <v/>
      </c>
      <c r="J1119" s="5">
        <f>Sheet1!M1119 &amp; "," &amp; TEXT(Sheet1!N1119,"dd/mm/yy")</f>
        <v/>
      </c>
      <c r="K1119" s="5" t="inlineStr">
        <is>
          <t>PRINTED</t>
        </is>
      </c>
      <c r="L1119" t="inlineStr">
        <is>
          <t>25/03/2026</t>
        </is>
      </c>
      <c r="M1119" s="30" t="inlineStr">
        <is>
          <t>MANISH KATARIA, VICE CONSUL</t>
        </is>
      </c>
      <c r="N1119" s="30" t="n"/>
    </row>
    <row r="1120">
      <c r="A1120" s="4">
        <f>Sheet1!A1120 &amp; "/" &amp; "2025"</f>
        <v/>
      </c>
      <c r="B1120" s="5">
        <f>Sheet1!E1120</f>
        <v/>
      </c>
      <c r="C1120" s="6">
        <f>UPPER(Sheet1!B1120)</f>
        <v/>
      </c>
      <c r="D1120" s="7">
        <f>IF(Sheet1!F1120="F","FEMALE","MALE")</f>
        <v/>
      </c>
      <c r="E1120" s="6">
        <f>UPPER(Sheet1!G1120)</f>
        <v/>
      </c>
      <c r="F1120" s="6">
        <f>UPPER(Sheet1!H1120)</f>
        <v/>
      </c>
      <c r="G1120" s="5">
        <f>TEXT(Sheet1!C1120,"dd/mm/yyyy") &amp; "," &amp; Sheet1!D1120</f>
        <v/>
      </c>
      <c r="H1120" s="38">
        <f>UPPER(Sheet1!J1120 &amp; "," &amp; Sheet1!K1120 &amp; "," &amp; Sheet1!L1120)</f>
        <v/>
      </c>
      <c r="I1120" s="45">
        <f>Sheet1!I1120</f>
        <v/>
      </c>
      <c r="J1120" s="5">
        <f>Sheet1!M1120 &amp; "," &amp; TEXT(Sheet1!N1120,"dd/mm/yy")</f>
        <v/>
      </c>
      <c r="K1120" s="5" t="inlineStr">
        <is>
          <t>PRINTED</t>
        </is>
      </c>
      <c r="L1120" t="inlineStr">
        <is>
          <t>25/03/2026</t>
        </is>
      </c>
      <c r="M1120" s="30" t="inlineStr">
        <is>
          <t>MANISH KATARIA, VICE CONSUL</t>
        </is>
      </c>
      <c r="N1120" s="30" t="n"/>
    </row>
    <row r="1121">
      <c r="A1121" s="4">
        <f>Sheet1!A1121 &amp; "/" &amp; "2025"</f>
        <v/>
      </c>
      <c r="B1121" s="5">
        <f>Sheet1!E1121</f>
        <v/>
      </c>
      <c r="C1121" s="6">
        <f>UPPER(Sheet1!B1121)</f>
        <v/>
      </c>
      <c r="D1121" s="7">
        <f>IF(Sheet1!F1121="F","FEMALE","MALE")</f>
        <v/>
      </c>
      <c r="E1121" s="6">
        <f>UPPER(Sheet1!G1121)</f>
        <v/>
      </c>
      <c r="F1121" s="6">
        <f>UPPER(Sheet1!H1121)</f>
        <v/>
      </c>
      <c r="G1121" s="5">
        <f>TEXT(Sheet1!C1121,"dd/mm/yyyy") &amp; "," &amp; Sheet1!D1121</f>
        <v/>
      </c>
      <c r="H1121" s="38">
        <f>UPPER(Sheet1!J1121 &amp; "," &amp; Sheet1!K1121 &amp; "," &amp; Sheet1!L1121)</f>
        <v/>
      </c>
      <c r="I1121" s="45">
        <f>Sheet1!I1121</f>
        <v/>
      </c>
      <c r="J1121" s="5">
        <f>Sheet1!M1121 &amp; "," &amp; TEXT(Sheet1!N1121,"dd/mm/yy")</f>
        <v/>
      </c>
      <c r="K1121" s="5" t="inlineStr">
        <is>
          <t>PRINTED</t>
        </is>
      </c>
      <c r="L1121" t="inlineStr">
        <is>
          <t>25/03/2026</t>
        </is>
      </c>
      <c r="M1121" s="30" t="inlineStr">
        <is>
          <t>MANISH KATARIA, VICE CONSUL</t>
        </is>
      </c>
      <c r="N1121" s="30" t="n"/>
    </row>
    <row r="1122">
      <c r="A1122" s="4">
        <f>Sheet1!A1122 &amp; "/" &amp; "2025"</f>
        <v/>
      </c>
      <c r="B1122" s="5">
        <f>Sheet1!E1122</f>
        <v/>
      </c>
      <c r="C1122" s="6">
        <f>UPPER(Sheet1!B1122)</f>
        <v/>
      </c>
      <c r="D1122" s="7">
        <f>IF(Sheet1!F1122="F","FEMALE","MALE")</f>
        <v/>
      </c>
      <c r="E1122" s="6">
        <f>UPPER(Sheet1!G1122)</f>
        <v/>
      </c>
      <c r="F1122" s="6">
        <f>UPPER(Sheet1!H1122)</f>
        <v/>
      </c>
      <c r="G1122" s="5">
        <f>TEXT(Sheet1!C1122,"dd/mm/yyyy") &amp; "," &amp; Sheet1!D1122</f>
        <v/>
      </c>
      <c r="H1122" s="38">
        <f>UPPER(Sheet1!J1122 &amp; "," &amp; Sheet1!K1122 &amp; "," &amp; Sheet1!L1122)</f>
        <v/>
      </c>
      <c r="I1122" s="45">
        <f>Sheet1!I1122</f>
        <v/>
      </c>
      <c r="J1122" s="5">
        <f>Sheet1!M1122 &amp; "," &amp; TEXT(Sheet1!N1122,"dd/mm/yy")</f>
        <v/>
      </c>
      <c r="K1122" s="5" t="inlineStr">
        <is>
          <t>PRINTED</t>
        </is>
      </c>
      <c r="L1122" t="inlineStr">
        <is>
          <t>25/03/2026</t>
        </is>
      </c>
      <c r="M1122" s="30" t="inlineStr">
        <is>
          <t>MANISH KATARIA, VICE CONSUL</t>
        </is>
      </c>
      <c r="N1122" s="30" t="n"/>
    </row>
    <row r="1123">
      <c r="A1123" s="4">
        <f>Sheet1!A1123 &amp; "/" &amp; "2025"</f>
        <v/>
      </c>
      <c r="B1123" s="5">
        <f>Sheet1!E1123</f>
        <v/>
      </c>
      <c r="C1123" s="6">
        <f>UPPER(Sheet1!B1123)</f>
        <v/>
      </c>
      <c r="D1123" s="7">
        <f>IF(Sheet1!F1123="F","FEMALE","MALE")</f>
        <v/>
      </c>
      <c r="E1123" s="6">
        <f>UPPER(Sheet1!G1123)</f>
        <v/>
      </c>
      <c r="F1123" s="6">
        <f>UPPER(Sheet1!H1123)</f>
        <v/>
      </c>
      <c r="G1123" s="5">
        <f>TEXT(Sheet1!C1123,"dd/mm/yyyy") &amp; "," &amp; Sheet1!D1123</f>
        <v/>
      </c>
      <c r="H1123" s="38">
        <f>UPPER(Sheet1!J1123 &amp; "," &amp; Sheet1!K1123 &amp; "," &amp; Sheet1!L1123)</f>
        <v/>
      </c>
      <c r="I1123" s="45">
        <f>Sheet1!I1123</f>
        <v/>
      </c>
      <c r="J1123" s="5">
        <f>Sheet1!M1123 &amp; "," &amp; TEXT(Sheet1!N1123,"dd/mm/yy")</f>
        <v/>
      </c>
      <c r="K1123" s="5" t="inlineStr">
        <is>
          <t>PRINTED</t>
        </is>
      </c>
      <c r="L1123" t="inlineStr">
        <is>
          <t>25/03/2026</t>
        </is>
      </c>
      <c r="M1123" s="30" t="inlineStr">
        <is>
          <t>MANISH KATARIA, VICE CONSUL</t>
        </is>
      </c>
      <c r="N1123" s="30" t="n"/>
    </row>
    <row r="1124">
      <c r="A1124" s="4">
        <f>Sheet1!A1124 &amp; "/" &amp; "2025"</f>
        <v/>
      </c>
      <c r="B1124" s="5">
        <f>Sheet1!E1124</f>
        <v/>
      </c>
      <c r="C1124" s="6">
        <f>UPPER(Sheet1!B1124)</f>
        <v/>
      </c>
      <c r="D1124" s="7">
        <f>IF(Sheet1!F1124="F","FEMALE","MALE")</f>
        <v/>
      </c>
      <c r="E1124" s="6">
        <f>UPPER(Sheet1!G1124)</f>
        <v/>
      </c>
      <c r="F1124" s="6">
        <f>UPPER(Sheet1!H1124)</f>
        <v/>
      </c>
      <c r="G1124" s="5">
        <f>TEXT(Sheet1!C1124,"dd/mm/yyyy") &amp; "," &amp; Sheet1!D1124</f>
        <v/>
      </c>
      <c r="H1124" s="38">
        <f>UPPER(Sheet1!J1124 &amp; "," &amp; Sheet1!K1124 &amp; "," &amp; Sheet1!L1124)</f>
        <v/>
      </c>
      <c r="I1124" s="45">
        <f>Sheet1!I1124</f>
        <v/>
      </c>
      <c r="J1124" s="5">
        <f>Sheet1!M1124 &amp; "," &amp; TEXT(Sheet1!N1124,"dd/mm/yy")</f>
        <v/>
      </c>
      <c r="K1124" s="5" t="inlineStr">
        <is>
          <t>PRINTED</t>
        </is>
      </c>
      <c r="L1124" t="inlineStr">
        <is>
          <t>25/03/2026</t>
        </is>
      </c>
      <c r="M1124" s="30" t="inlineStr">
        <is>
          <t>MANISH KATARIA, VICE CONSUL</t>
        </is>
      </c>
      <c r="N1124" s="30" t="n"/>
    </row>
    <row r="1125">
      <c r="A1125" s="4">
        <f>Sheet1!A1125 &amp; "/" &amp; "2025"</f>
        <v/>
      </c>
      <c r="B1125" s="5">
        <f>Sheet1!E1125</f>
        <v/>
      </c>
      <c r="C1125" s="6">
        <f>UPPER(Sheet1!B1125)</f>
        <v/>
      </c>
      <c r="D1125" s="7">
        <f>IF(Sheet1!F1125="F","FEMALE","MALE")</f>
        <v/>
      </c>
      <c r="E1125" s="6">
        <f>UPPER(Sheet1!G1125)</f>
        <v/>
      </c>
      <c r="F1125" s="6">
        <f>UPPER(Sheet1!H1125)</f>
        <v/>
      </c>
      <c r="G1125" s="5">
        <f>TEXT(Sheet1!C1125,"dd/mm/yyyy") &amp; "," &amp; Sheet1!D1125</f>
        <v/>
      </c>
      <c r="H1125" s="38">
        <f>UPPER(Sheet1!J1125 &amp; "," &amp; Sheet1!K1125 &amp; "," &amp; Sheet1!L1125)</f>
        <v/>
      </c>
      <c r="I1125" s="45">
        <f>Sheet1!I1125</f>
        <v/>
      </c>
      <c r="J1125" s="5">
        <f>Sheet1!M1125 &amp; "," &amp; TEXT(Sheet1!N1125,"dd/mm/yy")</f>
        <v/>
      </c>
      <c r="K1125" s="5" t="inlineStr">
        <is>
          <t>PRINTED</t>
        </is>
      </c>
      <c r="L1125" t="inlineStr">
        <is>
          <t>25/03/2026</t>
        </is>
      </c>
      <c r="M1125" s="30" t="inlineStr">
        <is>
          <t>MANISH KATARIA, VICE CONSUL</t>
        </is>
      </c>
      <c r="N1125" s="30" t="n"/>
    </row>
    <row r="1126">
      <c r="A1126" s="4">
        <f>Sheet1!A1126 &amp; "/" &amp; "2025"</f>
        <v/>
      </c>
      <c r="B1126" s="5">
        <f>Sheet1!E1126</f>
        <v/>
      </c>
      <c r="C1126" s="6">
        <f>UPPER(Sheet1!B1126)</f>
        <v/>
      </c>
      <c r="D1126" s="7">
        <f>IF(Sheet1!F1126="F","FEMALE","MALE")</f>
        <v/>
      </c>
      <c r="E1126" s="6">
        <f>UPPER(Sheet1!G1126)</f>
        <v/>
      </c>
      <c r="F1126" s="6">
        <f>UPPER(Sheet1!H1126)</f>
        <v/>
      </c>
      <c r="G1126" s="5">
        <f>TEXT(Sheet1!C1126,"dd/mm/yyyy") &amp; "," &amp; Sheet1!D1126</f>
        <v/>
      </c>
      <c r="H1126" s="38">
        <f>UPPER(Sheet1!J1126 &amp; "," &amp; Sheet1!K1126 &amp; "," &amp; Sheet1!L1126)</f>
        <v/>
      </c>
      <c r="I1126" s="45">
        <f>Sheet1!I1126</f>
        <v/>
      </c>
      <c r="J1126" s="5">
        <f>Sheet1!M1126 &amp; "," &amp; TEXT(Sheet1!N1126,"dd/mm/yy")</f>
        <v/>
      </c>
      <c r="K1126" s="5" t="inlineStr">
        <is>
          <t>PRINTED</t>
        </is>
      </c>
      <c r="L1126" t="inlineStr">
        <is>
          <t>25/03/2026</t>
        </is>
      </c>
      <c r="M1126" s="30" t="inlineStr">
        <is>
          <t>MANISH KATARIA, VICE CONSUL</t>
        </is>
      </c>
      <c r="N1126" s="30" t="n"/>
    </row>
    <row r="1127">
      <c r="A1127" s="4">
        <f>Sheet1!A1127 &amp; "/" &amp; "2025"</f>
        <v/>
      </c>
      <c r="B1127" s="5">
        <f>Sheet1!E1127</f>
        <v/>
      </c>
      <c r="C1127" s="6">
        <f>UPPER(Sheet1!B1127)</f>
        <v/>
      </c>
      <c r="D1127" s="7">
        <f>IF(Sheet1!F1127="F","FEMALE","MALE")</f>
        <v/>
      </c>
      <c r="E1127" s="6">
        <f>UPPER(Sheet1!G1127)</f>
        <v/>
      </c>
      <c r="F1127" s="6">
        <f>UPPER(Sheet1!H1127)</f>
        <v/>
      </c>
      <c r="G1127" s="5">
        <f>TEXT(Sheet1!C1127,"dd/mm/yyyy") &amp; "," &amp; Sheet1!D1127</f>
        <v/>
      </c>
      <c r="H1127" s="38">
        <f>UPPER(Sheet1!J1127 &amp; "," &amp; Sheet1!K1127 &amp; "," &amp; Sheet1!L1127)</f>
        <v/>
      </c>
      <c r="I1127" s="45">
        <f>Sheet1!I1127</f>
        <v/>
      </c>
      <c r="J1127" s="5">
        <f>Sheet1!M1127 &amp; "," &amp; TEXT(Sheet1!N1127,"dd/mm/yy")</f>
        <v/>
      </c>
      <c r="K1127" s="5" t="inlineStr">
        <is>
          <t>PRINTED</t>
        </is>
      </c>
      <c r="L1127" t="inlineStr">
        <is>
          <t>25/03/2026</t>
        </is>
      </c>
      <c r="M1127" s="30" t="inlineStr">
        <is>
          <t>MANISH KATARIA, VICE CONSUL</t>
        </is>
      </c>
      <c r="N1127" s="30" t="n"/>
    </row>
    <row r="1128">
      <c r="A1128" s="4">
        <f>Sheet1!A1128 &amp; "/" &amp; "2025"</f>
        <v/>
      </c>
      <c r="B1128" s="5">
        <f>Sheet1!E1128</f>
        <v/>
      </c>
      <c r="C1128" s="6">
        <f>UPPER(Sheet1!B1128)</f>
        <v/>
      </c>
      <c r="D1128" s="7">
        <f>IF(Sheet1!F1128="F","FEMALE","MALE")</f>
        <v/>
      </c>
      <c r="E1128" s="6">
        <f>UPPER(Sheet1!G1128)</f>
        <v/>
      </c>
      <c r="F1128" s="6">
        <f>UPPER(Sheet1!H1128)</f>
        <v/>
      </c>
      <c r="G1128" s="5">
        <f>TEXT(Sheet1!C1128,"dd/mm/yyyy") &amp; "," &amp; Sheet1!D1128</f>
        <v/>
      </c>
      <c r="H1128" s="38">
        <f>UPPER(Sheet1!J1128 &amp; "," &amp; Sheet1!K1128 &amp; "," &amp; Sheet1!L1128)</f>
        <v/>
      </c>
      <c r="I1128" s="45">
        <f>Sheet1!I1128</f>
        <v/>
      </c>
      <c r="J1128" s="5">
        <f>Sheet1!M1128 &amp; "," &amp; TEXT(Sheet1!N1128,"dd/mm/yy")</f>
        <v/>
      </c>
      <c r="K1128" s="5" t="inlineStr">
        <is>
          <t>PRINTED</t>
        </is>
      </c>
      <c r="L1128" t="inlineStr">
        <is>
          <t>25/03/2026</t>
        </is>
      </c>
      <c r="M1128" s="30" t="inlineStr">
        <is>
          <t>MANISH KATARIA, VICE CONSUL</t>
        </is>
      </c>
      <c r="N1128" s="30" t="n"/>
    </row>
    <row r="1129">
      <c r="A1129" s="4">
        <f>Sheet1!A1129 &amp; "/" &amp; "2025"</f>
        <v/>
      </c>
      <c r="B1129" s="5">
        <f>Sheet1!E1129</f>
        <v/>
      </c>
      <c r="C1129" s="6">
        <f>UPPER(Sheet1!B1129)</f>
        <v/>
      </c>
      <c r="D1129" s="7">
        <f>IF(Sheet1!F1129="F","FEMALE","MALE")</f>
        <v/>
      </c>
      <c r="E1129" s="6">
        <f>UPPER(Sheet1!G1129)</f>
        <v/>
      </c>
      <c r="F1129" s="6">
        <f>UPPER(Sheet1!H1129)</f>
        <v/>
      </c>
      <c r="G1129" s="5">
        <f>TEXT(Sheet1!C1129,"dd/mm/yyyy") &amp; "," &amp; Sheet1!D1129</f>
        <v/>
      </c>
      <c r="H1129" s="38">
        <f>UPPER(Sheet1!J1129 &amp; "," &amp; Sheet1!K1129 &amp; "," &amp; Sheet1!L1129)</f>
        <v/>
      </c>
      <c r="I1129" s="45">
        <f>Sheet1!I1129</f>
        <v/>
      </c>
      <c r="J1129" s="5">
        <f>Sheet1!M1129 &amp; "," &amp; TEXT(Sheet1!N1129,"dd/mm/yy")</f>
        <v/>
      </c>
      <c r="K1129" s="5" t="inlineStr">
        <is>
          <t>PRINTED</t>
        </is>
      </c>
      <c r="L1129" t="inlineStr">
        <is>
          <t>25/03/2026</t>
        </is>
      </c>
      <c r="M1129" s="30" t="inlineStr">
        <is>
          <t>MANISH KATARIA, VICE CONSUL</t>
        </is>
      </c>
      <c r="N1129" s="30" t="n"/>
    </row>
    <row r="1130">
      <c r="A1130" s="4">
        <f>Sheet1!A1130 &amp; "/" &amp; "2025"</f>
        <v/>
      </c>
      <c r="B1130" s="5">
        <f>Sheet1!E1130</f>
        <v/>
      </c>
      <c r="C1130" s="6">
        <f>UPPER(Sheet1!B1130)</f>
        <v/>
      </c>
      <c r="D1130" s="7">
        <f>IF(Sheet1!F1130="F","FEMALE","MALE")</f>
        <v/>
      </c>
      <c r="E1130" s="6">
        <f>UPPER(Sheet1!G1130)</f>
        <v/>
      </c>
      <c r="F1130" s="6">
        <f>UPPER(Sheet1!H1130)</f>
        <v/>
      </c>
      <c r="G1130" s="5">
        <f>TEXT(Sheet1!C1130,"dd/mm/yyyy") &amp; "," &amp; Sheet1!D1130</f>
        <v/>
      </c>
      <c r="H1130" s="38">
        <f>UPPER(Sheet1!J1130 &amp; "," &amp; Sheet1!K1130 &amp; "," &amp; Sheet1!L1130)</f>
        <v/>
      </c>
      <c r="I1130" s="45">
        <f>Sheet1!I1130</f>
        <v/>
      </c>
      <c r="J1130" s="5">
        <f>Sheet1!M1130 &amp; "," &amp; TEXT(Sheet1!N1130,"dd/mm/yy")</f>
        <v/>
      </c>
      <c r="K1130" s="5" t="inlineStr">
        <is>
          <t>PRINTED</t>
        </is>
      </c>
      <c r="L1130" t="inlineStr">
        <is>
          <t>25/03/2026</t>
        </is>
      </c>
      <c r="M1130" s="30" t="inlineStr">
        <is>
          <t>MANISH KATARIA, VICE CONSUL</t>
        </is>
      </c>
      <c r="N1130" s="30" t="n"/>
    </row>
    <row r="1131">
      <c r="A1131" s="4">
        <f>Sheet1!A1131 &amp; "/" &amp; "2025"</f>
        <v/>
      </c>
      <c r="B1131" s="5">
        <f>Sheet1!E1131</f>
        <v/>
      </c>
      <c r="C1131" s="6">
        <f>UPPER(Sheet1!B1131)</f>
        <v/>
      </c>
      <c r="D1131" s="7">
        <f>IF(Sheet1!F1131="F","FEMALE","MALE")</f>
        <v/>
      </c>
      <c r="E1131" s="6">
        <f>UPPER(Sheet1!G1131)</f>
        <v/>
      </c>
      <c r="F1131" s="6">
        <f>UPPER(Sheet1!H1131)</f>
        <v/>
      </c>
      <c r="G1131" s="5">
        <f>TEXT(Sheet1!C1131,"dd/mm/yyyy") &amp; "," &amp; Sheet1!D1131</f>
        <v/>
      </c>
      <c r="H1131" s="38">
        <f>UPPER(Sheet1!J1131 &amp; "," &amp; Sheet1!K1131 &amp; "," &amp; Sheet1!L1131)</f>
        <v/>
      </c>
      <c r="I1131" s="45">
        <f>Sheet1!I1131</f>
        <v/>
      </c>
      <c r="J1131" s="5">
        <f>Sheet1!M1131 &amp; "," &amp; TEXT(Sheet1!N1131,"dd/mm/yy")</f>
        <v/>
      </c>
      <c r="K1131" s="5" t="inlineStr">
        <is>
          <t>PRINTED</t>
        </is>
      </c>
      <c r="L1131" t="inlineStr">
        <is>
          <t>25/03/2026</t>
        </is>
      </c>
      <c r="M1131" s="30" t="inlineStr">
        <is>
          <t>MANISH KATARIA, VICE CONSUL</t>
        </is>
      </c>
      <c r="N1131" s="30" t="n"/>
    </row>
    <row r="1132">
      <c r="A1132" s="4">
        <f>Sheet1!A1132 &amp; "/" &amp; "2025"</f>
        <v/>
      </c>
      <c r="B1132" s="5">
        <f>Sheet1!E1132</f>
        <v/>
      </c>
      <c r="C1132" s="6">
        <f>UPPER(Sheet1!B1132)</f>
        <v/>
      </c>
      <c r="D1132" s="7">
        <f>IF(Sheet1!F1132="F","FEMALE","MALE")</f>
        <v/>
      </c>
      <c r="E1132" s="6">
        <f>UPPER(Sheet1!G1132)</f>
        <v/>
      </c>
      <c r="F1132" s="6">
        <f>UPPER(Sheet1!H1132)</f>
        <v/>
      </c>
      <c r="G1132" s="5">
        <f>TEXT(Sheet1!C1132,"dd/mm/yyyy") &amp; "," &amp; Sheet1!D1132</f>
        <v/>
      </c>
      <c r="H1132" s="38">
        <f>UPPER(Sheet1!J1132 &amp; "," &amp; Sheet1!K1132 &amp; "," &amp; Sheet1!L1132)</f>
        <v/>
      </c>
      <c r="I1132" s="45">
        <f>Sheet1!I1132</f>
        <v/>
      </c>
      <c r="J1132" s="5">
        <f>Sheet1!M1132 &amp; "," &amp; TEXT(Sheet1!N1132,"dd/mm/yy")</f>
        <v/>
      </c>
      <c r="K1132" s="5" t="inlineStr">
        <is>
          <t>PRINTED</t>
        </is>
      </c>
      <c r="L1132" t="inlineStr">
        <is>
          <t>25/03/2026</t>
        </is>
      </c>
      <c r="M1132" s="30" t="inlineStr">
        <is>
          <t>MANISH KATARIA, VICE CONSUL</t>
        </is>
      </c>
      <c r="N1132" s="30" t="n"/>
    </row>
    <row r="1133">
      <c r="A1133" s="4">
        <f>Sheet1!A1133 &amp; "/" &amp; "2025"</f>
        <v/>
      </c>
      <c r="B1133" s="5">
        <f>Sheet1!E1133</f>
        <v/>
      </c>
      <c r="C1133" s="6">
        <f>UPPER(Sheet1!B1133)</f>
        <v/>
      </c>
      <c r="D1133" s="7">
        <f>IF(Sheet1!F1133="F","FEMALE","MALE")</f>
        <v/>
      </c>
      <c r="E1133" s="6">
        <f>UPPER(Sheet1!G1133)</f>
        <v/>
      </c>
      <c r="F1133" s="6">
        <f>UPPER(Sheet1!H1133)</f>
        <v/>
      </c>
      <c r="G1133" s="5">
        <f>TEXT(Sheet1!C1133,"dd/mm/yyyy") &amp; "," &amp; Sheet1!D1133</f>
        <v/>
      </c>
      <c r="H1133" s="38">
        <f>UPPER(Sheet1!J1133 &amp; "," &amp; Sheet1!K1133 &amp; "," &amp; Sheet1!L1133)</f>
        <v/>
      </c>
      <c r="I1133" s="45">
        <f>Sheet1!I1133</f>
        <v/>
      </c>
      <c r="J1133" s="5">
        <f>Sheet1!M1133 &amp; "," &amp; TEXT(Sheet1!N1133,"dd/mm/yy")</f>
        <v/>
      </c>
      <c r="K1133" s="5" t="inlineStr">
        <is>
          <t>PRINTED</t>
        </is>
      </c>
      <c r="L1133" t="inlineStr">
        <is>
          <t>25/03/2026</t>
        </is>
      </c>
      <c r="M1133" s="30" t="inlineStr">
        <is>
          <t>MANISH KATARIA, VICE CONSUL</t>
        </is>
      </c>
      <c r="N1133" s="30" t="n"/>
    </row>
    <row r="1134">
      <c r="A1134" s="4">
        <f>Sheet1!A1134 &amp; "/" &amp; "2025"</f>
        <v/>
      </c>
      <c r="B1134" s="5">
        <f>Sheet1!E1134</f>
        <v/>
      </c>
      <c r="C1134" s="6">
        <f>UPPER(Sheet1!B1134)</f>
        <v/>
      </c>
      <c r="D1134" s="7">
        <f>IF(Sheet1!F1134="F","FEMALE","MALE")</f>
        <v/>
      </c>
      <c r="E1134" s="6">
        <f>UPPER(Sheet1!G1134)</f>
        <v/>
      </c>
      <c r="F1134" s="6">
        <f>UPPER(Sheet1!H1134)</f>
        <v/>
      </c>
      <c r="G1134" s="5">
        <f>TEXT(Sheet1!C1134,"dd/mm/yyyy") &amp; "," &amp; Sheet1!D1134</f>
        <v/>
      </c>
      <c r="H1134" s="38">
        <f>UPPER(Sheet1!J1134 &amp; "," &amp; Sheet1!K1134 &amp; "," &amp; Sheet1!L1134)</f>
        <v/>
      </c>
      <c r="I1134" s="45">
        <f>Sheet1!I1134</f>
        <v/>
      </c>
      <c r="J1134" s="5">
        <f>Sheet1!M1134 &amp; "," &amp; TEXT(Sheet1!N1134,"dd/mm/yy")</f>
        <v/>
      </c>
      <c r="K1134" s="5" t="inlineStr">
        <is>
          <t>PRINTED</t>
        </is>
      </c>
      <c r="L1134" t="inlineStr">
        <is>
          <t>25/03/2026</t>
        </is>
      </c>
      <c r="M1134" s="30" t="inlineStr">
        <is>
          <t>MANISH KATARIA, VICE CONSUL</t>
        </is>
      </c>
      <c r="N1134" s="30" t="n"/>
    </row>
    <row r="1135">
      <c r="A1135" s="4">
        <f>Sheet1!A1135 &amp; "/" &amp; "2025"</f>
        <v/>
      </c>
      <c r="B1135" s="5">
        <f>Sheet1!E1135</f>
        <v/>
      </c>
      <c r="C1135" s="6">
        <f>UPPER(Sheet1!B1135)</f>
        <v/>
      </c>
      <c r="D1135" s="7">
        <f>IF(Sheet1!F1135="F","FEMALE","MALE")</f>
        <v/>
      </c>
      <c r="E1135" s="6">
        <f>UPPER(Sheet1!G1135)</f>
        <v/>
      </c>
      <c r="F1135" s="6">
        <f>UPPER(Sheet1!H1135)</f>
        <v/>
      </c>
      <c r="G1135" s="5">
        <f>TEXT(Sheet1!C1135,"dd/mm/yyyy") &amp; "," &amp; Sheet1!D1135</f>
        <v/>
      </c>
      <c r="H1135" s="38">
        <f>UPPER(Sheet1!J1135 &amp; "," &amp; Sheet1!K1135 &amp; "," &amp; Sheet1!L1135)</f>
        <v/>
      </c>
      <c r="I1135" s="45">
        <f>Sheet1!I1135</f>
        <v/>
      </c>
      <c r="J1135" s="5">
        <f>Sheet1!M1135 &amp; "," &amp; TEXT(Sheet1!N1135,"dd/mm/yy")</f>
        <v/>
      </c>
      <c r="K1135" s="5" t="inlineStr">
        <is>
          <t>PRINTED</t>
        </is>
      </c>
      <c r="L1135" t="inlineStr">
        <is>
          <t>25/03/2026</t>
        </is>
      </c>
      <c r="M1135" s="30" t="inlineStr">
        <is>
          <t>MANISH KATARIA, VICE CONSUL</t>
        </is>
      </c>
      <c r="N1135" s="30" t="n"/>
    </row>
    <row r="1136">
      <c r="A1136" s="4">
        <f>Sheet1!A1136 &amp; "/" &amp; "2025"</f>
        <v/>
      </c>
      <c r="B1136" s="5">
        <f>Sheet1!E1136</f>
        <v/>
      </c>
      <c r="C1136" s="6">
        <f>UPPER(Sheet1!B1136)</f>
        <v/>
      </c>
      <c r="D1136" s="7">
        <f>IF(Sheet1!F1136="F","FEMALE","MALE")</f>
        <v/>
      </c>
      <c r="E1136" s="6">
        <f>UPPER(Sheet1!G1136)</f>
        <v/>
      </c>
      <c r="F1136" s="6">
        <f>UPPER(Sheet1!H1136)</f>
        <v/>
      </c>
      <c r="G1136" s="5">
        <f>TEXT(Sheet1!C1136,"dd/mm/yyyy") &amp; "," &amp; Sheet1!D1136</f>
        <v/>
      </c>
      <c r="H1136" s="38">
        <f>UPPER(Sheet1!J1136 &amp; "," &amp; Sheet1!K1136 &amp; "," &amp; Sheet1!L1136)</f>
        <v/>
      </c>
      <c r="I1136" s="45">
        <f>Sheet1!I1136</f>
        <v/>
      </c>
      <c r="J1136" s="5">
        <f>Sheet1!M1136 &amp; "," &amp; TEXT(Sheet1!N1136,"dd/mm/yy")</f>
        <v/>
      </c>
      <c r="K1136" s="5" t="inlineStr">
        <is>
          <t>PRINTED</t>
        </is>
      </c>
      <c r="L1136" t="inlineStr">
        <is>
          <t>25/03/2026</t>
        </is>
      </c>
      <c r="M1136" s="30" t="inlineStr">
        <is>
          <t>MANISH KATARIA, VICE CONSUL</t>
        </is>
      </c>
      <c r="N1136" s="30" t="n"/>
    </row>
    <row r="1137">
      <c r="A1137" s="4">
        <f>Sheet1!A1137 &amp; "/" &amp; "2025"</f>
        <v/>
      </c>
      <c r="B1137" s="5">
        <f>Sheet1!E1137</f>
        <v/>
      </c>
      <c r="C1137" s="6">
        <f>UPPER(Sheet1!B1137)</f>
        <v/>
      </c>
      <c r="D1137" s="7">
        <f>IF(Sheet1!F1137="F","FEMALE","MALE")</f>
        <v/>
      </c>
      <c r="E1137" s="6">
        <f>UPPER(Sheet1!G1137)</f>
        <v/>
      </c>
      <c r="F1137" s="6">
        <f>UPPER(Sheet1!H1137)</f>
        <v/>
      </c>
      <c r="G1137" s="5">
        <f>TEXT(Sheet1!C1137,"dd/mm/yyyy") &amp; "," &amp; Sheet1!D1137</f>
        <v/>
      </c>
      <c r="H1137" s="38">
        <f>UPPER(Sheet1!J1137 &amp; "," &amp; Sheet1!K1137 &amp; "," &amp; Sheet1!L1137)</f>
        <v/>
      </c>
      <c r="I1137" s="45">
        <f>Sheet1!I1137</f>
        <v/>
      </c>
      <c r="J1137" s="5">
        <f>Sheet1!M1137 &amp; "," &amp; TEXT(Sheet1!N1137,"dd/mm/yy")</f>
        <v/>
      </c>
      <c r="K1137" s="5" t="inlineStr">
        <is>
          <t>PRINTED</t>
        </is>
      </c>
      <c r="L1137" t="inlineStr">
        <is>
          <t>25/03/2026</t>
        </is>
      </c>
      <c r="M1137" s="30" t="inlineStr">
        <is>
          <t>MANISH KATARIA, VICE CONSUL</t>
        </is>
      </c>
      <c r="N1137" s="30" t="n"/>
    </row>
    <row r="1138">
      <c r="A1138" s="4">
        <f>Sheet1!A1138 &amp; "/" &amp; "2025"</f>
        <v/>
      </c>
      <c r="B1138" s="5">
        <f>Sheet1!E1138</f>
        <v/>
      </c>
      <c r="C1138" s="6">
        <f>UPPER(Sheet1!B1138)</f>
        <v/>
      </c>
      <c r="D1138" s="7">
        <f>IF(Sheet1!F1138="F","FEMALE","MALE")</f>
        <v/>
      </c>
      <c r="E1138" s="6">
        <f>UPPER(Sheet1!G1138)</f>
        <v/>
      </c>
      <c r="F1138" s="6">
        <f>UPPER(Sheet1!H1138)</f>
        <v/>
      </c>
      <c r="G1138" s="5">
        <f>TEXT(Sheet1!C1138,"dd/mm/yyyy") &amp; "," &amp; Sheet1!D1138</f>
        <v/>
      </c>
      <c r="H1138" s="38">
        <f>UPPER(Sheet1!J1138 &amp; "," &amp; Sheet1!K1138 &amp; "," &amp; Sheet1!L1138)</f>
        <v/>
      </c>
      <c r="I1138" s="45">
        <f>Sheet1!I1138</f>
        <v/>
      </c>
      <c r="J1138" s="5">
        <f>Sheet1!M1138 &amp; "," &amp; TEXT(Sheet1!N1138,"dd/mm/yy")</f>
        <v/>
      </c>
      <c r="K1138" s="5" t="inlineStr">
        <is>
          <t>PRINTED</t>
        </is>
      </c>
      <c r="L1138" t="inlineStr">
        <is>
          <t>25/03/2026</t>
        </is>
      </c>
      <c r="M1138" s="30" t="inlineStr">
        <is>
          <t>MANISH KATARIA, VICE CONSUL</t>
        </is>
      </c>
      <c r="N1138" s="30" t="n"/>
    </row>
    <row r="1139">
      <c r="A1139" s="4">
        <f>Sheet1!A1139 &amp; "/" &amp; "2025"</f>
        <v/>
      </c>
      <c r="B1139" s="5">
        <f>Sheet1!E1139</f>
        <v/>
      </c>
      <c r="C1139" s="6">
        <f>UPPER(Sheet1!B1139)</f>
        <v/>
      </c>
      <c r="D1139" s="7">
        <f>IF(Sheet1!F1139="F","FEMALE","MALE")</f>
        <v/>
      </c>
      <c r="E1139" s="6">
        <f>UPPER(Sheet1!G1139)</f>
        <v/>
      </c>
      <c r="F1139" s="6">
        <f>UPPER(Sheet1!H1139)</f>
        <v/>
      </c>
      <c r="G1139" s="5">
        <f>TEXT(Sheet1!C1139,"dd/mm/yyyy") &amp; "," &amp; Sheet1!D1139</f>
        <v/>
      </c>
      <c r="H1139" s="38">
        <f>UPPER(Sheet1!J1139 &amp; "," &amp; Sheet1!K1139 &amp; "," &amp; Sheet1!L1139)</f>
        <v/>
      </c>
      <c r="I1139" s="45">
        <f>Sheet1!I1139</f>
        <v/>
      </c>
      <c r="J1139" s="5">
        <f>Sheet1!M1139 &amp; "," &amp; TEXT(Sheet1!N1139,"dd/mm/yy")</f>
        <v/>
      </c>
      <c r="K1139" s="5" t="inlineStr">
        <is>
          <t>PRINTED</t>
        </is>
      </c>
      <c r="L1139" t="inlineStr">
        <is>
          <t>25/03/2026</t>
        </is>
      </c>
      <c r="M1139" s="30" t="inlineStr">
        <is>
          <t>MANISH KATARIA, VICE CONSUL</t>
        </is>
      </c>
      <c r="N1139" s="30" t="n"/>
    </row>
    <row r="1140">
      <c r="A1140" s="4">
        <f>Sheet1!A1140 &amp; "/" &amp; "2025"</f>
        <v/>
      </c>
      <c r="B1140" s="5">
        <f>Sheet1!E1140</f>
        <v/>
      </c>
      <c r="C1140" s="6">
        <f>UPPER(Sheet1!B1140)</f>
        <v/>
      </c>
      <c r="D1140" s="7">
        <f>IF(Sheet1!F1140="F","FEMALE","MALE")</f>
        <v/>
      </c>
      <c r="E1140" s="6">
        <f>UPPER(Sheet1!G1140)</f>
        <v/>
      </c>
      <c r="F1140" s="6">
        <f>UPPER(Sheet1!H1140)</f>
        <v/>
      </c>
      <c r="G1140" s="5">
        <f>TEXT(Sheet1!C1140,"dd/mm/yyyy") &amp; "," &amp; Sheet1!D1140</f>
        <v/>
      </c>
      <c r="H1140" s="38">
        <f>UPPER(Sheet1!J1140 &amp; "," &amp; Sheet1!K1140 &amp; "," &amp; Sheet1!L1140)</f>
        <v/>
      </c>
      <c r="I1140" s="45">
        <f>Sheet1!I1140</f>
        <v/>
      </c>
      <c r="J1140" s="5">
        <f>Sheet1!M1140 &amp; "," &amp; TEXT(Sheet1!N1140,"dd/mm/yy")</f>
        <v/>
      </c>
      <c r="K1140" s="5" t="inlineStr">
        <is>
          <t>PRINTED</t>
        </is>
      </c>
      <c r="L1140" t="inlineStr">
        <is>
          <t>25/03/2026</t>
        </is>
      </c>
      <c r="M1140" s="30" t="inlineStr">
        <is>
          <t>MANISH KATARIA, VICE CONSUL</t>
        </is>
      </c>
      <c r="N1140" s="30" t="n"/>
    </row>
    <row r="1141">
      <c r="A1141" s="4">
        <f>Sheet1!A1141 &amp; "/" &amp; "2025"</f>
        <v/>
      </c>
      <c r="B1141" s="5">
        <f>Sheet1!E1141</f>
        <v/>
      </c>
      <c r="C1141" s="6">
        <f>UPPER(Sheet1!B1141)</f>
        <v/>
      </c>
      <c r="D1141" s="7">
        <f>IF(Sheet1!F1141="F","FEMALE","MALE")</f>
        <v/>
      </c>
      <c r="E1141" s="6">
        <f>UPPER(Sheet1!G1141)</f>
        <v/>
      </c>
      <c r="F1141" s="6">
        <f>UPPER(Sheet1!H1141)</f>
        <v/>
      </c>
      <c r="G1141" s="5">
        <f>TEXT(Sheet1!C1141,"dd/mm/yyyy") &amp; "," &amp; Sheet1!D1141</f>
        <v/>
      </c>
      <c r="H1141" s="38">
        <f>UPPER(Sheet1!J1141 &amp; "," &amp; Sheet1!K1141 &amp; "," &amp; Sheet1!L1141)</f>
        <v/>
      </c>
      <c r="I1141" s="45">
        <f>Sheet1!I1141</f>
        <v/>
      </c>
      <c r="J1141" s="5">
        <f>Sheet1!M1141 &amp; "," &amp; TEXT(Sheet1!N1141,"dd/mm/yy")</f>
        <v/>
      </c>
      <c r="K1141" s="5" t="inlineStr">
        <is>
          <t>PRINTED</t>
        </is>
      </c>
      <c r="L1141" t="inlineStr">
        <is>
          <t>25/03/2026</t>
        </is>
      </c>
      <c r="M1141" s="30" t="inlineStr">
        <is>
          <t>MANISH KATARIA, VICE CONSUL</t>
        </is>
      </c>
      <c r="N1141" s="30" t="n"/>
    </row>
    <row r="1142">
      <c r="A1142" s="4">
        <f>Sheet1!A1142 &amp; "/" &amp; "2025"</f>
        <v/>
      </c>
      <c r="B1142" s="5">
        <f>Sheet1!E1142</f>
        <v/>
      </c>
      <c r="C1142" s="6">
        <f>UPPER(Sheet1!B1142)</f>
        <v/>
      </c>
      <c r="D1142" s="7">
        <f>IF(Sheet1!F1142="F","FEMALE","MALE")</f>
        <v/>
      </c>
      <c r="E1142" s="6">
        <f>UPPER(Sheet1!G1142)</f>
        <v/>
      </c>
      <c r="F1142" s="6">
        <f>UPPER(Sheet1!H1142)</f>
        <v/>
      </c>
      <c r="G1142" s="5">
        <f>TEXT(Sheet1!C1142,"dd/mm/yyyy") &amp; "," &amp; Sheet1!D1142</f>
        <v/>
      </c>
      <c r="H1142" s="38">
        <f>UPPER(Sheet1!J1142 &amp; "," &amp; Sheet1!K1142 &amp; "," &amp; Sheet1!L1142)</f>
        <v/>
      </c>
      <c r="I1142" s="45">
        <f>Sheet1!I1142</f>
        <v/>
      </c>
      <c r="J1142" s="5">
        <f>Sheet1!M1142 &amp; "," &amp; TEXT(Sheet1!N1142,"dd/mm/yy")</f>
        <v/>
      </c>
      <c r="K1142" s="5" t="inlineStr">
        <is>
          <t>PRINTED</t>
        </is>
      </c>
      <c r="L1142" t="inlineStr">
        <is>
          <t>25/03/2026</t>
        </is>
      </c>
      <c r="M1142" s="30" t="inlineStr">
        <is>
          <t>MANISH KATARIA, VICE CONSUL</t>
        </is>
      </c>
      <c r="N1142" s="30" t="n"/>
    </row>
    <row r="1143">
      <c r="A1143" s="4">
        <f>Sheet1!A1143 &amp; "/" &amp; "2025"</f>
        <v/>
      </c>
      <c r="B1143" s="5">
        <f>Sheet1!E1143</f>
        <v/>
      </c>
      <c r="C1143" s="6">
        <f>UPPER(Sheet1!B1143)</f>
        <v/>
      </c>
      <c r="D1143" s="7">
        <f>IF(Sheet1!F1143="F","FEMALE","MALE")</f>
        <v/>
      </c>
      <c r="E1143" s="6">
        <f>UPPER(Sheet1!G1143)</f>
        <v/>
      </c>
      <c r="F1143" s="6">
        <f>UPPER(Sheet1!H1143)</f>
        <v/>
      </c>
      <c r="G1143" s="5">
        <f>TEXT(Sheet1!C1143,"dd/mm/yyyy") &amp; "," &amp; Sheet1!D1143</f>
        <v/>
      </c>
      <c r="H1143" s="38">
        <f>UPPER(Sheet1!J1143 &amp; "," &amp; Sheet1!K1143 &amp; "," &amp; Sheet1!L1143)</f>
        <v/>
      </c>
      <c r="I1143" s="45">
        <f>Sheet1!I1143</f>
        <v/>
      </c>
      <c r="J1143" s="5">
        <f>Sheet1!M1143 &amp; "," &amp; TEXT(Sheet1!N1143,"dd/mm/yy")</f>
        <v/>
      </c>
      <c r="K1143" s="5" t="inlineStr">
        <is>
          <t>PRINTED</t>
        </is>
      </c>
      <c r="L1143" t="inlineStr">
        <is>
          <t>25/03/2026</t>
        </is>
      </c>
      <c r="M1143" s="30" t="inlineStr">
        <is>
          <t>MANISH KATARIA, VICE CONSUL</t>
        </is>
      </c>
      <c r="N1143" s="30" t="n"/>
    </row>
    <row r="1144">
      <c r="A1144" s="4">
        <f>Sheet1!A1144 &amp; "/" &amp; "2025"</f>
        <v/>
      </c>
      <c r="B1144" s="5">
        <f>Sheet1!E1144</f>
        <v/>
      </c>
      <c r="C1144" s="6">
        <f>UPPER(Sheet1!B1144)</f>
        <v/>
      </c>
      <c r="D1144" s="7">
        <f>IF(Sheet1!F1144="F","FEMALE","MALE")</f>
        <v/>
      </c>
      <c r="E1144" s="6">
        <f>UPPER(Sheet1!G1144)</f>
        <v/>
      </c>
      <c r="F1144" s="6">
        <f>UPPER(Sheet1!H1144)</f>
        <v/>
      </c>
      <c r="G1144" s="5">
        <f>TEXT(Sheet1!C1144,"dd/mm/yyyy") &amp; "," &amp; Sheet1!D1144</f>
        <v/>
      </c>
      <c r="H1144" s="38">
        <f>UPPER(Sheet1!J1144 &amp; "," &amp; Sheet1!K1144 &amp; "," &amp; Sheet1!L1144)</f>
        <v/>
      </c>
      <c r="I1144" s="45">
        <f>Sheet1!I1144</f>
        <v/>
      </c>
      <c r="J1144" s="5">
        <f>Sheet1!M1144 &amp; "," &amp; TEXT(Sheet1!N1144,"dd/mm/yy")</f>
        <v/>
      </c>
      <c r="K1144" s="5" t="inlineStr">
        <is>
          <t>PRINTED</t>
        </is>
      </c>
      <c r="L1144" t="inlineStr">
        <is>
          <t>25/03/2026</t>
        </is>
      </c>
      <c r="M1144" s="30" t="inlineStr">
        <is>
          <t>MANISH KATARIA, VICE CONSUL</t>
        </is>
      </c>
      <c r="N1144" s="30" t="n"/>
    </row>
    <row r="1145">
      <c r="A1145" s="4">
        <f>Sheet1!A1145 &amp; "/" &amp; "2025"</f>
        <v/>
      </c>
      <c r="B1145" s="5">
        <f>Sheet1!E1145</f>
        <v/>
      </c>
      <c r="C1145" s="6">
        <f>UPPER(Sheet1!B1145)</f>
        <v/>
      </c>
      <c r="D1145" s="7">
        <f>IF(Sheet1!F1145="F","FEMALE","MALE")</f>
        <v/>
      </c>
      <c r="E1145" s="6">
        <f>UPPER(Sheet1!G1145)</f>
        <v/>
      </c>
      <c r="F1145" s="6">
        <f>UPPER(Sheet1!H1145)</f>
        <v/>
      </c>
      <c r="G1145" s="5">
        <f>TEXT(Sheet1!C1145,"dd/mm/yyyy") &amp; "," &amp; Sheet1!D1145</f>
        <v/>
      </c>
      <c r="H1145" s="38">
        <f>UPPER(Sheet1!J1145 &amp; "," &amp; Sheet1!K1145 &amp; "," &amp; Sheet1!L1145)</f>
        <v/>
      </c>
      <c r="I1145" s="45">
        <f>Sheet1!I1145</f>
        <v/>
      </c>
      <c r="J1145" s="5">
        <f>Sheet1!M1145 &amp; "," &amp; TEXT(Sheet1!N1145,"dd/mm/yy")</f>
        <v/>
      </c>
      <c r="K1145" s="5" t="inlineStr">
        <is>
          <t>PRINTED</t>
        </is>
      </c>
      <c r="L1145" t="inlineStr">
        <is>
          <t>25/03/2026</t>
        </is>
      </c>
      <c r="M1145" s="30" t="inlineStr">
        <is>
          <t>MANISH KATARIA, VICE CONSUL</t>
        </is>
      </c>
      <c r="N1145" s="30" t="n"/>
    </row>
    <row r="1146">
      <c r="A1146" s="4">
        <f>Sheet1!A1146 &amp; "/" &amp; "2025"</f>
        <v/>
      </c>
      <c r="B1146" s="5">
        <f>Sheet1!E1146</f>
        <v/>
      </c>
      <c r="C1146" s="6">
        <f>UPPER(Sheet1!B1146)</f>
        <v/>
      </c>
      <c r="D1146" s="7">
        <f>IF(Sheet1!F1146="F","FEMALE","MALE")</f>
        <v/>
      </c>
      <c r="E1146" s="6">
        <f>UPPER(Sheet1!G1146)</f>
        <v/>
      </c>
      <c r="F1146" s="6">
        <f>UPPER(Sheet1!H1146)</f>
        <v/>
      </c>
      <c r="G1146" s="5">
        <f>TEXT(Sheet1!C1146,"dd/mm/yyyy") &amp; "," &amp; Sheet1!D1146</f>
        <v/>
      </c>
      <c r="H1146" s="38">
        <f>UPPER(Sheet1!J1146 &amp; "," &amp; Sheet1!K1146 &amp; "," &amp; Sheet1!L1146)</f>
        <v/>
      </c>
      <c r="I1146" s="45">
        <f>Sheet1!I1146</f>
        <v/>
      </c>
      <c r="J1146" s="5">
        <f>Sheet1!M1146 &amp; "," &amp; TEXT(Sheet1!N1146,"dd/mm/yy")</f>
        <v/>
      </c>
      <c r="K1146" s="5" t="inlineStr">
        <is>
          <t>PRINTED</t>
        </is>
      </c>
      <c r="L1146" t="inlineStr">
        <is>
          <t>25/03/2026</t>
        </is>
      </c>
      <c r="M1146" s="30" t="inlineStr">
        <is>
          <t>MANISH KATARIA, VICE CONSUL</t>
        </is>
      </c>
      <c r="N1146" s="30" t="n"/>
    </row>
    <row r="1147">
      <c r="A1147" s="4">
        <f>Sheet1!A1147 &amp; "/" &amp; "2025"</f>
        <v/>
      </c>
      <c r="B1147" s="5">
        <f>Sheet1!E1147</f>
        <v/>
      </c>
      <c r="C1147" s="6">
        <f>UPPER(Sheet1!B1147)</f>
        <v/>
      </c>
      <c r="D1147" s="7">
        <f>IF(Sheet1!F1147="F","FEMALE","MALE")</f>
        <v/>
      </c>
      <c r="E1147" s="6">
        <f>UPPER(Sheet1!G1147)</f>
        <v/>
      </c>
      <c r="F1147" s="6">
        <f>UPPER(Sheet1!H1147)</f>
        <v/>
      </c>
      <c r="G1147" s="5">
        <f>TEXT(Sheet1!C1147,"dd/mm/yyyy") &amp; "," &amp; Sheet1!D1147</f>
        <v/>
      </c>
      <c r="H1147" s="38">
        <f>UPPER(Sheet1!J1147 &amp; "," &amp; Sheet1!K1147 &amp; "," &amp; Sheet1!L1147)</f>
        <v/>
      </c>
      <c r="I1147" s="45">
        <f>Sheet1!I1147</f>
        <v/>
      </c>
      <c r="J1147" s="5">
        <f>Sheet1!M1147 &amp; "," &amp; TEXT(Sheet1!N1147,"dd/mm/yy")</f>
        <v/>
      </c>
      <c r="K1147" s="5" t="inlineStr">
        <is>
          <t>PRINTED</t>
        </is>
      </c>
      <c r="L1147" t="inlineStr">
        <is>
          <t>25/03/2026</t>
        </is>
      </c>
      <c r="M1147" s="30" t="inlineStr">
        <is>
          <t>MANISH KATARIA, VICE CONSUL</t>
        </is>
      </c>
      <c r="N1147" s="30" t="n"/>
    </row>
    <row r="1148">
      <c r="A1148" s="4">
        <f>Sheet1!A1148 &amp; "/" &amp; "2025"</f>
        <v/>
      </c>
      <c r="B1148" s="5">
        <f>Sheet1!E1148</f>
        <v/>
      </c>
      <c r="C1148" s="6">
        <f>UPPER(Sheet1!B1148)</f>
        <v/>
      </c>
      <c r="D1148" s="7">
        <f>IF(Sheet1!F1148="F","FEMALE","MALE")</f>
        <v/>
      </c>
      <c r="E1148" s="6">
        <f>UPPER(Sheet1!G1148)</f>
        <v/>
      </c>
      <c r="F1148" s="6">
        <f>UPPER(Sheet1!H1148)</f>
        <v/>
      </c>
      <c r="G1148" s="5">
        <f>TEXT(Sheet1!C1148,"dd/mm/yyyy") &amp; "," &amp; Sheet1!D1148</f>
        <v/>
      </c>
      <c r="H1148" s="38">
        <f>UPPER(Sheet1!J1148 &amp; "," &amp; Sheet1!K1148 &amp; "," &amp; Sheet1!L1148)</f>
        <v/>
      </c>
      <c r="I1148" s="45">
        <f>Sheet1!I1148</f>
        <v/>
      </c>
      <c r="J1148" s="5">
        <f>Sheet1!M1148 &amp; "," &amp; TEXT(Sheet1!N1148,"dd/mm/yy")</f>
        <v/>
      </c>
      <c r="K1148" s="5" t="inlineStr">
        <is>
          <t>PRINTED</t>
        </is>
      </c>
      <c r="L1148" t="inlineStr">
        <is>
          <t>25/03/2026</t>
        </is>
      </c>
      <c r="M1148" s="30" t="inlineStr">
        <is>
          <t>MANISH KATARIA, VICE CONSUL</t>
        </is>
      </c>
      <c r="N1148" s="30" t="n"/>
    </row>
    <row r="1149">
      <c r="A1149" s="4">
        <f>Sheet1!A1149 &amp; "/" &amp; "2025"</f>
        <v/>
      </c>
      <c r="B1149" s="5">
        <f>Sheet1!E1149</f>
        <v/>
      </c>
      <c r="C1149" s="6">
        <f>UPPER(Sheet1!B1149)</f>
        <v/>
      </c>
      <c r="D1149" s="7">
        <f>IF(Sheet1!F1149="F","FEMALE","MALE")</f>
        <v/>
      </c>
      <c r="E1149" s="6">
        <f>UPPER(Sheet1!G1149)</f>
        <v/>
      </c>
      <c r="F1149" s="6">
        <f>UPPER(Sheet1!H1149)</f>
        <v/>
      </c>
      <c r="G1149" s="5">
        <f>TEXT(Sheet1!C1149,"dd/mm/yyyy") &amp; "," &amp; Sheet1!D1149</f>
        <v/>
      </c>
      <c r="H1149" s="38">
        <f>UPPER(Sheet1!J1149 &amp; "," &amp; Sheet1!K1149 &amp; "," &amp; Sheet1!L1149)</f>
        <v/>
      </c>
      <c r="I1149" s="45">
        <f>Sheet1!I1149</f>
        <v/>
      </c>
      <c r="J1149" s="5">
        <f>Sheet1!M1149 &amp; "," &amp; TEXT(Sheet1!N1149,"dd/mm/yy")</f>
        <v/>
      </c>
      <c r="K1149" s="5" t="inlineStr">
        <is>
          <t>PRINTED</t>
        </is>
      </c>
      <c r="L1149" t="inlineStr">
        <is>
          <t>25/03/2026</t>
        </is>
      </c>
      <c r="M1149" s="30" t="inlineStr">
        <is>
          <t>MANISH KATARIA, VICE CONSUL</t>
        </is>
      </c>
      <c r="N1149" s="30" t="n"/>
    </row>
    <row r="1150">
      <c r="A1150" s="4">
        <f>Sheet1!A1150 &amp; "/" &amp; "2025"</f>
        <v/>
      </c>
      <c r="B1150" s="5">
        <f>Sheet1!E1150</f>
        <v/>
      </c>
      <c r="C1150" s="6">
        <f>UPPER(Sheet1!B1150)</f>
        <v/>
      </c>
      <c r="D1150" s="7">
        <f>IF(Sheet1!F1150="F","FEMALE","MALE")</f>
        <v/>
      </c>
      <c r="E1150" s="6">
        <f>UPPER(Sheet1!G1150)</f>
        <v/>
      </c>
      <c r="F1150" s="6">
        <f>UPPER(Sheet1!H1150)</f>
        <v/>
      </c>
      <c r="G1150" s="5">
        <f>TEXT(Sheet1!C1150,"dd/mm/yyyy") &amp; "," &amp; Sheet1!D1150</f>
        <v/>
      </c>
      <c r="H1150" s="38">
        <f>UPPER(Sheet1!J1150 &amp; "," &amp; Sheet1!K1150 &amp; "," &amp; Sheet1!L1150)</f>
        <v/>
      </c>
      <c r="I1150" s="45">
        <f>Sheet1!I1150</f>
        <v/>
      </c>
      <c r="J1150" s="5">
        <f>Sheet1!M1150 &amp; "," &amp; TEXT(Sheet1!N1150,"dd/mm/yy")</f>
        <v/>
      </c>
      <c r="K1150" s="5" t="inlineStr">
        <is>
          <t>PRINTED</t>
        </is>
      </c>
      <c r="L1150" t="inlineStr">
        <is>
          <t>25/03/2026</t>
        </is>
      </c>
      <c r="M1150" s="30" t="inlineStr">
        <is>
          <t>MANISH KATARIA, VICE CONSUL</t>
        </is>
      </c>
      <c r="N1150" s="30" t="n"/>
    </row>
    <row r="1151">
      <c r="A1151" s="4">
        <f>Sheet1!A1151 &amp; "/" &amp; "2025"</f>
        <v/>
      </c>
      <c r="B1151" s="5">
        <f>Sheet1!E1151</f>
        <v/>
      </c>
      <c r="C1151" s="6">
        <f>UPPER(Sheet1!B1151)</f>
        <v/>
      </c>
      <c r="D1151" s="7">
        <f>IF(Sheet1!F1151="F","FEMALE","MALE")</f>
        <v/>
      </c>
      <c r="E1151" s="6">
        <f>UPPER(Sheet1!G1151)</f>
        <v/>
      </c>
      <c r="F1151" s="6">
        <f>UPPER(Sheet1!H1151)</f>
        <v/>
      </c>
      <c r="G1151" s="5">
        <f>TEXT(Sheet1!C1151,"dd/mm/yyyy") &amp; "," &amp; Sheet1!D1151</f>
        <v/>
      </c>
      <c r="H1151" s="38">
        <f>UPPER(Sheet1!J1151 &amp; "," &amp; Sheet1!K1151 &amp; "," &amp; Sheet1!L1151)</f>
        <v/>
      </c>
      <c r="I1151" s="45">
        <f>Sheet1!I1151</f>
        <v/>
      </c>
      <c r="J1151" s="5">
        <f>Sheet1!M1151 &amp; "," &amp; TEXT(Sheet1!N1151,"dd/mm/yy")</f>
        <v/>
      </c>
      <c r="K1151" s="5" t="inlineStr">
        <is>
          <t>PRINTED</t>
        </is>
      </c>
      <c r="L1151" t="inlineStr">
        <is>
          <t>25/03/2026</t>
        </is>
      </c>
      <c r="M1151" s="30" t="inlineStr">
        <is>
          <t>MANISH KATARIA, VICE CONSUL</t>
        </is>
      </c>
      <c r="N1151" s="30" t="n"/>
    </row>
    <row r="1152">
      <c r="A1152" s="4">
        <f>Sheet1!A1152 &amp; "/" &amp; "2025"</f>
        <v/>
      </c>
      <c r="B1152" s="5">
        <f>Sheet1!E1152</f>
        <v/>
      </c>
      <c r="C1152" s="6">
        <f>UPPER(Sheet1!B1152)</f>
        <v/>
      </c>
      <c r="D1152" s="7">
        <f>IF(Sheet1!F1152="F","FEMALE","MALE")</f>
        <v/>
      </c>
      <c r="E1152" s="6">
        <f>UPPER(Sheet1!G1152)</f>
        <v/>
      </c>
      <c r="F1152" s="6">
        <f>UPPER(Sheet1!H1152)</f>
        <v/>
      </c>
      <c r="G1152" s="5">
        <f>TEXT(Sheet1!C1152,"dd/mm/yyyy") &amp; "," &amp; Sheet1!D1152</f>
        <v/>
      </c>
      <c r="H1152" s="38">
        <f>UPPER(Sheet1!J1152 &amp; "," &amp; Sheet1!K1152 &amp; "," &amp; Sheet1!L1152)</f>
        <v/>
      </c>
      <c r="I1152" s="45">
        <f>Sheet1!I1152</f>
        <v/>
      </c>
      <c r="J1152" s="5">
        <f>Sheet1!M1152 &amp; "," &amp; TEXT(Sheet1!N1152,"dd/mm/yy")</f>
        <v/>
      </c>
      <c r="K1152" s="5" t="inlineStr">
        <is>
          <t>PRINTED</t>
        </is>
      </c>
      <c r="L1152" t="inlineStr">
        <is>
          <t>25/03/2026</t>
        </is>
      </c>
      <c r="M1152" s="30" t="inlineStr">
        <is>
          <t>MANISH KATARIA, VICE CONSUL</t>
        </is>
      </c>
      <c r="N1152" s="30" t="n"/>
    </row>
    <row r="1153">
      <c r="A1153" s="4">
        <f>Sheet1!A1153 &amp; "/" &amp; "2025"</f>
        <v/>
      </c>
      <c r="B1153" s="5">
        <f>Sheet1!E1153</f>
        <v/>
      </c>
      <c r="C1153" s="6">
        <f>UPPER(Sheet1!B1153)</f>
        <v/>
      </c>
      <c r="D1153" s="7">
        <f>IF(Sheet1!F1153="F","FEMALE","MALE")</f>
        <v/>
      </c>
      <c r="E1153" s="6">
        <f>UPPER(Sheet1!G1153)</f>
        <v/>
      </c>
      <c r="F1153" s="6">
        <f>UPPER(Sheet1!H1153)</f>
        <v/>
      </c>
      <c r="G1153" s="5">
        <f>TEXT(Sheet1!C1153,"dd/mm/yyyy") &amp; "," &amp; Sheet1!D1153</f>
        <v/>
      </c>
      <c r="H1153" s="38">
        <f>UPPER(Sheet1!J1153 &amp; "," &amp; Sheet1!K1153 &amp; "," &amp; Sheet1!L1153)</f>
        <v/>
      </c>
      <c r="I1153" s="45">
        <f>Sheet1!I1153</f>
        <v/>
      </c>
      <c r="J1153" s="5">
        <f>Sheet1!M1153 &amp; "," &amp; TEXT(Sheet1!N1153,"dd/mm/yy")</f>
        <v/>
      </c>
      <c r="K1153" s="5" t="inlineStr">
        <is>
          <t>PRINTED</t>
        </is>
      </c>
      <c r="L1153" t="inlineStr">
        <is>
          <t>25/03/2026</t>
        </is>
      </c>
      <c r="M1153" s="30" t="inlineStr">
        <is>
          <t>MANISH KATARIA, VICE CONSUL</t>
        </is>
      </c>
      <c r="N1153" s="30" t="n"/>
    </row>
    <row r="1154">
      <c r="A1154" s="4">
        <f>Sheet1!A1154 &amp; "/" &amp; "2025"</f>
        <v/>
      </c>
      <c r="B1154" s="5">
        <f>Sheet1!E1154</f>
        <v/>
      </c>
      <c r="C1154" s="6">
        <f>UPPER(Sheet1!B1154)</f>
        <v/>
      </c>
      <c r="D1154" s="7">
        <f>IF(Sheet1!F1154="F","FEMALE","MALE")</f>
        <v/>
      </c>
      <c r="E1154" s="6">
        <f>UPPER(Sheet1!G1154)</f>
        <v/>
      </c>
      <c r="F1154" s="6">
        <f>UPPER(Sheet1!H1154)</f>
        <v/>
      </c>
      <c r="G1154" s="5">
        <f>TEXT(Sheet1!C1154,"dd/mm/yyyy") &amp; "," &amp; Sheet1!D1154</f>
        <v/>
      </c>
      <c r="H1154" s="38">
        <f>UPPER(Sheet1!J1154 &amp; "," &amp; Sheet1!K1154 &amp; "," &amp; Sheet1!L1154)</f>
        <v/>
      </c>
      <c r="I1154" s="45">
        <f>Sheet1!I1154</f>
        <v/>
      </c>
      <c r="J1154" s="5">
        <f>Sheet1!M1154 &amp; "," &amp; TEXT(Sheet1!N1154,"dd/mm/yy")</f>
        <v/>
      </c>
      <c r="K1154" s="5" t="inlineStr">
        <is>
          <t>PRINTED</t>
        </is>
      </c>
      <c r="L1154" t="inlineStr">
        <is>
          <t>25/03/2026</t>
        </is>
      </c>
      <c r="M1154" s="30" t="inlineStr">
        <is>
          <t>MANISH KATARIA, VICE CONSUL</t>
        </is>
      </c>
      <c r="N1154" s="30" t="n"/>
    </row>
    <row r="1155">
      <c r="A1155" s="4">
        <f>Sheet1!A1155 &amp; "/" &amp; "2025"</f>
        <v/>
      </c>
      <c r="B1155" s="5">
        <f>Sheet1!E1155</f>
        <v/>
      </c>
      <c r="C1155" s="6">
        <f>UPPER(Sheet1!B1155)</f>
        <v/>
      </c>
      <c r="D1155" s="7">
        <f>IF(Sheet1!F1155="F","FEMALE","MALE")</f>
        <v/>
      </c>
      <c r="E1155" s="6">
        <f>UPPER(Sheet1!G1155)</f>
        <v/>
      </c>
      <c r="F1155" s="6">
        <f>UPPER(Sheet1!H1155)</f>
        <v/>
      </c>
      <c r="G1155" s="5">
        <f>TEXT(Sheet1!C1155,"dd/mm/yyyy") &amp; "," &amp; Sheet1!D1155</f>
        <v/>
      </c>
      <c r="H1155" s="38">
        <f>UPPER(Sheet1!J1155 &amp; "," &amp; Sheet1!K1155 &amp; "," &amp; Sheet1!L1155)</f>
        <v/>
      </c>
      <c r="I1155" s="45">
        <f>Sheet1!I1155</f>
        <v/>
      </c>
      <c r="J1155" s="5">
        <f>Sheet1!M1155 &amp; "," &amp; TEXT(Sheet1!N1155,"dd/mm/yy")</f>
        <v/>
      </c>
      <c r="K1155" s="5" t="inlineStr">
        <is>
          <t>PRINTED</t>
        </is>
      </c>
      <c r="L1155" t="inlineStr">
        <is>
          <t>25/03/2026</t>
        </is>
      </c>
      <c r="M1155" s="30" t="inlineStr">
        <is>
          <t>MANISH KATARIA, VICE CONSUL</t>
        </is>
      </c>
      <c r="N1155" s="30" t="n"/>
    </row>
    <row r="1156">
      <c r="A1156" s="4">
        <f>Sheet1!A1156 &amp; "/" &amp; "2025"</f>
        <v/>
      </c>
      <c r="B1156" s="5">
        <f>Sheet1!E1156</f>
        <v/>
      </c>
      <c r="C1156" s="6">
        <f>UPPER(Sheet1!B1156)</f>
        <v/>
      </c>
      <c r="D1156" s="7">
        <f>IF(Sheet1!F1156="F","FEMALE","MALE")</f>
        <v/>
      </c>
      <c r="E1156" s="6">
        <f>UPPER(Sheet1!G1156)</f>
        <v/>
      </c>
      <c r="F1156" s="6">
        <f>UPPER(Sheet1!H1156)</f>
        <v/>
      </c>
      <c r="G1156" s="5">
        <f>TEXT(Sheet1!C1156,"dd/mm/yyyy") &amp; "," &amp; Sheet1!D1156</f>
        <v/>
      </c>
      <c r="H1156" s="38">
        <f>UPPER(Sheet1!J1156 &amp; "," &amp; Sheet1!K1156 &amp; "," &amp; Sheet1!L1156)</f>
        <v/>
      </c>
      <c r="I1156" s="45">
        <f>Sheet1!I1156</f>
        <v/>
      </c>
      <c r="J1156" s="5">
        <f>Sheet1!M1156 &amp; "," &amp; TEXT(Sheet1!N1156,"dd/mm/yy")</f>
        <v/>
      </c>
      <c r="K1156" s="5" t="inlineStr">
        <is>
          <t>PRINTED</t>
        </is>
      </c>
      <c r="L1156" t="inlineStr">
        <is>
          <t>25/03/2026</t>
        </is>
      </c>
      <c r="M1156" s="30" t="inlineStr">
        <is>
          <t>MANISH KATARIA, VICE CONSUL</t>
        </is>
      </c>
      <c r="N1156" s="30" t="n"/>
    </row>
    <row r="1157">
      <c r="A1157" s="4">
        <f>Sheet1!A1157 &amp; "/" &amp; "2025"</f>
        <v/>
      </c>
      <c r="B1157" s="5">
        <f>Sheet1!E1157</f>
        <v/>
      </c>
      <c r="C1157" s="6">
        <f>UPPER(Sheet1!B1157)</f>
        <v/>
      </c>
      <c r="D1157" s="7">
        <f>IF(Sheet1!F1157="F","FEMALE","MALE")</f>
        <v/>
      </c>
      <c r="E1157" s="6">
        <f>UPPER(Sheet1!G1157)</f>
        <v/>
      </c>
      <c r="F1157" s="6">
        <f>UPPER(Sheet1!H1157)</f>
        <v/>
      </c>
      <c r="G1157" s="5">
        <f>TEXT(Sheet1!C1157,"dd/mm/yyyy") &amp; "," &amp; Sheet1!D1157</f>
        <v/>
      </c>
      <c r="H1157" s="38">
        <f>UPPER(Sheet1!J1157 &amp; "," &amp; Sheet1!K1157 &amp; "," &amp; Sheet1!L1157)</f>
        <v/>
      </c>
      <c r="I1157" s="45">
        <f>Sheet1!I1157</f>
        <v/>
      </c>
      <c r="J1157" s="5">
        <f>Sheet1!M1157 &amp; "," &amp; TEXT(Sheet1!N1157,"dd/mm/yy")</f>
        <v/>
      </c>
      <c r="K1157" s="5" t="inlineStr">
        <is>
          <t>PRINTED</t>
        </is>
      </c>
      <c r="L1157" t="inlineStr">
        <is>
          <t>25/03/2026</t>
        </is>
      </c>
      <c r="M1157" s="30" t="inlineStr">
        <is>
          <t>MANISH KATARIA, VICE CONSUL</t>
        </is>
      </c>
      <c r="N1157" s="30" t="n"/>
    </row>
    <row r="1158">
      <c r="A1158" s="4">
        <f>Sheet1!A1158 &amp; "/" &amp; "2025"</f>
        <v/>
      </c>
      <c r="B1158" s="5">
        <f>Sheet1!E1158</f>
        <v/>
      </c>
      <c r="C1158" s="6">
        <f>UPPER(Sheet1!B1158)</f>
        <v/>
      </c>
      <c r="D1158" s="7">
        <f>IF(Sheet1!F1158="F","FEMALE","MALE")</f>
        <v/>
      </c>
      <c r="E1158" s="6">
        <f>UPPER(Sheet1!G1158)</f>
        <v/>
      </c>
      <c r="F1158" s="6">
        <f>UPPER(Sheet1!H1158)</f>
        <v/>
      </c>
      <c r="G1158" s="5">
        <f>TEXT(Sheet1!C1158,"dd/mm/yyyy") &amp; "," &amp; Sheet1!D1158</f>
        <v/>
      </c>
      <c r="H1158" s="38">
        <f>UPPER(Sheet1!J1158 &amp; "," &amp; Sheet1!K1158 &amp; "," &amp; Sheet1!L1158)</f>
        <v/>
      </c>
      <c r="I1158" s="45">
        <f>Sheet1!I1158</f>
        <v/>
      </c>
      <c r="J1158" s="5">
        <f>Sheet1!M1158 &amp; "," &amp; TEXT(Sheet1!N1158,"dd/mm/yy")</f>
        <v/>
      </c>
      <c r="K1158" s="5" t="inlineStr">
        <is>
          <t>PRINTED</t>
        </is>
      </c>
      <c r="L1158" t="inlineStr">
        <is>
          <t>25/03/2026</t>
        </is>
      </c>
      <c r="M1158" s="30" t="inlineStr">
        <is>
          <t>MANISH KATARIA, VICE CONSUL</t>
        </is>
      </c>
      <c r="N1158" s="30" t="n"/>
    </row>
    <row r="1159">
      <c r="A1159" s="4">
        <f>Sheet1!A1159 &amp; "/" &amp; "2025"</f>
        <v/>
      </c>
      <c r="B1159" s="5">
        <f>Sheet1!E1159</f>
        <v/>
      </c>
      <c r="C1159" s="6">
        <f>UPPER(Sheet1!B1159)</f>
        <v/>
      </c>
      <c r="D1159" s="7">
        <f>IF(Sheet1!F1159="F","FEMALE","MALE")</f>
        <v/>
      </c>
      <c r="E1159" s="6">
        <f>UPPER(Sheet1!G1159)</f>
        <v/>
      </c>
      <c r="F1159" s="6">
        <f>UPPER(Sheet1!H1159)</f>
        <v/>
      </c>
      <c r="G1159" s="5">
        <f>TEXT(Sheet1!C1159,"dd/mm/yyyy") &amp; "," &amp; Sheet1!D1159</f>
        <v/>
      </c>
      <c r="H1159" s="38">
        <f>UPPER(Sheet1!J1159 &amp; "," &amp; Sheet1!K1159 &amp; "," &amp; Sheet1!L1159)</f>
        <v/>
      </c>
      <c r="I1159" s="45">
        <f>Sheet1!I1159</f>
        <v/>
      </c>
      <c r="J1159" s="5">
        <f>Sheet1!M1159 &amp; "," &amp; TEXT(Sheet1!N1159,"dd/mm/yy")</f>
        <v/>
      </c>
      <c r="K1159" s="5" t="inlineStr">
        <is>
          <t>PRINTED</t>
        </is>
      </c>
      <c r="L1159" t="inlineStr">
        <is>
          <t>25/03/2026</t>
        </is>
      </c>
      <c r="M1159" s="30" t="inlineStr">
        <is>
          <t>MANISH KATARIA, VICE CONSUL</t>
        </is>
      </c>
      <c r="N1159" s="30" t="n"/>
    </row>
    <row r="1160">
      <c r="A1160" s="4">
        <f>Sheet1!A1160 &amp; "/" &amp; "2025"</f>
        <v/>
      </c>
      <c r="B1160" s="5">
        <f>Sheet1!E1160</f>
        <v/>
      </c>
      <c r="C1160" s="6">
        <f>UPPER(Sheet1!B1160)</f>
        <v/>
      </c>
      <c r="D1160" s="7">
        <f>IF(Sheet1!F1160="F","FEMALE","MALE")</f>
        <v/>
      </c>
      <c r="E1160" s="6">
        <f>UPPER(Sheet1!G1160)</f>
        <v/>
      </c>
      <c r="F1160" s="6">
        <f>UPPER(Sheet1!H1160)</f>
        <v/>
      </c>
      <c r="G1160" s="5">
        <f>TEXT(Sheet1!C1160,"dd/mm/yyyy") &amp; "," &amp; Sheet1!D1160</f>
        <v/>
      </c>
      <c r="H1160" s="38">
        <f>UPPER(Sheet1!J1160 &amp; "," &amp; Sheet1!K1160 &amp; "," &amp; Sheet1!L1160)</f>
        <v/>
      </c>
      <c r="I1160" s="45">
        <f>Sheet1!I1160</f>
        <v/>
      </c>
      <c r="J1160" s="5">
        <f>Sheet1!M1160 &amp; "," &amp; TEXT(Sheet1!N1160,"dd/mm/yy")</f>
        <v/>
      </c>
      <c r="K1160" s="5" t="inlineStr">
        <is>
          <t>PRINTED</t>
        </is>
      </c>
      <c r="L1160" t="inlineStr">
        <is>
          <t>25/03/2026</t>
        </is>
      </c>
      <c r="M1160" s="30" t="inlineStr">
        <is>
          <t>MANISH KATARIA, VICE CONSUL</t>
        </is>
      </c>
      <c r="N1160" s="30" t="n"/>
    </row>
    <row r="1161">
      <c r="A1161" s="4">
        <f>Sheet1!A1161 &amp; "/" &amp; "2025"</f>
        <v/>
      </c>
      <c r="B1161" s="5">
        <f>Sheet1!E1161</f>
        <v/>
      </c>
      <c r="C1161" s="6">
        <f>UPPER(Sheet1!B1161)</f>
        <v/>
      </c>
      <c r="D1161" s="7">
        <f>IF(Sheet1!F1161="F","FEMALE","MALE")</f>
        <v/>
      </c>
      <c r="E1161" s="6">
        <f>UPPER(Sheet1!G1161)</f>
        <v/>
      </c>
      <c r="F1161" s="6">
        <f>UPPER(Sheet1!H1161)</f>
        <v/>
      </c>
      <c r="G1161" s="5">
        <f>TEXT(Sheet1!C1161,"dd/mm/yyyy") &amp; "," &amp; Sheet1!D1161</f>
        <v/>
      </c>
      <c r="H1161" s="38">
        <f>UPPER(Sheet1!J1161 &amp; "," &amp; Sheet1!K1161 &amp; "," &amp; Sheet1!L1161)</f>
        <v/>
      </c>
      <c r="I1161" s="45">
        <f>Sheet1!I1161</f>
        <v/>
      </c>
      <c r="J1161" s="5">
        <f>Sheet1!M1161 &amp; "," &amp; TEXT(Sheet1!N1161,"dd/mm/yy")</f>
        <v/>
      </c>
      <c r="K1161" s="5" t="inlineStr">
        <is>
          <t>PRINTED</t>
        </is>
      </c>
      <c r="L1161" t="inlineStr">
        <is>
          <t>25/03/2026</t>
        </is>
      </c>
      <c r="M1161" s="30" t="inlineStr">
        <is>
          <t>MANISH KATARIA, VICE CONSUL</t>
        </is>
      </c>
      <c r="N1161" s="30" t="n"/>
    </row>
    <row r="1162">
      <c r="A1162" s="4">
        <f>Sheet1!A1162 &amp; "/" &amp; "2025"</f>
        <v/>
      </c>
      <c r="B1162" s="5">
        <f>Sheet1!E1162</f>
        <v/>
      </c>
      <c r="C1162" s="6">
        <f>UPPER(Sheet1!B1162)</f>
        <v/>
      </c>
      <c r="D1162" s="7">
        <f>IF(Sheet1!F1162="F","FEMALE","MALE")</f>
        <v/>
      </c>
      <c r="E1162" s="6">
        <f>UPPER(Sheet1!G1162)</f>
        <v/>
      </c>
      <c r="F1162" s="6">
        <f>UPPER(Sheet1!H1162)</f>
        <v/>
      </c>
      <c r="G1162" s="5">
        <f>TEXT(Sheet1!C1162,"dd/mm/yyyy") &amp; "," &amp; Sheet1!D1162</f>
        <v/>
      </c>
      <c r="H1162" s="38">
        <f>UPPER(Sheet1!J1162 &amp; "," &amp; Sheet1!K1162 &amp; "," &amp; Sheet1!L1162)</f>
        <v/>
      </c>
      <c r="I1162" s="45">
        <f>Sheet1!I1162</f>
        <v/>
      </c>
      <c r="J1162" s="5">
        <f>Sheet1!M1162 &amp; "," &amp; TEXT(Sheet1!N1162,"dd/mm/yy")</f>
        <v/>
      </c>
      <c r="K1162" s="5" t="inlineStr">
        <is>
          <t>PRINTED</t>
        </is>
      </c>
      <c r="L1162" t="inlineStr">
        <is>
          <t>25/03/2026</t>
        </is>
      </c>
      <c r="M1162" s="30" t="inlineStr">
        <is>
          <t>MANISH KATARIA, VICE CONSUL</t>
        </is>
      </c>
      <c r="N1162" s="30" t="n"/>
    </row>
    <row r="1163">
      <c r="A1163" s="4">
        <f>Sheet1!A1163 &amp; "/" &amp; "2025"</f>
        <v/>
      </c>
      <c r="B1163" s="5">
        <f>Sheet1!E1163</f>
        <v/>
      </c>
      <c r="C1163" s="6">
        <f>UPPER(Sheet1!B1163)</f>
        <v/>
      </c>
      <c r="D1163" s="7">
        <f>IF(Sheet1!F1163="F","FEMALE","MALE")</f>
        <v/>
      </c>
      <c r="E1163" s="6">
        <f>UPPER(Sheet1!G1163)</f>
        <v/>
      </c>
      <c r="F1163" s="6">
        <f>UPPER(Sheet1!H1163)</f>
        <v/>
      </c>
      <c r="G1163" s="5">
        <f>TEXT(Sheet1!C1163,"dd/mm/yyyy") &amp; "," &amp; Sheet1!D1163</f>
        <v/>
      </c>
      <c r="H1163" s="38">
        <f>UPPER(Sheet1!J1163 &amp; "," &amp; Sheet1!K1163 &amp; "," &amp; Sheet1!L1163)</f>
        <v/>
      </c>
      <c r="I1163" s="45">
        <f>Sheet1!I1163</f>
        <v/>
      </c>
      <c r="J1163" s="5">
        <f>Sheet1!M1163 &amp; "," &amp; TEXT(Sheet1!N1163,"dd/mm/yy")</f>
        <v/>
      </c>
      <c r="K1163" s="5" t="inlineStr">
        <is>
          <t>PRINTED</t>
        </is>
      </c>
      <c r="L1163" t="inlineStr">
        <is>
          <t>25/03/2026</t>
        </is>
      </c>
      <c r="M1163" s="30" t="inlineStr">
        <is>
          <t>MANISH KATARIA, VICE CONSUL</t>
        </is>
      </c>
      <c r="N1163" s="30" t="n"/>
    </row>
    <row r="1164">
      <c r="A1164" s="4">
        <f>Sheet1!A1164 &amp; "/" &amp; "2025"</f>
        <v/>
      </c>
      <c r="B1164" s="5">
        <f>Sheet1!E1164</f>
        <v/>
      </c>
      <c r="C1164" s="6">
        <f>UPPER(Sheet1!B1164)</f>
        <v/>
      </c>
      <c r="D1164" s="7">
        <f>IF(Sheet1!F1164="F","FEMALE","MALE")</f>
        <v/>
      </c>
      <c r="E1164" s="6">
        <f>UPPER(Sheet1!G1164)</f>
        <v/>
      </c>
      <c r="F1164" s="6">
        <f>UPPER(Sheet1!H1164)</f>
        <v/>
      </c>
      <c r="G1164" s="5">
        <f>TEXT(Sheet1!C1164,"dd/mm/yyyy") &amp; "," &amp; Sheet1!D1164</f>
        <v/>
      </c>
      <c r="H1164" s="38">
        <f>UPPER(Sheet1!J1164 &amp; "," &amp; Sheet1!K1164 &amp; "," &amp; Sheet1!L1164)</f>
        <v/>
      </c>
      <c r="I1164" s="45">
        <f>Sheet1!I1164</f>
        <v/>
      </c>
      <c r="J1164" s="5">
        <f>Sheet1!M1164 &amp; "," &amp; TEXT(Sheet1!N1164,"dd/mm/yy")</f>
        <v/>
      </c>
      <c r="K1164" s="5" t="inlineStr">
        <is>
          <t>PRINTED</t>
        </is>
      </c>
      <c r="L1164" t="inlineStr">
        <is>
          <t>25/03/2026</t>
        </is>
      </c>
      <c r="M1164" s="30" t="inlineStr">
        <is>
          <t>MANISH KATARIA, VICE CONSUL</t>
        </is>
      </c>
      <c r="N1164" s="30" t="n"/>
    </row>
    <row r="1165">
      <c r="A1165" s="4">
        <f>Sheet1!A1165 &amp; "/" &amp; "2025"</f>
        <v/>
      </c>
      <c r="B1165" s="5">
        <f>Sheet1!E1165</f>
        <v/>
      </c>
      <c r="C1165" s="6">
        <f>UPPER(Sheet1!B1165)</f>
        <v/>
      </c>
      <c r="D1165" s="7">
        <f>IF(Sheet1!F1165="F","FEMALE","MALE")</f>
        <v/>
      </c>
      <c r="E1165" s="6">
        <f>UPPER(Sheet1!G1165)</f>
        <v/>
      </c>
      <c r="F1165" s="6">
        <f>UPPER(Sheet1!H1165)</f>
        <v/>
      </c>
      <c r="G1165" s="5">
        <f>TEXT(Sheet1!C1165,"dd/mm/yyyy") &amp; "," &amp; Sheet1!D1165</f>
        <v/>
      </c>
      <c r="H1165" s="38">
        <f>UPPER(Sheet1!J1165 &amp; "," &amp; Sheet1!K1165 &amp; "," &amp; Sheet1!L1165)</f>
        <v/>
      </c>
      <c r="I1165" s="45">
        <f>Sheet1!I1165</f>
        <v/>
      </c>
      <c r="J1165" s="5">
        <f>Sheet1!M1165 &amp; "," &amp; TEXT(Sheet1!N1165,"dd/mm/yy")</f>
        <v/>
      </c>
      <c r="K1165" s="5" t="inlineStr">
        <is>
          <t>PRINTED</t>
        </is>
      </c>
      <c r="L1165" t="inlineStr">
        <is>
          <t>25/03/2026</t>
        </is>
      </c>
      <c r="M1165" s="30" t="inlineStr">
        <is>
          <t>MANISH KATARIA, VICE CONSUL</t>
        </is>
      </c>
      <c r="N1165" s="30" t="n"/>
    </row>
    <row r="1166">
      <c r="A1166" s="4">
        <f>Sheet1!A1166 &amp; "/" &amp; "2025"</f>
        <v/>
      </c>
      <c r="B1166" s="5">
        <f>Sheet1!E1166</f>
        <v/>
      </c>
      <c r="C1166" s="6">
        <f>UPPER(Sheet1!B1166)</f>
        <v/>
      </c>
      <c r="D1166" s="7">
        <f>IF(Sheet1!F1166="F","FEMALE","MALE")</f>
        <v/>
      </c>
      <c r="E1166" s="6">
        <f>UPPER(Sheet1!G1166)</f>
        <v/>
      </c>
      <c r="F1166" s="6">
        <f>UPPER(Sheet1!H1166)</f>
        <v/>
      </c>
      <c r="G1166" s="5">
        <f>TEXT(Sheet1!C1166,"dd/mm/yyyy") &amp; "," &amp; Sheet1!D1166</f>
        <v/>
      </c>
      <c r="H1166" s="38">
        <f>UPPER(Sheet1!J1166 &amp; "," &amp; Sheet1!K1166 &amp; "," &amp; Sheet1!L1166)</f>
        <v/>
      </c>
      <c r="I1166" s="45">
        <f>Sheet1!I1166</f>
        <v/>
      </c>
      <c r="J1166" s="5">
        <f>Sheet1!M1166 &amp; "," &amp; TEXT(Sheet1!N1166,"dd/mm/yy")</f>
        <v/>
      </c>
      <c r="K1166" s="5" t="inlineStr">
        <is>
          <t>PRINTED</t>
        </is>
      </c>
      <c r="L1166" t="inlineStr">
        <is>
          <t>25/03/2026</t>
        </is>
      </c>
      <c r="M1166" s="30" t="inlineStr">
        <is>
          <t>MANISH KATARIA, VICE CONSUL</t>
        </is>
      </c>
      <c r="N1166" s="30" t="n"/>
    </row>
    <row r="1167">
      <c r="A1167" s="4">
        <f>Sheet1!A1167 &amp; "/" &amp; "2025"</f>
        <v/>
      </c>
      <c r="B1167" s="5">
        <f>Sheet1!E1167</f>
        <v/>
      </c>
      <c r="C1167" s="6">
        <f>UPPER(Sheet1!B1167)</f>
        <v/>
      </c>
      <c r="D1167" s="7">
        <f>IF(Sheet1!F1167="F","FEMALE","MALE")</f>
        <v/>
      </c>
      <c r="E1167" s="6">
        <f>UPPER(Sheet1!G1167)</f>
        <v/>
      </c>
      <c r="F1167" s="6">
        <f>UPPER(Sheet1!H1167)</f>
        <v/>
      </c>
      <c r="G1167" s="5">
        <f>TEXT(Sheet1!C1167,"dd/mm/yyyy") &amp; "," &amp; Sheet1!D1167</f>
        <v/>
      </c>
      <c r="H1167" s="38">
        <f>UPPER(Sheet1!J1167 &amp; "," &amp; Sheet1!K1167 &amp; "," &amp; Sheet1!L1167)</f>
        <v/>
      </c>
      <c r="I1167" s="45">
        <f>Sheet1!I1167</f>
        <v/>
      </c>
      <c r="J1167" s="5">
        <f>Sheet1!M1167 &amp; "," &amp; TEXT(Sheet1!N1167,"dd/mm/yy")</f>
        <v/>
      </c>
      <c r="K1167" s="5" t="inlineStr">
        <is>
          <t>PRINTED</t>
        </is>
      </c>
      <c r="L1167" t="inlineStr">
        <is>
          <t>25/03/2026</t>
        </is>
      </c>
      <c r="M1167" s="30" t="inlineStr">
        <is>
          <t>MANISH KATARIA, VICE CONSUL</t>
        </is>
      </c>
      <c r="N1167" s="30" t="n"/>
    </row>
    <row r="1168">
      <c r="A1168" s="4">
        <f>Sheet1!A1168 &amp; "/" &amp; "2025"</f>
        <v/>
      </c>
      <c r="B1168" s="5">
        <f>Sheet1!E1168</f>
        <v/>
      </c>
      <c r="C1168" s="6">
        <f>UPPER(Sheet1!B1168)</f>
        <v/>
      </c>
      <c r="D1168" s="7">
        <f>IF(Sheet1!F1168="F","FEMALE","MALE")</f>
        <v/>
      </c>
      <c r="E1168" s="6">
        <f>UPPER(Sheet1!G1168)</f>
        <v/>
      </c>
      <c r="F1168" s="6">
        <f>UPPER(Sheet1!H1168)</f>
        <v/>
      </c>
      <c r="G1168" s="5">
        <f>TEXT(Sheet1!C1168,"dd/mm/yyyy") &amp; "," &amp; Sheet1!D1168</f>
        <v/>
      </c>
      <c r="H1168" s="38">
        <f>UPPER(Sheet1!J1168 &amp; "," &amp; Sheet1!K1168 &amp; "," &amp; Sheet1!L1168)</f>
        <v/>
      </c>
      <c r="I1168" s="45">
        <f>Sheet1!I1168</f>
        <v/>
      </c>
      <c r="J1168" s="5">
        <f>Sheet1!M1168 &amp; "," &amp; TEXT(Sheet1!N1168,"dd/mm/yy")</f>
        <v/>
      </c>
      <c r="K1168" s="5" t="inlineStr">
        <is>
          <t>PRINTED</t>
        </is>
      </c>
      <c r="L1168" t="inlineStr">
        <is>
          <t>25/03/2026</t>
        </is>
      </c>
      <c r="M1168" s="30" t="inlineStr">
        <is>
          <t>MANISH KATARIA, VICE CONSUL</t>
        </is>
      </c>
      <c r="N1168" s="30" t="n"/>
    </row>
    <row r="1169">
      <c r="A1169" s="4">
        <f>Sheet1!A1169 &amp; "/" &amp; "2025"</f>
        <v/>
      </c>
      <c r="B1169" s="5">
        <f>Sheet1!E1169</f>
        <v/>
      </c>
      <c r="C1169" s="6">
        <f>UPPER(Sheet1!B1169)</f>
        <v/>
      </c>
      <c r="D1169" s="7">
        <f>IF(Sheet1!F1169="F","FEMALE","MALE")</f>
        <v/>
      </c>
      <c r="E1169" s="6">
        <f>UPPER(Sheet1!G1169)</f>
        <v/>
      </c>
      <c r="F1169" s="6">
        <f>UPPER(Sheet1!H1169)</f>
        <v/>
      </c>
      <c r="G1169" s="5">
        <f>TEXT(Sheet1!C1169,"dd/mm/yyyy") &amp; "," &amp; Sheet1!D1169</f>
        <v/>
      </c>
      <c r="H1169" s="38">
        <f>UPPER(Sheet1!J1169 &amp; "," &amp; Sheet1!K1169 &amp; "," &amp; Sheet1!L1169)</f>
        <v/>
      </c>
      <c r="I1169" s="45">
        <f>Sheet1!I1169</f>
        <v/>
      </c>
      <c r="J1169" s="5">
        <f>Sheet1!M1169 &amp; "," &amp; TEXT(Sheet1!N1169,"dd/mm/yy")</f>
        <v/>
      </c>
      <c r="K1169" s="5" t="inlineStr">
        <is>
          <t>PRINTED</t>
        </is>
      </c>
      <c r="L1169" t="inlineStr">
        <is>
          <t>25/03/2026</t>
        </is>
      </c>
      <c r="M1169" s="30" t="inlineStr">
        <is>
          <t>MANISH KATARIA, VICE CONSUL</t>
        </is>
      </c>
      <c r="N1169" s="30" t="n"/>
    </row>
    <row r="1170">
      <c r="A1170" s="4">
        <f>Sheet1!A1170 &amp; "/" &amp; "2025"</f>
        <v/>
      </c>
      <c r="B1170" s="5">
        <f>Sheet1!E1170</f>
        <v/>
      </c>
      <c r="C1170" s="6">
        <f>UPPER(Sheet1!B1170)</f>
        <v/>
      </c>
      <c r="D1170" s="7">
        <f>IF(Sheet1!F1170="F","FEMALE","MALE")</f>
        <v/>
      </c>
      <c r="E1170" s="6">
        <f>UPPER(Sheet1!G1170)</f>
        <v/>
      </c>
      <c r="F1170" s="6">
        <f>UPPER(Sheet1!H1170)</f>
        <v/>
      </c>
      <c r="G1170" s="5">
        <f>TEXT(Sheet1!C1170,"dd/mm/yyyy") &amp; "," &amp; Sheet1!D1170</f>
        <v/>
      </c>
      <c r="H1170" s="38">
        <f>UPPER(Sheet1!J1170 &amp; "," &amp; Sheet1!K1170 &amp; "," &amp; Sheet1!L1170)</f>
        <v/>
      </c>
      <c r="I1170" s="45">
        <f>Sheet1!I1170</f>
        <v/>
      </c>
      <c r="J1170" s="5">
        <f>Sheet1!M1170 &amp; "," &amp; TEXT(Sheet1!N1170,"dd/mm/yy")</f>
        <v/>
      </c>
      <c r="K1170" s="5" t="inlineStr">
        <is>
          <t>PRINTED</t>
        </is>
      </c>
      <c r="L1170" t="inlineStr">
        <is>
          <t>25/03/2026</t>
        </is>
      </c>
      <c r="M1170" s="30" t="inlineStr">
        <is>
          <t>MANISH KATARIA, VICE CONSUL</t>
        </is>
      </c>
      <c r="N1170" s="30" t="n"/>
    </row>
    <row r="1171">
      <c r="A1171" s="4">
        <f>Sheet1!A1171 &amp; "/" &amp; "2025"</f>
        <v/>
      </c>
      <c r="B1171" s="5">
        <f>Sheet1!E1171</f>
        <v/>
      </c>
      <c r="C1171" s="6">
        <f>UPPER(Sheet1!B1171)</f>
        <v/>
      </c>
      <c r="D1171" s="7">
        <f>IF(Sheet1!F1171="F","FEMALE","MALE")</f>
        <v/>
      </c>
      <c r="E1171" s="6">
        <f>UPPER(Sheet1!G1171)</f>
        <v/>
      </c>
      <c r="F1171" s="6">
        <f>UPPER(Sheet1!H1171)</f>
        <v/>
      </c>
      <c r="G1171" s="5">
        <f>TEXT(Sheet1!C1171,"dd/mm/yyyy") &amp; "," &amp; Sheet1!D1171</f>
        <v/>
      </c>
      <c r="H1171" s="38">
        <f>UPPER(Sheet1!J1171 &amp; "," &amp; Sheet1!K1171 &amp; "," &amp; Sheet1!L1171)</f>
        <v/>
      </c>
      <c r="I1171" s="45">
        <f>Sheet1!I1171</f>
        <v/>
      </c>
      <c r="J1171" s="5">
        <f>Sheet1!M1171 &amp; "," &amp; TEXT(Sheet1!N1171,"dd/mm/yy")</f>
        <v/>
      </c>
      <c r="K1171" s="5" t="inlineStr">
        <is>
          <t>PRINTED</t>
        </is>
      </c>
      <c r="L1171" t="inlineStr">
        <is>
          <t>25/03/2026</t>
        </is>
      </c>
      <c r="M1171" s="30" t="inlineStr">
        <is>
          <t>MANISH KATARIA, VICE CONSUL</t>
        </is>
      </c>
      <c r="N1171" s="30" t="n"/>
    </row>
    <row r="1172">
      <c r="A1172" s="4">
        <f>Sheet1!A1172 &amp; "/" &amp; "2025"</f>
        <v/>
      </c>
      <c r="B1172" s="5">
        <f>Sheet1!E1172</f>
        <v/>
      </c>
      <c r="C1172" s="6">
        <f>UPPER(Sheet1!B1172)</f>
        <v/>
      </c>
      <c r="D1172" s="7">
        <f>IF(Sheet1!F1172="F","FEMALE","MALE")</f>
        <v/>
      </c>
      <c r="E1172" s="6">
        <f>UPPER(Sheet1!G1172)</f>
        <v/>
      </c>
      <c r="F1172" s="6">
        <f>UPPER(Sheet1!H1172)</f>
        <v/>
      </c>
      <c r="G1172" s="5">
        <f>TEXT(Sheet1!C1172,"dd/mm/yyyy") &amp; "," &amp; Sheet1!D1172</f>
        <v/>
      </c>
      <c r="H1172" s="38">
        <f>UPPER(Sheet1!J1172 &amp; "," &amp; Sheet1!K1172 &amp; "," &amp; Sheet1!L1172)</f>
        <v/>
      </c>
      <c r="I1172" s="45">
        <f>Sheet1!I1172</f>
        <v/>
      </c>
      <c r="J1172" s="5">
        <f>Sheet1!M1172 &amp; "," &amp; TEXT(Sheet1!N1172,"dd/mm/yy")</f>
        <v/>
      </c>
      <c r="K1172" s="5" t="inlineStr">
        <is>
          <t>PRINTED</t>
        </is>
      </c>
      <c r="L1172" t="inlineStr">
        <is>
          <t>25/03/2026</t>
        </is>
      </c>
      <c r="M1172" s="30" t="inlineStr">
        <is>
          <t>MANISH KATARIA, VICE CONSUL</t>
        </is>
      </c>
      <c r="N1172" s="30" t="n"/>
    </row>
    <row r="1173">
      <c r="A1173" s="4">
        <f>Sheet1!A1173 &amp; "/" &amp; "2025"</f>
        <v/>
      </c>
      <c r="B1173" s="5">
        <f>Sheet1!E1173</f>
        <v/>
      </c>
      <c r="C1173" s="6">
        <f>UPPER(Sheet1!B1173)</f>
        <v/>
      </c>
      <c r="D1173" s="7">
        <f>IF(Sheet1!F1173="F","FEMALE","MALE")</f>
        <v/>
      </c>
      <c r="E1173" s="6">
        <f>UPPER(Sheet1!G1173)</f>
        <v/>
      </c>
      <c r="F1173" s="6">
        <f>UPPER(Sheet1!H1173)</f>
        <v/>
      </c>
      <c r="G1173" s="5">
        <f>TEXT(Sheet1!C1173,"dd/mm/yyyy") &amp; "," &amp; Sheet1!D1173</f>
        <v/>
      </c>
      <c r="H1173" s="38">
        <f>UPPER(Sheet1!J1173 &amp; "," &amp; Sheet1!K1173 &amp; "," &amp; Sheet1!L1173)</f>
        <v/>
      </c>
      <c r="I1173" s="45">
        <f>Sheet1!I1173</f>
        <v/>
      </c>
      <c r="J1173" s="5">
        <f>Sheet1!M1173 &amp; "," &amp; TEXT(Sheet1!N1173,"dd/mm/yy")</f>
        <v/>
      </c>
      <c r="K1173" s="5" t="inlineStr">
        <is>
          <t>PRINTED</t>
        </is>
      </c>
      <c r="L1173" t="inlineStr">
        <is>
          <t>25/03/2026</t>
        </is>
      </c>
      <c r="M1173" s="30" t="inlineStr">
        <is>
          <t>MANISH KATARIA, VICE CONSUL</t>
        </is>
      </c>
      <c r="N1173" s="30" t="n"/>
    </row>
    <row r="1174">
      <c r="A1174" s="4">
        <f>Sheet1!A1174 &amp; "/" &amp; "2025"</f>
        <v/>
      </c>
      <c r="B1174" s="5">
        <f>Sheet1!E1174</f>
        <v/>
      </c>
      <c r="C1174" s="6">
        <f>UPPER(Sheet1!B1174)</f>
        <v/>
      </c>
      <c r="D1174" s="7">
        <f>IF(Sheet1!F1174="F","FEMALE","MALE")</f>
        <v/>
      </c>
      <c r="E1174" s="6">
        <f>UPPER(Sheet1!G1174)</f>
        <v/>
      </c>
      <c r="F1174" s="6">
        <f>UPPER(Sheet1!H1174)</f>
        <v/>
      </c>
      <c r="G1174" s="5">
        <f>TEXT(Sheet1!C1174,"dd/mm/yyyy") &amp; "," &amp; Sheet1!D1174</f>
        <v/>
      </c>
      <c r="H1174" s="38">
        <f>UPPER(Sheet1!J1174 &amp; "," &amp; Sheet1!K1174 &amp; "," &amp; Sheet1!L1174)</f>
        <v/>
      </c>
      <c r="I1174" s="45">
        <f>Sheet1!I1174</f>
        <v/>
      </c>
      <c r="J1174" s="5">
        <f>Sheet1!M1174 &amp; "," &amp; TEXT(Sheet1!N1174,"dd/mm/yy")</f>
        <v/>
      </c>
      <c r="K1174" s="5" t="inlineStr">
        <is>
          <t>PRINTED</t>
        </is>
      </c>
      <c r="L1174" t="inlineStr">
        <is>
          <t>25/03/2026</t>
        </is>
      </c>
      <c r="M1174" s="30" t="inlineStr">
        <is>
          <t>MANISH KATARIA, VICE CONSUL</t>
        </is>
      </c>
      <c r="N1174" s="30" t="n"/>
    </row>
    <row r="1175">
      <c r="A1175" s="4">
        <f>Sheet1!A1175 &amp; "/" &amp; "2025"</f>
        <v/>
      </c>
      <c r="B1175" s="5">
        <f>Sheet1!E1175</f>
        <v/>
      </c>
      <c r="C1175" s="6">
        <f>UPPER(Sheet1!B1175)</f>
        <v/>
      </c>
      <c r="D1175" s="7">
        <f>IF(Sheet1!F1175="F","FEMALE","MALE")</f>
        <v/>
      </c>
      <c r="E1175" s="6">
        <f>UPPER(Sheet1!G1175)</f>
        <v/>
      </c>
      <c r="F1175" s="6">
        <f>UPPER(Sheet1!H1175)</f>
        <v/>
      </c>
      <c r="G1175" s="5">
        <f>TEXT(Sheet1!C1175,"dd/mm/yyyy") &amp; "," &amp; Sheet1!D1175</f>
        <v/>
      </c>
      <c r="H1175" s="38">
        <f>UPPER(Sheet1!J1175 &amp; "," &amp; Sheet1!K1175 &amp; "," &amp; Sheet1!L1175)</f>
        <v/>
      </c>
      <c r="I1175" s="45">
        <f>Sheet1!I1175</f>
        <v/>
      </c>
      <c r="J1175" s="5">
        <f>Sheet1!M1175 &amp; "," &amp; TEXT(Sheet1!N1175,"dd/mm/yy")</f>
        <v/>
      </c>
      <c r="K1175" s="5" t="inlineStr">
        <is>
          <t>PRINTED</t>
        </is>
      </c>
      <c r="L1175" t="inlineStr">
        <is>
          <t>25/03/2026</t>
        </is>
      </c>
      <c r="M1175" s="30" t="inlineStr">
        <is>
          <t>MANISH KATARIA, VICE CONSUL</t>
        </is>
      </c>
      <c r="N1175" s="30" t="n"/>
    </row>
    <row r="1176">
      <c r="A1176" s="4">
        <f>Sheet1!A1176 &amp; "/" &amp; "2025"</f>
        <v/>
      </c>
      <c r="B1176" s="5">
        <f>Sheet1!E1176</f>
        <v/>
      </c>
      <c r="C1176" s="6">
        <f>UPPER(Sheet1!B1176)</f>
        <v/>
      </c>
      <c r="D1176" s="7">
        <f>IF(Sheet1!F1176="F","FEMALE","MALE")</f>
        <v/>
      </c>
      <c r="E1176" s="6">
        <f>UPPER(Sheet1!G1176)</f>
        <v/>
      </c>
      <c r="F1176" s="6">
        <f>UPPER(Sheet1!H1176)</f>
        <v/>
      </c>
      <c r="G1176" s="5">
        <f>TEXT(Sheet1!C1176,"dd/mm/yyyy") &amp; "," &amp; Sheet1!D1176</f>
        <v/>
      </c>
      <c r="H1176" s="38">
        <f>UPPER(Sheet1!J1176 &amp; "," &amp; Sheet1!K1176 &amp; "," &amp; Sheet1!L1176)</f>
        <v/>
      </c>
      <c r="I1176" s="45">
        <f>Sheet1!I1176</f>
        <v/>
      </c>
      <c r="J1176" s="5">
        <f>Sheet1!M1176 &amp; "," &amp; TEXT(Sheet1!N1176,"dd/mm/yy")</f>
        <v/>
      </c>
      <c r="K1176" s="5" t="inlineStr">
        <is>
          <t>PRINTED</t>
        </is>
      </c>
      <c r="L1176" t="inlineStr">
        <is>
          <t>25/03/2026</t>
        </is>
      </c>
      <c r="M1176" s="30" t="inlineStr">
        <is>
          <t>MANISH KATARIA, VICE CONSUL</t>
        </is>
      </c>
      <c r="N1176" s="30" t="n"/>
    </row>
    <row r="1177">
      <c r="A1177" s="4">
        <f>Sheet1!A1177 &amp; "/" &amp; "2025"</f>
        <v/>
      </c>
      <c r="B1177" s="5">
        <f>Sheet1!E1177</f>
        <v/>
      </c>
      <c r="C1177" s="6">
        <f>UPPER(Sheet1!B1177)</f>
        <v/>
      </c>
      <c r="D1177" s="7">
        <f>IF(Sheet1!F1177="F","FEMALE","MALE")</f>
        <v/>
      </c>
      <c r="E1177" s="6">
        <f>UPPER(Sheet1!G1177)</f>
        <v/>
      </c>
      <c r="F1177" s="6">
        <f>UPPER(Sheet1!H1177)</f>
        <v/>
      </c>
      <c r="G1177" s="5">
        <f>TEXT(Sheet1!C1177,"dd/mm/yyyy") &amp; "," &amp; Sheet1!D1177</f>
        <v/>
      </c>
      <c r="H1177" s="38">
        <f>UPPER(Sheet1!J1177 &amp; "," &amp; Sheet1!K1177 &amp; "," &amp; Sheet1!L1177)</f>
        <v/>
      </c>
      <c r="I1177" s="45">
        <f>Sheet1!I1177</f>
        <v/>
      </c>
      <c r="J1177" s="5">
        <f>Sheet1!M1177 &amp; "," &amp; TEXT(Sheet1!N1177,"dd/mm/yy")</f>
        <v/>
      </c>
      <c r="K1177" s="5" t="inlineStr">
        <is>
          <t>PRINTED</t>
        </is>
      </c>
      <c r="L1177" t="inlineStr">
        <is>
          <t>25/03/2026</t>
        </is>
      </c>
      <c r="M1177" s="30" t="inlineStr">
        <is>
          <t>MANISH KATARIA, VICE CONSUL</t>
        </is>
      </c>
      <c r="N1177" s="30" t="n"/>
    </row>
    <row r="1178">
      <c r="A1178" s="4">
        <f>Sheet1!A1178 &amp; "/" &amp; "2025"</f>
        <v/>
      </c>
      <c r="B1178" s="5">
        <f>Sheet1!E1178</f>
        <v/>
      </c>
      <c r="C1178" s="6">
        <f>UPPER(Sheet1!B1178)</f>
        <v/>
      </c>
      <c r="D1178" s="7">
        <f>IF(Sheet1!F1178="F","FEMALE","MALE")</f>
        <v/>
      </c>
      <c r="E1178" s="6">
        <f>UPPER(Sheet1!G1178)</f>
        <v/>
      </c>
      <c r="F1178" s="6">
        <f>UPPER(Sheet1!H1178)</f>
        <v/>
      </c>
      <c r="G1178" s="5">
        <f>TEXT(Sheet1!C1178,"dd/mm/yyyy") &amp; "," &amp; Sheet1!D1178</f>
        <v/>
      </c>
      <c r="H1178" s="38">
        <f>UPPER(Sheet1!J1178 &amp; "," &amp; Sheet1!K1178 &amp; "," &amp; Sheet1!L1178)</f>
        <v/>
      </c>
      <c r="I1178" s="45">
        <f>Sheet1!I1178</f>
        <v/>
      </c>
      <c r="J1178" s="5">
        <f>Sheet1!M1178 &amp; "," &amp; TEXT(Sheet1!N1178,"dd/mm/yy")</f>
        <v/>
      </c>
      <c r="K1178" s="5" t="inlineStr">
        <is>
          <t>PRINTED</t>
        </is>
      </c>
      <c r="L1178" t="inlineStr">
        <is>
          <t>25/03/2026</t>
        </is>
      </c>
      <c r="M1178" s="30" t="inlineStr">
        <is>
          <t>MANISH KATARIA, VICE CONSUL</t>
        </is>
      </c>
      <c r="N1178" s="30" t="n"/>
    </row>
    <row r="1179">
      <c r="A1179" s="4">
        <f>Sheet1!A1179 &amp; "/" &amp; "2025"</f>
        <v/>
      </c>
      <c r="B1179" s="5">
        <f>Sheet1!E1179</f>
        <v/>
      </c>
      <c r="C1179" s="6">
        <f>UPPER(Sheet1!B1179)</f>
        <v/>
      </c>
      <c r="D1179" s="7">
        <f>IF(Sheet1!F1179="F","FEMALE","MALE")</f>
        <v/>
      </c>
      <c r="E1179" s="6">
        <f>UPPER(Sheet1!G1179)</f>
        <v/>
      </c>
      <c r="F1179" s="6">
        <f>UPPER(Sheet1!H1179)</f>
        <v/>
      </c>
      <c r="G1179" s="5">
        <f>TEXT(Sheet1!C1179,"dd/mm/yyyy") &amp; "," &amp; Sheet1!D1179</f>
        <v/>
      </c>
      <c r="H1179" s="38">
        <f>UPPER(Sheet1!J1179 &amp; "," &amp; Sheet1!K1179 &amp; "," &amp; Sheet1!L1179)</f>
        <v/>
      </c>
      <c r="I1179" s="45">
        <f>Sheet1!I1179</f>
        <v/>
      </c>
      <c r="J1179" s="5">
        <f>Sheet1!M1179 &amp; "," &amp; TEXT(Sheet1!N1179,"dd/mm/yy")</f>
        <v/>
      </c>
      <c r="K1179" s="5" t="inlineStr">
        <is>
          <t>PRINTED</t>
        </is>
      </c>
      <c r="L1179" t="inlineStr">
        <is>
          <t>25/03/2026</t>
        </is>
      </c>
      <c r="M1179" s="30" t="inlineStr">
        <is>
          <t>MANISH KATARIA, VICE CONSUL</t>
        </is>
      </c>
      <c r="N1179" s="30" t="n"/>
    </row>
    <row r="1180">
      <c r="A1180" s="4">
        <f>Sheet1!A1180 &amp; "/" &amp; "2025"</f>
        <v/>
      </c>
      <c r="B1180" s="5">
        <f>Sheet1!E1180</f>
        <v/>
      </c>
      <c r="C1180" s="6">
        <f>UPPER(Sheet1!B1180)</f>
        <v/>
      </c>
      <c r="D1180" s="7">
        <f>IF(Sheet1!F1180="F","FEMALE","MALE")</f>
        <v/>
      </c>
      <c r="E1180" s="6">
        <f>UPPER(Sheet1!G1180)</f>
        <v/>
      </c>
      <c r="F1180" s="6">
        <f>UPPER(Sheet1!H1180)</f>
        <v/>
      </c>
      <c r="G1180" s="5">
        <f>TEXT(Sheet1!C1180,"dd/mm/yyyy") &amp; "," &amp; Sheet1!D1180</f>
        <v/>
      </c>
      <c r="H1180" s="38">
        <f>UPPER(Sheet1!J1180 &amp; "," &amp; Sheet1!K1180 &amp; "," &amp; Sheet1!L1180)</f>
        <v/>
      </c>
      <c r="I1180" s="45">
        <f>Sheet1!I1180</f>
        <v/>
      </c>
      <c r="J1180" s="5">
        <f>Sheet1!M1180 &amp; "," &amp; TEXT(Sheet1!N1180,"dd/mm/yy")</f>
        <v/>
      </c>
      <c r="K1180" s="5" t="inlineStr">
        <is>
          <t>PRINTED</t>
        </is>
      </c>
      <c r="L1180" t="inlineStr">
        <is>
          <t>25/03/2026</t>
        </is>
      </c>
      <c r="M1180" s="30" t="inlineStr">
        <is>
          <t>MANISH KATARIA, VICE CONSUL</t>
        </is>
      </c>
      <c r="N1180" s="30" t="n"/>
    </row>
    <row r="1181">
      <c r="A1181" s="4">
        <f>Sheet1!A1181 &amp; "/" &amp; "2025"</f>
        <v/>
      </c>
      <c r="B1181" s="5">
        <f>Sheet1!E1181</f>
        <v/>
      </c>
      <c r="C1181" s="6">
        <f>UPPER(Sheet1!B1181)</f>
        <v/>
      </c>
      <c r="D1181" s="7">
        <f>IF(Sheet1!F1181="F","FEMALE","MALE")</f>
        <v/>
      </c>
      <c r="E1181" s="6">
        <f>UPPER(Sheet1!G1181)</f>
        <v/>
      </c>
      <c r="F1181" s="6">
        <f>UPPER(Sheet1!H1181)</f>
        <v/>
      </c>
      <c r="G1181" s="5">
        <f>TEXT(Sheet1!C1181,"dd/mm/yyyy") &amp; "," &amp; Sheet1!D1181</f>
        <v/>
      </c>
      <c r="H1181" s="38">
        <f>UPPER(Sheet1!J1181 &amp; "," &amp; Sheet1!K1181 &amp; "," &amp; Sheet1!L1181)</f>
        <v/>
      </c>
      <c r="I1181" s="45">
        <f>Sheet1!I1181</f>
        <v/>
      </c>
      <c r="J1181" s="5">
        <f>Sheet1!M1181 &amp; "," &amp; TEXT(Sheet1!N1181,"dd/mm/yy")</f>
        <v/>
      </c>
      <c r="K1181" s="5" t="inlineStr">
        <is>
          <t>PRINTED</t>
        </is>
      </c>
      <c r="L1181" t="inlineStr">
        <is>
          <t>25/03/2026</t>
        </is>
      </c>
      <c r="M1181" s="30" t="inlineStr">
        <is>
          <t>MANISH KATARIA, VICE CONSUL</t>
        </is>
      </c>
      <c r="N1181" s="30" t="n"/>
    </row>
    <row r="1182">
      <c r="A1182" s="4">
        <f>Sheet1!A1182 &amp; "/" &amp; "2025"</f>
        <v/>
      </c>
      <c r="B1182" s="5">
        <f>Sheet1!E1182</f>
        <v/>
      </c>
      <c r="C1182" s="6">
        <f>UPPER(Sheet1!B1182)</f>
        <v/>
      </c>
      <c r="D1182" s="7">
        <f>IF(Sheet1!F1182="F","FEMALE","MALE")</f>
        <v/>
      </c>
      <c r="E1182" s="6">
        <f>UPPER(Sheet1!G1182)</f>
        <v/>
      </c>
      <c r="F1182" s="6">
        <f>UPPER(Sheet1!H1182)</f>
        <v/>
      </c>
      <c r="G1182" s="5">
        <f>TEXT(Sheet1!C1182,"dd/mm/yyyy") &amp; "," &amp; Sheet1!D1182</f>
        <v/>
      </c>
      <c r="H1182" s="38">
        <f>UPPER(Sheet1!J1182 &amp; "," &amp; Sheet1!K1182 &amp; "," &amp; Sheet1!L1182)</f>
        <v/>
      </c>
      <c r="I1182" s="45">
        <f>Sheet1!I1182</f>
        <v/>
      </c>
      <c r="J1182" s="5">
        <f>Sheet1!M1182 &amp; "," &amp; TEXT(Sheet1!N1182,"dd/mm/yy")</f>
        <v/>
      </c>
      <c r="K1182" s="5" t="inlineStr">
        <is>
          <t>PRINTED</t>
        </is>
      </c>
      <c r="L1182" t="inlineStr">
        <is>
          <t>25/03/2026</t>
        </is>
      </c>
      <c r="M1182" s="30" t="inlineStr">
        <is>
          <t>MANISH KATARIA, VICE CONSUL</t>
        </is>
      </c>
      <c r="N1182" s="30" t="n"/>
    </row>
    <row r="1183">
      <c r="A1183" s="4">
        <f>Sheet1!A1183 &amp; "/" &amp; "2025"</f>
        <v/>
      </c>
      <c r="B1183" s="5">
        <f>Sheet1!E1183</f>
        <v/>
      </c>
      <c r="C1183" s="6">
        <f>UPPER(Sheet1!B1183)</f>
        <v/>
      </c>
      <c r="D1183" s="7">
        <f>IF(Sheet1!F1183="F","FEMALE","MALE")</f>
        <v/>
      </c>
      <c r="E1183" s="6">
        <f>UPPER(Sheet1!G1183)</f>
        <v/>
      </c>
      <c r="F1183" s="6">
        <f>UPPER(Sheet1!H1183)</f>
        <v/>
      </c>
      <c r="G1183" s="5">
        <f>TEXT(Sheet1!C1183,"dd/mm/yyyy") &amp; "," &amp; Sheet1!D1183</f>
        <v/>
      </c>
      <c r="H1183" s="38">
        <f>UPPER(Sheet1!J1183 &amp; "," &amp; Sheet1!K1183 &amp; "," &amp; Sheet1!L1183)</f>
        <v/>
      </c>
      <c r="I1183" s="45">
        <f>Sheet1!I1183</f>
        <v/>
      </c>
      <c r="J1183" s="5">
        <f>Sheet1!M1183 &amp; "," &amp; TEXT(Sheet1!N1183,"dd/mm/yy")</f>
        <v/>
      </c>
      <c r="K1183" s="5" t="inlineStr">
        <is>
          <t>PRINTED</t>
        </is>
      </c>
      <c r="L1183" t="inlineStr">
        <is>
          <t>25/03/2026</t>
        </is>
      </c>
      <c r="M1183" s="30" t="inlineStr">
        <is>
          <t>MANISH KATARIA, VICE CONSUL</t>
        </is>
      </c>
      <c r="N1183" s="30" t="n"/>
    </row>
    <row r="1184">
      <c r="A1184" s="4">
        <f>Sheet1!A1184 &amp; "/" &amp; "2025"</f>
        <v/>
      </c>
      <c r="B1184" s="5">
        <f>Sheet1!E1184</f>
        <v/>
      </c>
      <c r="C1184" s="6">
        <f>UPPER(Sheet1!B1184)</f>
        <v/>
      </c>
      <c r="D1184" s="7">
        <f>IF(Sheet1!F1184="F","FEMALE","MALE")</f>
        <v/>
      </c>
      <c r="E1184" s="6">
        <f>UPPER(Sheet1!G1184)</f>
        <v/>
      </c>
      <c r="F1184" s="6">
        <f>UPPER(Sheet1!H1184)</f>
        <v/>
      </c>
      <c r="G1184" s="5">
        <f>TEXT(Sheet1!C1184,"dd/mm/yyyy") &amp; "," &amp; Sheet1!D1184</f>
        <v/>
      </c>
      <c r="H1184" s="38">
        <f>UPPER(Sheet1!J1184 &amp; "," &amp; Sheet1!K1184 &amp; "," &amp; Sheet1!L1184)</f>
        <v/>
      </c>
      <c r="I1184" s="45">
        <f>Sheet1!I1184</f>
        <v/>
      </c>
      <c r="J1184" s="5">
        <f>Sheet1!M1184 &amp; "," &amp; TEXT(Sheet1!N1184,"dd/mm/yy")</f>
        <v/>
      </c>
      <c r="K1184" s="5" t="inlineStr">
        <is>
          <t>PRINTED</t>
        </is>
      </c>
      <c r="L1184" t="inlineStr">
        <is>
          <t>25/03/2026</t>
        </is>
      </c>
      <c r="M1184" s="30" t="inlineStr">
        <is>
          <t>MANISH KATARIA, VICE CONSUL</t>
        </is>
      </c>
      <c r="N1184" s="30" t="n"/>
    </row>
    <row r="1185">
      <c r="A1185" s="4">
        <f>Sheet1!A1185 &amp; "/" &amp; "2025"</f>
        <v/>
      </c>
      <c r="B1185" s="5">
        <f>Sheet1!E1185</f>
        <v/>
      </c>
      <c r="C1185" s="6">
        <f>UPPER(Sheet1!B1185)</f>
        <v/>
      </c>
      <c r="D1185" s="7">
        <f>IF(Sheet1!F1185="F","FEMALE","MALE")</f>
        <v/>
      </c>
      <c r="E1185" s="6">
        <f>UPPER(Sheet1!G1185)</f>
        <v/>
      </c>
      <c r="F1185" s="6">
        <f>UPPER(Sheet1!H1185)</f>
        <v/>
      </c>
      <c r="G1185" s="5">
        <f>TEXT(Sheet1!C1185,"dd/mm/yyyy") &amp; "," &amp; Sheet1!D1185</f>
        <v/>
      </c>
      <c r="H1185" s="38">
        <f>UPPER(Sheet1!J1185 &amp; "," &amp; Sheet1!K1185 &amp; "," &amp; Sheet1!L1185)</f>
        <v/>
      </c>
      <c r="I1185" s="45">
        <f>Sheet1!I1185</f>
        <v/>
      </c>
      <c r="J1185" s="5">
        <f>Sheet1!M1185 &amp; "," &amp; TEXT(Sheet1!N1185,"dd/mm/yy")</f>
        <v/>
      </c>
      <c r="K1185" s="5" t="inlineStr">
        <is>
          <t>PRINTED</t>
        </is>
      </c>
      <c r="L1185" t="inlineStr">
        <is>
          <t>25/03/2026</t>
        </is>
      </c>
      <c r="M1185" s="30" t="inlineStr">
        <is>
          <t>MANISH KATARIA, VICE CONSUL</t>
        </is>
      </c>
      <c r="N1185" s="30" t="n"/>
    </row>
    <row r="1186">
      <c r="A1186" s="4">
        <f>Sheet1!A1186 &amp; "/" &amp; "2025"</f>
        <v/>
      </c>
      <c r="B1186" s="5">
        <f>Sheet1!E1186</f>
        <v/>
      </c>
      <c r="C1186" s="6">
        <f>UPPER(Sheet1!B1186)</f>
        <v/>
      </c>
      <c r="D1186" s="7">
        <f>IF(Sheet1!F1186="F","FEMALE","MALE")</f>
        <v/>
      </c>
      <c r="E1186" s="6">
        <f>UPPER(Sheet1!G1186)</f>
        <v/>
      </c>
      <c r="F1186" s="6">
        <f>UPPER(Sheet1!H1186)</f>
        <v/>
      </c>
      <c r="G1186" s="5">
        <f>TEXT(Sheet1!C1186,"dd/mm/yyyy") &amp; "," &amp; Sheet1!D1186</f>
        <v/>
      </c>
      <c r="H1186" s="38">
        <f>UPPER(Sheet1!J1186 &amp; "," &amp; Sheet1!K1186 &amp; "," &amp; Sheet1!L1186)</f>
        <v/>
      </c>
      <c r="I1186" s="45">
        <f>Sheet1!I1186</f>
        <v/>
      </c>
      <c r="J1186" s="5">
        <f>Sheet1!M1186 &amp; "," &amp; TEXT(Sheet1!N1186,"dd/mm/yy")</f>
        <v/>
      </c>
      <c r="K1186" s="5" t="inlineStr">
        <is>
          <t>PRINTED</t>
        </is>
      </c>
      <c r="L1186" t="inlineStr">
        <is>
          <t>25/03/2026</t>
        </is>
      </c>
      <c r="M1186" s="30" t="inlineStr">
        <is>
          <t>MANISH KATARIA, VICE CONSUL</t>
        </is>
      </c>
      <c r="N1186" s="30" t="n"/>
    </row>
    <row r="1187">
      <c r="A1187" s="4">
        <f>Sheet1!A1187 &amp; "/" &amp; "2025"</f>
        <v/>
      </c>
      <c r="B1187" s="5">
        <f>Sheet1!E1187</f>
        <v/>
      </c>
      <c r="C1187" s="6">
        <f>UPPER(Sheet1!B1187)</f>
        <v/>
      </c>
      <c r="D1187" s="7">
        <f>IF(Sheet1!F1187="F","FEMALE","MALE")</f>
        <v/>
      </c>
      <c r="E1187" s="6">
        <f>UPPER(Sheet1!G1187)</f>
        <v/>
      </c>
      <c r="F1187" s="6">
        <f>UPPER(Sheet1!H1187)</f>
        <v/>
      </c>
      <c r="G1187" s="5">
        <f>TEXT(Sheet1!C1187,"dd/mm/yyyy") &amp; "," &amp; Sheet1!D1187</f>
        <v/>
      </c>
      <c r="H1187" s="38">
        <f>UPPER(Sheet1!J1187 &amp; "," &amp; Sheet1!K1187 &amp; "," &amp; Sheet1!L1187)</f>
        <v/>
      </c>
      <c r="I1187" s="45">
        <f>Sheet1!I1187</f>
        <v/>
      </c>
      <c r="J1187" s="5">
        <f>Sheet1!M1187 &amp; "," &amp; TEXT(Sheet1!N1187,"dd/mm/yy")</f>
        <v/>
      </c>
      <c r="K1187" s="5" t="inlineStr">
        <is>
          <t>PRINTED</t>
        </is>
      </c>
      <c r="L1187" t="inlineStr">
        <is>
          <t>25/03/2026</t>
        </is>
      </c>
      <c r="M1187" s="30" t="inlineStr">
        <is>
          <t>MANISH KATARIA, VICE CONSUL</t>
        </is>
      </c>
      <c r="N1187" s="30" t="n"/>
    </row>
    <row r="1188">
      <c r="A1188" s="4">
        <f>Sheet1!A1188 &amp; "/" &amp; "2025"</f>
        <v/>
      </c>
      <c r="B1188" s="5">
        <f>Sheet1!E1188</f>
        <v/>
      </c>
      <c r="C1188" s="6">
        <f>UPPER(Sheet1!B1188)</f>
        <v/>
      </c>
      <c r="D1188" s="7">
        <f>IF(Sheet1!F1188="F","FEMALE","MALE")</f>
        <v/>
      </c>
      <c r="E1188" s="6">
        <f>UPPER(Sheet1!G1188)</f>
        <v/>
      </c>
      <c r="F1188" s="6">
        <f>UPPER(Sheet1!H1188)</f>
        <v/>
      </c>
      <c r="G1188" s="5">
        <f>TEXT(Sheet1!C1188,"dd/mm/yyyy") &amp; "," &amp; Sheet1!D1188</f>
        <v/>
      </c>
      <c r="H1188" s="38">
        <f>UPPER(Sheet1!J1188 &amp; "," &amp; Sheet1!K1188 &amp; "," &amp; Sheet1!L1188)</f>
        <v/>
      </c>
      <c r="I1188" s="45">
        <f>Sheet1!I1188</f>
        <v/>
      </c>
      <c r="J1188" s="5">
        <f>Sheet1!M1188 &amp; "," &amp; TEXT(Sheet1!N1188,"dd/mm/yy")</f>
        <v/>
      </c>
      <c r="K1188" s="5" t="inlineStr">
        <is>
          <t>PRINTED</t>
        </is>
      </c>
      <c r="L1188" t="inlineStr">
        <is>
          <t>25/03/2026</t>
        </is>
      </c>
      <c r="M1188" s="30" t="inlineStr">
        <is>
          <t>MANISH KATARIA, VICE CONSUL</t>
        </is>
      </c>
      <c r="N1188" s="30" t="n"/>
    </row>
    <row r="1189">
      <c r="A1189" s="4">
        <f>Sheet1!A1189 &amp; "/" &amp; "2025"</f>
        <v/>
      </c>
      <c r="B1189" s="5">
        <f>Sheet1!E1189</f>
        <v/>
      </c>
      <c r="C1189" s="6">
        <f>UPPER(Sheet1!B1189)</f>
        <v/>
      </c>
      <c r="D1189" s="7">
        <f>IF(Sheet1!F1189="F","FEMALE","MALE")</f>
        <v/>
      </c>
      <c r="E1189" s="6">
        <f>UPPER(Sheet1!G1189)</f>
        <v/>
      </c>
      <c r="F1189" s="6">
        <f>UPPER(Sheet1!H1189)</f>
        <v/>
      </c>
      <c r="G1189" s="5">
        <f>TEXT(Sheet1!C1189,"dd/mm/yyyy") &amp; "," &amp; Sheet1!D1189</f>
        <v/>
      </c>
      <c r="H1189" s="38">
        <f>UPPER(Sheet1!J1189 &amp; "," &amp; Sheet1!K1189 &amp; "," &amp; Sheet1!L1189)</f>
        <v/>
      </c>
      <c r="I1189" s="45">
        <f>Sheet1!I1189</f>
        <v/>
      </c>
      <c r="J1189" s="5">
        <f>Sheet1!M1189 &amp; "," &amp; TEXT(Sheet1!N1189,"dd/mm/yy")</f>
        <v/>
      </c>
      <c r="K1189" s="5" t="inlineStr">
        <is>
          <t>PRINTED</t>
        </is>
      </c>
      <c r="L1189" t="inlineStr">
        <is>
          <t>25/03/2026</t>
        </is>
      </c>
      <c r="M1189" s="30" t="inlineStr">
        <is>
          <t>MANISH KATARIA, VICE CONSUL</t>
        </is>
      </c>
      <c r="N1189" s="30" t="n"/>
    </row>
    <row r="1190">
      <c r="A1190" s="4">
        <f>Sheet1!A1190 &amp; "/" &amp; "2025"</f>
        <v/>
      </c>
      <c r="B1190" s="5">
        <f>Sheet1!E1190</f>
        <v/>
      </c>
      <c r="C1190" s="6">
        <f>UPPER(Sheet1!B1190)</f>
        <v/>
      </c>
      <c r="D1190" s="7">
        <f>IF(Sheet1!F1190="F","FEMALE","MALE")</f>
        <v/>
      </c>
      <c r="E1190" s="6">
        <f>UPPER(Sheet1!G1190)</f>
        <v/>
      </c>
      <c r="F1190" s="6">
        <f>UPPER(Sheet1!H1190)</f>
        <v/>
      </c>
      <c r="G1190" s="5">
        <f>TEXT(Sheet1!C1190,"dd/mm/yyyy") &amp; "," &amp; Sheet1!D1190</f>
        <v/>
      </c>
      <c r="H1190" s="38">
        <f>UPPER(Sheet1!J1190 &amp; "," &amp; Sheet1!K1190 &amp; "," &amp; Sheet1!L1190)</f>
        <v/>
      </c>
      <c r="I1190" s="45">
        <f>Sheet1!I1190</f>
        <v/>
      </c>
      <c r="J1190" s="5">
        <f>Sheet1!M1190 &amp; "," &amp; TEXT(Sheet1!N1190,"dd/mm/yy")</f>
        <v/>
      </c>
      <c r="K1190" s="5" t="inlineStr">
        <is>
          <t>PRINTED</t>
        </is>
      </c>
      <c r="L1190" t="inlineStr">
        <is>
          <t>25/03/2026</t>
        </is>
      </c>
      <c r="M1190" s="30" t="inlineStr">
        <is>
          <t>MANISH KATARIA, VICE CONSUL</t>
        </is>
      </c>
      <c r="N1190" s="30" t="n"/>
    </row>
    <row r="1191">
      <c r="A1191" s="4">
        <f>Sheet1!A1191 &amp; "/" &amp; "2025"</f>
        <v/>
      </c>
      <c r="B1191" s="5">
        <f>Sheet1!E1191</f>
        <v/>
      </c>
      <c r="C1191" s="6">
        <f>UPPER(Sheet1!B1191)</f>
        <v/>
      </c>
      <c r="D1191" s="7">
        <f>IF(Sheet1!F1191="F","FEMALE","MALE")</f>
        <v/>
      </c>
      <c r="E1191" s="6">
        <f>UPPER(Sheet1!G1191)</f>
        <v/>
      </c>
      <c r="F1191" s="6">
        <f>UPPER(Sheet1!H1191)</f>
        <v/>
      </c>
      <c r="G1191" s="5">
        <f>TEXT(Sheet1!C1191,"dd/mm/yyyy") &amp; "," &amp; Sheet1!D1191</f>
        <v/>
      </c>
      <c r="H1191" s="38">
        <f>UPPER(Sheet1!J1191 &amp; "," &amp; Sheet1!K1191 &amp; "," &amp; Sheet1!L1191)</f>
        <v/>
      </c>
      <c r="I1191" s="45">
        <f>Sheet1!I1191</f>
        <v/>
      </c>
      <c r="J1191" s="5">
        <f>Sheet1!M1191 &amp; "," &amp; TEXT(Sheet1!N1191,"dd/mm/yy")</f>
        <v/>
      </c>
      <c r="K1191" s="5" t="inlineStr">
        <is>
          <t>PRINTED</t>
        </is>
      </c>
      <c r="L1191" t="inlineStr">
        <is>
          <t>25/03/2026</t>
        </is>
      </c>
      <c r="M1191" s="30" t="inlineStr">
        <is>
          <t>MANISH KATARIA, VICE CONSUL</t>
        </is>
      </c>
      <c r="N1191" s="30" t="n"/>
    </row>
    <row r="1192">
      <c r="A1192" s="4">
        <f>Sheet1!A1192 &amp; "/" &amp; "2025"</f>
        <v/>
      </c>
      <c r="B1192" s="5">
        <f>Sheet1!E1192</f>
        <v/>
      </c>
      <c r="C1192" s="6">
        <f>UPPER(Sheet1!B1192)</f>
        <v/>
      </c>
      <c r="D1192" s="7">
        <f>IF(Sheet1!F1192="F","FEMALE","MALE")</f>
        <v/>
      </c>
      <c r="E1192" s="6">
        <f>UPPER(Sheet1!G1192)</f>
        <v/>
      </c>
      <c r="F1192" s="6">
        <f>UPPER(Sheet1!H1192)</f>
        <v/>
      </c>
      <c r="G1192" s="5">
        <f>TEXT(Sheet1!C1192,"dd/mm/yyyy") &amp; "," &amp; Sheet1!D1192</f>
        <v/>
      </c>
      <c r="H1192" s="38">
        <f>UPPER(Sheet1!J1192 &amp; "," &amp; Sheet1!K1192 &amp; "," &amp; Sheet1!L1192)</f>
        <v/>
      </c>
      <c r="I1192" s="45">
        <f>Sheet1!I1192</f>
        <v/>
      </c>
      <c r="J1192" s="5">
        <f>Sheet1!M1192 &amp; "," &amp; TEXT(Sheet1!N1192,"dd/mm/yy")</f>
        <v/>
      </c>
      <c r="K1192" s="5" t="inlineStr">
        <is>
          <t>PRINTED</t>
        </is>
      </c>
      <c r="L1192" t="inlineStr">
        <is>
          <t>25/03/2026</t>
        </is>
      </c>
      <c r="M1192" s="30" t="inlineStr">
        <is>
          <t>MANISH KATARIA, VICE CONSUL</t>
        </is>
      </c>
      <c r="N1192" s="30" t="n"/>
    </row>
    <row r="1193">
      <c r="A1193" s="4">
        <f>Sheet1!A1193 &amp; "/" &amp; "2025"</f>
        <v/>
      </c>
      <c r="B1193" s="5">
        <f>Sheet1!E1193</f>
        <v/>
      </c>
      <c r="C1193" s="6">
        <f>UPPER(Sheet1!B1193)</f>
        <v/>
      </c>
      <c r="D1193" s="7">
        <f>IF(Sheet1!F1193="F","FEMALE","MALE")</f>
        <v/>
      </c>
      <c r="E1193" s="6">
        <f>UPPER(Sheet1!G1193)</f>
        <v/>
      </c>
      <c r="F1193" s="6">
        <f>UPPER(Sheet1!H1193)</f>
        <v/>
      </c>
      <c r="G1193" s="5">
        <f>TEXT(Sheet1!C1193,"dd/mm/yyyy") &amp; "," &amp; Sheet1!D1193</f>
        <v/>
      </c>
      <c r="H1193" s="38">
        <f>UPPER(Sheet1!J1193 &amp; "," &amp; Sheet1!K1193 &amp; "," &amp; Sheet1!L1193)</f>
        <v/>
      </c>
      <c r="I1193" s="45">
        <f>Sheet1!I1193</f>
        <v/>
      </c>
      <c r="J1193" s="5">
        <f>Sheet1!M1193 &amp; "," &amp; TEXT(Sheet1!N1193,"dd/mm/yy")</f>
        <v/>
      </c>
      <c r="K1193" s="5" t="inlineStr">
        <is>
          <t>PRINTED</t>
        </is>
      </c>
      <c r="L1193" t="inlineStr">
        <is>
          <t>25/03/2026</t>
        </is>
      </c>
      <c r="M1193" s="30" t="inlineStr">
        <is>
          <t>MANISH KATARIA, VICE CONSUL</t>
        </is>
      </c>
      <c r="N1193" s="30" t="n"/>
    </row>
    <row r="1194">
      <c r="A1194" s="4">
        <f>Sheet1!A1194 &amp; "/" &amp; "2025"</f>
        <v/>
      </c>
      <c r="B1194" s="5">
        <f>Sheet1!E1194</f>
        <v/>
      </c>
      <c r="C1194" s="6">
        <f>UPPER(Sheet1!B1194)</f>
        <v/>
      </c>
      <c r="D1194" s="7">
        <f>IF(Sheet1!F1194="F","FEMALE","MALE")</f>
        <v/>
      </c>
      <c r="E1194" s="6">
        <f>UPPER(Sheet1!G1194)</f>
        <v/>
      </c>
      <c r="F1194" s="6">
        <f>UPPER(Sheet1!H1194)</f>
        <v/>
      </c>
      <c r="G1194" s="5">
        <f>TEXT(Sheet1!C1194,"dd/mm/yyyy") &amp; "," &amp; Sheet1!D1194</f>
        <v/>
      </c>
      <c r="H1194" s="38">
        <f>UPPER(Sheet1!J1194 &amp; "," &amp; Sheet1!K1194 &amp; "," &amp; Sheet1!L1194)</f>
        <v/>
      </c>
      <c r="I1194" s="45">
        <f>Sheet1!I1194</f>
        <v/>
      </c>
      <c r="J1194" s="5">
        <f>Sheet1!M1194 &amp; "," &amp; TEXT(Sheet1!N1194,"dd/mm/yy")</f>
        <v/>
      </c>
      <c r="K1194" s="5" t="inlineStr">
        <is>
          <t>PRINTED</t>
        </is>
      </c>
      <c r="L1194" t="inlineStr">
        <is>
          <t>25/03/2026</t>
        </is>
      </c>
      <c r="M1194" s="30" t="inlineStr">
        <is>
          <t>MANISH KATARIA, VICE CONSUL</t>
        </is>
      </c>
      <c r="N1194" s="30" t="n"/>
    </row>
    <row r="1195">
      <c r="A1195" s="4">
        <f>Sheet1!A1195 &amp; "/" &amp; "2025"</f>
        <v/>
      </c>
      <c r="B1195" s="5">
        <f>Sheet1!E1195</f>
        <v/>
      </c>
      <c r="C1195" s="6">
        <f>UPPER(Sheet1!B1195)</f>
        <v/>
      </c>
      <c r="D1195" s="7">
        <f>IF(Sheet1!F1195="F","FEMALE","MALE")</f>
        <v/>
      </c>
      <c r="E1195" s="6">
        <f>UPPER(Sheet1!G1195)</f>
        <v/>
      </c>
      <c r="F1195" s="6">
        <f>UPPER(Sheet1!H1195)</f>
        <v/>
      </c>
      <c r="G1195" s="5">
        <f>TEXT(Sheet1!C1195,"dd/mm/yyyy") &amp; "," &amp; Sheet1!D1195</f>
        <v/>
      </c>
      <c r="H1195" s="38">
        <f>UPPER(Sheet1!J1195 &amp; "," &amp; Sheet1!K1195 &amp; "," &amp; Sheet1!L1195)</f>
        <v/>
      </c>
      <c r="I1195" s="45">
        <f>Sheet1!I1195</f>
        <v/>
      </c>
      <c r="J1195" s="5">
        <f>Sheet1!M1195 &amp; "," &amp; TEXT(Sheet1!N1195,"dd/mm/yy")</f>
        <v/>
      </c>
      <c r="K1195" s="5" t="inlineStr">
        <is>
          <t>PRINTED</t>
        </is>
      </c>
      <c r="L1195" t="inlineStr">
        <is>
          <t>25/03/2026</t>
        </is>
      </c>
      <c r="M1195" s="30" t="inlineStr">
        <is>
          <t>MANISH KATARIA, VICE CONSUL</t>
        </is>
      </c>
      <c r="N1195" s="30" t="n"/>
    </row>
    <row r="1196">
      <c r="A1196" s="4">
        <f>Sheet1!A1196 &amp; "/" &amp; "2025"</f>
        <v/>
      </c>
      <c r="B1196" s="5">
        <f>Sheet1!E1196</f>
        <v/>
      </c>
      <c r="C1196" s="6">
        <f>UPPER(Sheet1!B1196)</f>
        <v/>
      </c>
      <c r="D1196" s="7">
        <f>IF(Sheet1!F1196="F","FEMALE","MALE")</f>
        <v/>
      </c>
      <c r="E1196" s="6">
        <f>UPPER(Sheet1!G1196)</f>
        <v/>
      </c>
      <c r="F1196" s="6">
        <f>UPPER(Sheet1!H1196)</f>
        <v/>
      </c>
      <c r="G1196" s="5">
        <f>TEXT(Sheet1!C1196,"dd/mm/yyyy") &amp; "," &amp; Sheet1!D1196</f>
        <v/>
      </c>
      <c r="H1196" s="38">
        <f>UPPER(Sheet1!J1196 &amp; "," &amp; Sheet1!K1196 &amp; "," &amp; Sheet1!L1196)</f>
        <v/>
      </c>
      <c r="I1196" s="45">
        <f>Sheet1!I1196</f>
        <v/>
      </c>
      <c r="J1196" s="5">
        <f>Sheet1!M1196 &amp; "," &amp; TEXT(Sheet1!N1196,"dd/mm/yy")</f>
        <v/>
      </c>
      <c r="K1196" s="5" t="inlineStr">
        <is>
          <t>PRINTED</t>
        </is>
      </c>
      <c r="L1196" t="inlineStr">
        <is>
          <t>25/03/2026</t>
        </is>
      </c>
      <c r="M1196" s="30" t="inlineStr">
        <is>
          <t>MANISH KATARIA, VICE CONSUL</t>
        </is>
      </c>
      <c r="N1196" s="30" t="n"/>
    </row>
    <row r="1197">
      <c r="A1197" s="4">
        <f>Sheet1!A1197 &amp; "/" &amp; "2025"</f>
        <v/>
      </c>
      <c r="B1197" s="5">
        <f>Sheet1!E1197</f>
        <v/>
      </c>
      <c r="C1197" s="6">
        <f>UPPER(Sheet1!B1197)</f>
        <v/>
      </c>
      <c r="D1197" s="7">
        <f>IF(Sheet1!F1197="F","FEMALE","MALE")</f>
        <v/>
      </c>
      <c r="E1197" s="6">
        <f>UPPER(Sheet1!G1197)</f>
        <v/>
      </c>
      <c r="F1197" s="6">
        <f>UPPER(Sheet1!H1197)</f>
        <v/>
      </c>
      <c r="G1197" s="5">
        <f>TEXT(Sheet1!C1197,"dd/mm/yyyy") &amp; "," &amp; Sheet1!D1197</f>
        <v/>
      </c>
      <c r="H1197" s="38">
        <f>UPPER(Sheet1!J1197 &amp; "," &amp; Sheet1!K1197 &amp; "," &amp; Sheet1!L1197)</f>
        <v/>
      </c>
      <c r="I1197" s="45">
        <f>Sheet1!I1197</f>
        <v/>
      </c>
      <c r="J1197" s="5">
        <f>Sheet1!M1197 &amp; "," &amp; TEXT(Sheet1!N1197,"dd/mm/yy")</f>
        <v/>
      </c>
      <c r="K1197" s="5" t="inlineStr">
        <is>
          <t>PRINTED</t>
        </is>
      </c>
      <c r="L1197" t="inlineStr">
        <is>
          <t>25/03/2026</t>
        </is>
      </c>
      <c r="M1197" s="30" t="inlineStr">
        <is>
          <t>MANISH KATARIA, VICE CONSUL</t>
        </is>
      </c>
      <c r="N1197" s="30" t="n"/>
    </row>
    <row r="1198">
      <c r="A1198" s="4">
        <f>Sheet1!A1198 &amp; "/" &amp; "2025"</f>
        <v/>
      </c>
      <c r="B1198" s="5">
        <f>Sheet1!E1198</f>
        <v/>
      </c>
      <c r="C1198" s="6">
        <f>UPPER(Sheet1!B1198)</f>
        <v/>
      </c>
      <c r="D1198" s="7">
        <f>IF(Sheet1!F1198="F","FEMALE","MALE")</f>
        <v/>
      </c>
      <c r="E1198" s="6">
        <f>UPPER(Sheet1!G1198)</f>
        <v/>
      </c>
      <c r="F1198" s="6">
        <f>UPPER(Sheet1!H1198)</f>
        <v/>
      </c>
      <c r="G1198" s="5">
        <f>TEXT(Sheet1!C1198,"dd/mm/yyyy") &amp; "," &amp; Sheet1!D1198</f>
        <v/>
      </c>
      <c r="H1198" s="38">
        <f>UPPER(Sheet1!J1198 &amp; "," &amp; Sheet1!K1198 &amp; "," &amp; Sheet1!L1198)</f>
        <v/>
      </c>
      <c r="I1198" s="45">
        <f>Sheet1!I1198</f>
        <v/>
      </c>
      <c r="J1198" s="5">
        <f>Sheet1!M1198 &amp; "," &amp; TEXT(Sheet1!N1198,"dd/mm/yy")</f>
        <v/>
      </c>
      <c r="K1198" s="5" t="inlineStr">
        <is>
          <t>PRINTED</t>
        </is>
      </c>
      <c r="L1198" t="inlineStr">
        <is>
          <t>25/03/2026</t>
        </is>
      </c>
      <c r="M1198" s="30" t="inlineStr">
        <is>
          <t>MANISH KATARIA, VICE CONSUL</t>
        </is>
      </c>
      <c r="N1198" s="30" t="n"/>
    </row>
    <row r="1199">
      <c r="A1199" s="4">
        <f>Sheet1!A1199 &amp; "/" &amp; "2025"</f>
        <v/>
      </c>
      <c r="B1199" s="5">
        <f>Sheet1!E1199</f>
        <v/>
      </c>
      <c r="C1199" s="6">
        <f>UPPER(Sheet1!B1199)</f>
        <v/>
      </c>
      <c r="D1199" s="7">
        <f>IF(Sheet1!F1199="F","FEMALE","MALE")</f>
        <v/>
      </c>
      <c r="E1199" s="6">
        <f>UPPER(Sheet1!G1199)</f>
        <v/>
      </c>
      <c r="F1199" s="6">
        <f>UPPER(Sheet1!H1199)</f>
        <v/>
      </c>
      <c r="G1199" s="5">
        <f>TEXT(Sheet1!C1199,"dd/mm/yyyy") &amp; "," &amp; Sheet1!D1199</f>
        <v/>
      </c>
      <c r="H1199" s="38">
        <f>UPPER(Sheet1!J1199 &amp; "," &amp; Sheet1!K1199 &amp; "," &amp; Sheet1!L1199)</f>
        <v/>
      </c>
      <c r="I1199" s="45">
        <f>Sheet1!I1199</f>
        <v/>
      </c>
      <c r="J1199" s="5">
        <f>Sheet1!M1199 &amp; "," &amp; TEXT(Sheet1!N1199,"dd/mm/yy")</f>
        <v/>
      </c>
      <c r="K1199" s="5" t="inlineStr">
        <is>
          <t>PRINTED</t>
        </is>
      </c>
      <c r="L1199" t="inlineStr">
        <is>
          <t>25/03/2026</t>
        </is>
      </c>
      <c r="M1199" s="30" t="inlineStr">
        <is>
          <t>MANISH KATARIA, VICE CONSUL</t>
        </is>
      </c>
      <c r="N1199" s="30" t="n"/>
    </row>
    <row r="1200">
      <c r="A1200" s="4">
        <f>Sheet1!A1200 &amp; "/" &amp; "2025"</f>
        <v/>
      </c>
      <c r="B1200" s="5">
        <f>Sheet1!E1200</f>
        <v/>
      </c>
      <c r="C1200" s="6">
        <f>UPPER(Sheet1!B1200)</f>
        <v/>
      </c>
      <c r="D1200" s="7">
        <f>IF(Sheet1!F1200="F","FEMALE","MALE")</f>
        <v/>
      </c>
      <c r="E1200" s="6">
        <f>UPPER(Sheet1!G1200)</f>
        <v/>
      </c>
      <c r="F1200" s="6">
        <f>UPPER(Sheet1!H1200)</f>
        <v/>
      </c>
      <c r="G1200" s="5">
        <f>TEXT(Sheet1!C1200,"dd/mm/yyyy") &amp; "," &amp; Sheet1!D1200</f>
        <v/>
      </c>
      <c r="H1200" s="38">
        <f>UPPER(Sheet1!J1200 &amp; "," &amp; Sheet1!K1200 &amp; "," &amp; Sheet1!L1200)</f>
        <v/>
      </c>
      <c r="I1200" s="45">
        <f>Sheet1!I1200</f>
        <v/>
      </c>
      <c r="J1200" s="5">
        <f>Sheet1!M1200 &amp; "," &amp; TEXT(Sheet1!N1200,"dd/mm/yy")</f>
        <v/>
      </c>
      <c r="K1200" s="5" t="inlineStr">
        <is>
          <t>PRINTED</t>
        </is>
      </c>
      <c r="L1200" t="inlineStr">
        <is>
          <t>25/03/2026</t>
        </is>
      </c>
      <c r="M1200" s="30" t="inlineStr">
        <is>
          <t>MANISH KATARIA, VICE CONSUL</t>
        </is>
      </c>
      <c r="N1200" s="30" t="n"/>
    </row>
    <row r="1201">
      <c r="A1201" s="4">
        <f>Sheet1!A1201 &amp; "/" &amp; "2025"</f>
        <v/>
      </c>
      <c r="B1201" s="5">
        <f>Sheet1!E1201</f>
        <v/>
      </c>
      <c r="C1201" s="6">
        <f>UPPER(Sheet1!B1201)</f>
        <v/>
      </c>
      <c r="D1201" s="7">
        <f>IF(Sheet1!F1201="F","FEMALE","MALE")</f>
        <v/>
      </c>
      <c r="E1201" s="6">
        <f>UPPER(Sheet1!G1201)</f>
        <v/>
      </c>
      <c r="F1201" s="6">
        <f>UPPER(Sheet1!H1201)</f>
        <v/>
      </c>
      <c r="G1201" s="5">
        <f>TEXT(Sheet1!C1201,"dd/mm/yyyy") &amp; "," &amp; Sheet1!D1201</f>
        <v/>
      </c>
      <c r="H1201" s="38">
        <f>UPPER(Sheet1!J1201 &amp; "," &amp; Sheet1!K1201 &amp; "," &amp; Sheet1!L1201)</f>
        <v/>
      </c>
      <c r="I1201" s="45">
        <f>Sheet1!I1201</f>
        <v/>
      </c>
      <c r="J1201" s="5">
        <f>Sheet1!M1201 &amp; "," &amp; TEXT(Sheet1!N1201,"dd/mm/yy")</f>
        <v/>
      </c>
      <c r="K1201" s="5" t="inlineStr">
        <is>
          <t>PRINTED</t>
        </is>
      </c>
      <c r="L1201" t="inlineStr">
        <is>
          <t>25/03/2026</t>
        </is>
      </c>
      <c r="M1201" s="30" t="inlineStr">
        <is>
          <t>MANISH KATARIA, VICE CONSUL</t>
        </is>
      </c>
      <c r="N1201" s="30" t="n"/>
    </row>
    <row r="1202">
      <c r="A1202" s="4">
        <f>Sheet1!A1202 &amp; "/" &amp; "2025"</f>
        <v/>
      </c>
      <c r="B1202" s="5">
        <f>Sheet1!E1202</f>
        <v/>
      </c>
      <c r="C1202" s="6">
        <f>UPPER(Sheet1!B1202)</f>
        <v/>
      </c>
      <c r="D1202" s="7">
        <f>IF(Sheet1!F1202="F","FEMALE","MALE")</f>
        <v/>
      </c>
      <c r="E1202" s="6">
        <f>UPPER(Sheet1!G1202)</f>
        <v/>
      </c>
      <c r="F1202" s="6">
        <f>UPPER(Sheet1!H1202)</f>
        <v/>
      </c>
      <c r="G1202" s="5">
        <f>TEXT(Sheet1!C1202,"dd/mm/yyyy") &amp; "," &amp; Sheet1!D1202</f>
        <v/>
      </c>
      <c r="H1202" s="38">
        <f>UPPER(Sheet1!J1202 &amp; "," &amp; Sheet1!K1202 &amp; "," &amp; Sheet1!L1202)</f>
        <v/>
      </c>
      <c r="I1202" s="45">
        <f>Sheet1!I1202</f>
        <v/>
      </c>
      <c r="J1202" s="5">
        <f>Sheet1!M1202 &amp; "," &amp; TEXT(Sheet1!N1202,"dd/mm/yy")</f>
        <v/>
      </c>
      <c r="K1202" s="5" t="inlineStr">
        <is>
          <t>PRINTED</t>
        </is>
      </c>
      <c r="L1202" t="inlineStr">
        <is>
          <t>25/03/2026</t>
        </is>
      </c>
      <c r="M1202" s="30" t="inlineStr">
        <is>
          <t>MANISH KATARIA, VICE CONSUL</t>
        </is>
      </c>
      <c r="N1202" s="30" t="n"/>
    </row>
    <row r="1203">
      <c r="A1203" s="4">
        <f>Sheet1!A1203 &amp; "/" &amp; "2025"</f>
        <v/>
      </c>
      <c r="B1203" s="5">
        <f>Sheet1!E1203</f>
        <v/>
      </c>
      <c r="C1203" s="6">
        <f>UPPER(Sheet1!B1203)</f>
        <v/>
      </c>
      <c r="D1203" s="7">
        <f>IF(Sheet1!F1203="F","FEMALE","MALE")</f>
        <v/>
      </c>
      <c r="E1203" s="6">
        <f>UPPER(Sheet1!G1203)</f>
        <v/>
      </c>
      <c r="F1203" s="6">
        <f>UPPER(Sheet1!H1203)</f>
        <v/>
      </c>
      <c r="G1203" s="5">
        <f>TEXT(Sheet1!C1203,"dd/mm/yyyy") &amp; "," &amp; Sheet1!D1203</f>
        <v/>
      </c>
      <c r="H1203" s="38">
        <f>UPPER(Sheet1!J1203 &amp; "," &amp; Sheet1!K1203 &amp; "," &amp; Sheet1!L1203)</f>
        <v/>
      </c>
      <c r="I1203" s="45">
        <f>Sheet1!I1203</f>
        <v/>
      </c>
      <c r="J1203" s="5">
        <f>Sheet1!M1203 &amp; "," &amp; TEXT(Sheet1!N1203,"dd/mm/yy")</f>
        <v/>
      </c>
      <c r="K1203" s="5" t="inlineStr">
        <is>
          <t>PRINTED</t>
        </is>
      </c>
      <c r="L1203" t="inlineStr">
        <is>
          <t>25/03/2026</t>
        </is>
      </c>
      <c r="M1203" s="30" t="inlineStr">
        <is>
          <t>MANISH KATARIA, VICE CONSUL</t>
        </is>
      </c>
      <c r="N1203" s="30" t="n"/>
    </row>
    <row r="1204">
      <c r="A1204" s="4">
        <f>Sheet1!A1204 &amp; "/" &amp; "2025"</f>
        <v/>
      </c>
      <c r="B1204" s="5">
        <f>Sheet1!E1204</f>
        <v/>
      </c>
      <c r="C1204" s="6">
        <f>UPPER(Sheet1!B1204)</f>
        <v/>
      </c>
      <c r="D1204" s="7">
        <f>IF(Sheet1!F1204="F","FEMALE","MALE")</f>
        <v/>
      </c>
      <c r="E1204" s="6">
        <f>UPPER(Sheet1!G1204)</f>
        <v/>
      </c>
      <c r="F1204" s="6">
        <f>UPPER(Sheet1!H1204)</f>
        <v/>
      </c>
      <c r="G1204" s="5">
        <f>TEXT(Sheet1!C1204,"dd/mm/yyyy") &amp; "," &amp; Sheet1!D1204</f>
        <v/>
      </c>
      <c r="H1204" s="38">
        <f>UPPER(Sheet1!J1204 &amp; "," &amp; Sheet1!K1204 &amp; "," &amp; Sheet1!L1204)</f>
        <v/>
      </c>
      <c r="I1204" s="45">
        <f>Sheet1!I1204</f>
        <v/>
      </c>
      <c r="J1204" s="5">
        <f>Sheet1!M1204 &amp; "," &amp; TEXT(Sheet1!N1204,"dd/mm/yy")</f>
        <v/>
      </c>
      <c r="K1204" s="5" t="inlineStr">
        <is>
          <t>PRINTED</t>
        </is>
      </c>
      <c r="L1204" t="inlineStr">
        <is>
          <t>25/03/2026</t>
        </is>
      </c>
      <c r="M1204" s="30" t="inlineStr">
        <is>
          <t>MANISH KATARIA, VICE CONSUL</t>
        </is>
      </c>
      <c r="N1204" s="30" t="n"/>
    </row>
    <row r="1205">
      <c r="A1205" s="4">
        <f>Sheet1!A1205 &amp; "/" &amp; "2025"</f>
        <v/>
      </c>
      <c r="B1205" s="5">
        <f>Sheet1!E1205</f>
        <v/>
      </c>
      <c r="C1205" s="6">
        <f>UPPER(Sheet1!B1205)</f>
        <v/>
      </c>
      <c r="D1205" s="7">
        <f>IF(Sheet1!F1205="F","FEMALE","MALE")</f>
        <v/>
      </c>
      <c r="E1205" s="6">
        <f>UPPER(Sheet1!G1205)</f>
        <v/>
      </c>
      <c r="F1205" s="6">
        <f>UPPER(Sheet1!H1205)</f>
        <v/>
      </c>
      <c r="G1205" s="5">
        <f>TEXT(Sheet1!C1205,"dd/mm/yyyy") &amp; "," &amp; Sheet1!D1205</f>
        <v/>
      </c>
      <c r="H1205" s="38">
        <f>UPPER(Sheet1!J1205 &amp; "," &amp; Sheet1!K1205 &amp; "," &amp; Sheet1!L1205)</f>
        <v/>
      </c>
      <c r="I1205" s="45">
        <f>Sheet1!I1205</f>
        <v/>
      </c>
      <c r="J1205" s="5">
        <f>Sheet1!M1205 &amp; "," &amp; TEXT(Sheet1!N1205,"dd/mm/yy")</f>
        <v/>
      </c>
      <c r="K1205" s="5" t="inlineStr">
        <is>
          <t>PRINTED</t>
        </is>
      </c>
      <c r="L1205" t="inlineStr">
        <is>
          <t>25/03/2026</t>
        </is>
      </c>
      <c r="M1205" s="30" t="inlineStr">
        <is>
          <t>MANISH KATARIA, VICE CONSUL</t>
        </is>
      </c>
      <c r="N1205" s="30" t="n"/>
    </row>
    <row r="1206">
      <c r="A1206" s="4">
        <f>Sheet1!A1206 &amp; "/" &amp; "2025"</f>
        <v/>
      </c>
      <c r="B1206" s="5">
        <f>Sheet1!E1206</f>
        <v/>
      </c>
      <c r="C1206" s="6">
        <f>UPPER(Sheet1!B1206)</f>
        <v/>
      </c>
      <c r="D1206" s="7">
        <f>IF(Sheet1!F1206="F","FEMALE","MALE")</f>
        <v/>
      </c>
      <c r="E1206" s="6">
        <f>UPPER(Sheet1!G1206)</f>
        <v/>
      </c>
      <c r="F1206" s="6">
        <f>UPPER(Sheet1!H1206)</f>
        <v/>
      </c>
      <c r="G1206" s="5">
        <f>TEXT(Sheet1!C1206,"dd/mm/yyyy") &amp; "," &amp; Sheet1!D1206</f>
        <v/>
      </c>
      <c r="H1206" s="38">
        <f>UPPER(Sheet1!J1206 &amp; "," &amp; Sheet1!K1206 &amp; "," &amp; Sheet1!L1206)</f>
        <v/>
      </c>
      <c r="I1206" s="45">
        <f>Sheet1!I1206</f>
        <v/>
      </c>
      <c r="J1206" s="5">
        <f>Sheet1!M1206 &amp; "," &amp; TEXT(Sheet1!N1206,"dd/mm/yy")</f>
        <v/>
      </c>
      <c r="K1206" s="5" t="inlineStr">
        <is>
          <t>PRINTED</t>
        </is>
      </c>
      <c r="L1206" t="inlineStr">
        <is>
          <t>25/03/2026</t>
        </is>
      </c>
      <c r="M1206" s="30" t="inlineStr">
        <is>
          <t>MANISH KATARIA, VICE CONSUL</t>
        </is>
      </c>
      <c r="N1206" s="30" t="n"/>
    </row>
    <row r="1207">
      <c r="A1207" s="4">
        <f>Sheet1!A1207 &amp; "/" &amp; "2025"</f>
        <v/>
      </c>
      <c r="B1207" s="5">
        <f>Sheet1!E1207</f>
        <v/>
      </c>
      <c r="C1207" s="6">
        <f>UPPER(Sheet1!B1207)</f>
        <v/>
      </c>
      <c r="D1207" s="7">
        <f>IF(Sheet1!F1207="F","FEMALE","MALE")</f>
        <v/>
      </c>
      <c r="E1207" s="6">
        <f>UPPER(Sheet1!G1207)</f>
        <v/>
      </c>
      <c r="F1207" s="6">
        <f>UPPER(Sheet1!H1207)</f>
        <v/>
      </c>
      <c r="G1207" s="5">
        <f>TEXT(Sheet1!C1207,"dd/mm/yyyy") &amp; "," &amp; Sheet1!D1207</f>
        <v/>
      </c>
      <c r="H1207" s="38">
        <f>UPPER(Sheet1!J1207 &amp; "," &amp; Sheet1!K1207 &amp; "," &amp; Sheet1!L1207)</f>
        <v/>
      </c>
      <c r="I1207" s="45">
        <f>Sheet1!I1207</f>
        <v/>
      </c>
      <c r="J1207" s="5">
        <f>Sheet1!M1207 &amp; "," &amp; TEXT(Sheet1!N1207,"dd/mm/yy")</f>
        <v/>
      </c>
      <c r="K1207" s="5" t="inlineStr">
        <is>
          <t>PRINTED</t>
        </is>
      </c>
      <c r="L1207" t="inlineStr">
        <is>
          <t>25/03/2026</t>
        </is>
      </c>
      <c r="M1207" s="30" t="inlineStr">
        <is>
          <t>MANISH KATARIA, VICE CONSUL</t>
        </is>
      </c>
      <c r="N1207" s="30" t="n"/>
    </row>
    <row r="1208">
      <c r="A1208" s="4">
        <f>Sheet1!A1208 &amp; "/" &amp; "2025"</f>
        <v/>
      </c>
      <c r="B1208" s="5">
        <f>Sheet1!E1208</f>
        <v/>
      </c>
      <c r="C1208" s="6">
        <f>UPPER(Sheet1!B1208)</f>
        <v/>
      </c>
      <c r="D1208" s="7">
        <f>IF(Sheet1!F1208="F","FEMALE","MALE")</f>
        <v/>
      </c>
      <c r="E1208" s="6">
        <f>UPPER(Sheet1!G1208)</f>
        <v/>
      </c>
      <c r="F1208" s="6">
        <f>UPPER(Sheet1!H1208)</f>
        <v/>
      </c>
      <c r="G1208" s="5">
        <f>TEXT(Sheet1!C1208,"dd/mm/yyyy") &amp; "," &amp; Sheet1!D1208</f>
        <v/>
      </c>
      <c r="H1208" s="38">
        <f>UPPER(Sheet1!J1208 &amp; "," &amp; Sheet1!K1208 &amp; "," &amp; Sheet1!L1208)</f>
        <v/>
      </c>
      <c r="I1208" s="45">
        <f>Sheet1!I1208</f>
        <v/>
      </c>
      <c r="J1208" s="5">
        <f>Sheet1!M1208 &amp; "," &amp; TEXT(Sheet1!N1208,"dd/mm/yy")</f>
        <v/>
      </c>
      <c r="K1208" s="5" t="inlineStr">
        <is>
          <t>PRINTED</t>
        </is>
      </c>
      <c r="L1208" t="inlineStr">
        <is>
          <t>25/03/2026</t>
        </is>
      </c>
      <c r="M1208" s="30" t="inlineStr">
        <is>
          <t>MANISH KATARIA, VICE CONSUL</t>
        </is>
      </c>
      <c r="N1208" s="30" t="n"/>
    </row>
    <row r="1209">
      <c r="A1209" s="4">
        <f>Sheet1!A1209 &amp; "/" &amp; "2025"</f>
        <v/>
      </c>
      <c r="B1209" s="5">
        <f>Sheet1!E1209</f>
        <v/>
      </c>
      <c r="C1209" s="6">
        <f>UPPER(Sheet1!B1209)</f>
        <v/>
      </c>
      <c r="D1209" s="7">
        <f>IF(Sheet1!F1209="F","FEMALE","MALE")</f>
        <v/>
      </c>
      <c r="E1209" s="6">
        <f>UPPER(Sheet1!G1209)</f>
        <v/>
      </c>
      <c r="F1209" s="6">
        <f>UPPER(Sheet1!H1209)</f>
        <v/>
      </c>
      <c r="G1209" s="5">
        <f>TEXT(Sheet1!C1209,"dd/mm/yyyy") &amp; "," &amp; Sheet1!D1209</f>
        <v/>
      </c>
      <c r="H1209" s="38">
        <f>UPPER(Sheet1!J1209 &amp; "," &amp; Sheet1!K1209 &amp; "," &amp; Sheet1!L1209)</f>
        <v/>
      </c>
      <c r="I1209" s="45">
        <f>Sheet1!I1209</f>
        <v/>
      </c>
      <c r="J1209" s="5">
        <f>Sheet1!M1209 &amp; "," &amp; TEXT(Sheet1!N1209,"dd/mm/yy")</f>
        <v/>
      </c>
      <c r="K1209" s="5" t="inlineStr">
        <is>
          <t>PRINTED</t>
        </is>
      </c>
      <c r="L1209" t="inlineStr">
        <is>
          <t>25/03/2026</t>
        </is>
      </c>
      <c r="M1209" s="30" t="inlineStr">
        <is>
          <t>MANISH KATARIA, VICE CONSUL</t>
        </is>
      </c>
      <c r="N1209" s="30" t="n"/>
    </row>
    <row r="1210">
      <c r="A1210" s="4">
        <f>Sheet1!A1210 &amp; "/" &amp; "2025"</f>
        <v/>
      </c>
      <c r="B1210" s="5">
        <f>Sheet1!E1210</f>
        <v/>
      </c>
      <c r="C1210" s="6">
        <f>UPPER(Sheet1!B1210)</f>
        <v/>
      </c>
      <c r="D1210" s="7">
        <f>IF(Sheet1!F1210="F","FEMALE","MALE")</f>
        <v/>
      </c>
      <c r="E1210" s="6">
        <f>UPPER(Sheet1!G1210)</f>
        <v/>
      </c>
      <c r="F1210" s="6">
        <f>UPPER(Sheet1!H1210)</f>
        <v/>
      </c>
      <c r="G1210" s="5">
        <f>TEXT(Sheet1!C1210,"dd/mm/yyyy") &amp; "," &amp; Sheet1!D1210</f>
        <v/>
      </c>
      <c r="H1210" s="38">
        <f>UPPER(Sheet1!J1210 &amp; "," &amp; Sheet1!K1210 &amp; "," &amp; Sheet1!L1210)</f>
        <v/>
      </c>
      <c r="I1210" s="45">
        <f>Sheet1!I1210</f>
        <v/>
      </c>
      <c r="J1210" s="5">
        <f>Sheet1!M1210 &amp; "," &amp; TEXT(Sheet1!N1210,"dd/mm/yy")</f>
        <v/>
      </c>
      <c r="K1210" s="5" t="inlineStr">
        <is>
          <t>PRINTED</t>
        </is>
      </c>
      <c r="L1210" t="inlineStr">
        <is>
          <t>25/03/2026</t>
        </is>
      </c>
      <c r="M1210" s="30" t="inlineStr">
        <is>
          <t>MANISH KATARIA, VICE CONSUL</t>
        </is>
      </c>
      <c r="N1210" s="30" t="n"/>
    </row>
    <row r="1211">
      <c r="A1211" s="4">
        <f>Sheet1!A1211 &amp; "/" &amp; "2025"</f>
        <v/>
      </c>
      <c r="B1211" s="5">
        <f>Sheet1!E1211</f>
        <v/>
      </c>
      <c r="C1211" s="6">
        <f>UPPER(Sheet1!B1211)</f>
        <v/>
      </c>
      <c r="D1211" s="7">
        <f>IF(Sheet1!F1211="F","FEMALE","MALE")</f>
        <v/>
      </c>
      <c r="E1211" s="6">
        <f>UPPER(Sheet1!G1211)</f>
        <v/>
      </c>
      <c r="F1211" s="6">
        <f>UPPER(Sheet1!H1211)</f>
        <v/>
      </c>
      <c r="G1211" s="5">
        <f>TEXT(Sheet1!C1211,"dd/mm/yyyy") &amp; "," &amp; Sheet1!D1211</f>
        <v/>
      </c>
      <c r="H1211" s="38">
        <f>UPPER(Sheet1!J1211 &amp; "," &amp; Sheet1!K1211 &amp; "," &amp; Sheet1!L1211)</f>
        <v/>
      </c>
      <c r="I1211" s="45">
        <f>Sheet1!I1211</f>
        <v/>
      </c>
      <c r="J1211" s="5">
        <f>Sheet1!M1211 &amp; "," &amp; TEXT(Sheet1!N1211,"dd/mm/yy")</f>
        <v/>
      </c>
      <c r="K1211" s="5" t="inlineStr">
        <is>
          <t>PRINTED</t>
        </is>
      </c>
      <c r="L1211" t="inlineStr">
        <is>
          <t>25/03/2026</t>
        </is>
      </c>
      <c r="M1211" s="30" t="inlineStr">
        <is>
          <t>MANISH KATARIA, VICE CONSUL</t>
        </is>
      </c>
      <c r="N1211" s="30" t="n"/>
    </row>
    <row r="1212">
      <c r="A1212" s="4">
        <f>Sheet1!A1212 &amp; "/" &amp; "2025"</f>
        <v/>
      </c>
      <c r="B1212" s="5">
        <f>Sheet1!E1212</f>
        <v/>
      </c>
      <c r="C1212" s="6">
        <f>UPPER(Sheet1!B1212)</f>
        <v/>
      </c>
      <c r="D1212" s="7">
        <f>IF(Sheet1!F1212="F","FEMALE","MALE")</f>
        <v/>
      </c>
      <c r="E1212" s="6">
        <f>UPPER(Sheet1!G1212)</f>
        <v/>
      </c>
      <c r="F1212" s="6">
        <f>UPPER(Sheet1!H1212)</f>
        <v/>
      </c>
      <c r="G1212" s="5">
        <f>TEXT(Sheet1!C1212,"dd/mm/yyyy") &amp; "," &amp; Sheet1!D1212</f>
        <v/>
      </c>
      <c r="H1212" s="38">
        <f>UPPER(Sheet1!J1212 &amp; "," &amp; Sheet1!K1212 &amp; "," &amp; Sheet1!L1212)</f>
        <v/>
      </c>
      <c r="I1212" s="45">
        <f>Sheet1!I1212</f>
        <v/>
      </c>
      <c r="J1212" s="5">
        <f>Sheet1!M1212 &amp; "," &amp; TEXT(Sheet1!N1212,"dd/mm/yy")</f>
        <v/>
      </c>
      <c r="K1212" s="5" t="inlineStr">
        <is>
          <t>PRINTED</t>
        </is>
      </c>
      <c r="L1212" t="inlineStr">
        <is>
          <t>25/03/2026</t>
        </is>
      </c>
      <c r="M1212" s="30" t="inlineStr">
        <is>
          <t>MANISH KATARIA, VICE CONSUL</t>
        </is>
      </c>
      <c r="N1212" s="30" t="n"/>
    </row>
    <row r="1213">
      <c r="A1213" s="4">
        <f>Sheet1!A1213 &amp; "/" &amp; "2025"</f>
        <v/>
      </c>
      <c r="B1213" s="5">
        <f>Sheet1!E1213</f>
        <v/>
      </c>
      <c r="C1213" s="6">
        <f>UPPER(Sheet1!B1213)</f>
        <v/>
      </c>
      <c r="D1213" s="7">
        <f>IF(Sheet1!F1213="F","FEMALE","MALE")</f>
        <v/>
      </c>
      <c r="E1213" s="6">
        <f>UPPER(Sheet1!G1213)</f>
        <v/>
      </c>
      <c r="F1213" s="6">
        <f>UPPER(Sheet1!H1213)</f>
        <v/>
      </c>
      <c r="G1213" s="5">
        <f>TEXT(Sheet1!C1213,"dd/mm/yyyy") &amp; "," &amp; Sheet1!D1213</f>
        <v/>
      </c>
      <c r="H1213" s="38">
        <f>UPPER(Sheet1!J1213 &amp; "," &amp; Sheet1!K1213 &amp; "," &amp; Sheet1!L1213)</f>
        <v/>
      </c>
      <c r="I1213" s="45">
        <f>Sheet1!I1213</f>
        <v/>
      </c>
      <c r="J1213" s="5">
        <f>Sheet1!M1213 &amp; "," &amp; TEXT(Sheet1!N1213,"dd/mm/yy")</f>
        <v/>
      </c>
      <c r="K1213" s="5" t="inlineStr">
        <is>
          <t>PRINTED</t>
        </is>
      </c>
      <c r="L1213" t="inlineStr">
        <is>
          <t>25/03/2026</t>
        </is>
      </c>
      <c r="M1213" s="30" t="inlineStr">
        <is>
          <t>MANISH KATARIA, VICE CONSUL</t>
        </is>
      </c>
      <c r="N1213" s="30" t="n"/>
    </row>
    <row r="1214">
      <c r="A1214" s="4">
        <f>Sheet1!A1214 &amp; "/" &amp; "2025"</f>
        <v/>
      </c>
      <c r="B1214" s="5">
        <f>Sheet1!E1214</f>
        <v/>
      </c>
      <c r="C1214" s="6">
        <f>UPPER(Sheet1!B1214)</f>
        <v/>
      </c>
      <c r="D1214" s="7">
        <f>IF(Sheet1!F1214="F","FEMALE","MALE")</f>
        <v/>
      </c>
      <c r="E1214" s="6">
        <f>UPPER(Sheet1!G1214)</f>
        <v/>
      </c>
      <c r="F1214" s="6">
        <f>UPPER(Sheet1!H1214)</f>
        <v/>
      </c>
      <c r="G1214" s="5">
        <f>TEXT(Sheet1!C1214,"dd/mm/yyyy") &amp; "," &amp; Sheet1!D1214</f>
        <v/>
      </c>
      <c r="H1214" s="38">
        <f>UPPER(Sheet1!J1214 &amp; "," &amp; Sheet1!K1214 &amp; "," &amp; Sheet1!L1214)</f>
        <v/>
      </c>
      <c r="I1214" s="45">
        <f>Sheet1!I1214</f>
        <v/>
      </c>
      <c r="J1214" s="5">
        <f>Sheet1!M1214 &amp; "," &amp; TEXT(Sheet1!N1214,"dd/mm/yy")</f>
        <v/>
      </c>
      <c r="K1214" s="5" t="inlineStr">
        <is>
          <t>PRINTED</t>
        </is>
      </c>
      <c r="L1214" t="inlineStr">
        <is>
          <t>25/03/2026</t>
        </is>
      </c>
      <c r="M1214" s="30" t="inlineStr">
        <is>
          <t>MANISH KATARIA, VICE CONSUL</t>
        </is>
      </c>
      <c r="N1214" s="30" t="n"/>
    </row>
    <row r="1215">
      <c r="A1215" s="4">
        <f>Sheet1!A1215 &amp; "/" &amp; "2025"</f>
        <v/>
      </c>
      <c r="B1215" s="5">
        <f>Sheet1!E1215</f>
        <v/>
      </c>
      <c r="C1215" s="6">
        <f>UPPER(Sheet1!B1215)</f>
        <v/>
      </c>
      <c r="D1215" s="7">
        <f>IF(Sheet1!F1215="F","FEMALE","MALE")</f>
        <v/>
      </c>
      <c r="E1215" s="6">
        <f>UPPER(Sheet1!G1215)</f>
        <v/>
      </c>
      <c r="F1215" s="6">
        <f>UPPER(Sheet1!H1215)</f>
        <v/>
      </c>
      <c r="G1215" s="5">
        <f>TEXT(Sheet1!C1215,"dd/mm/yyyy") &amp; "," &amp; Sheet1!D1215</f>
        <v/>
      </c>
      <c r="H1215" s="38">
        <f>UPPER(Sheet1!J1215 &amp; "," &amp; Sheet1!K1215 &amp; "," &amp; Sheet1!L1215)</f>
        <v/>
      </c>
      <c r="I1215" s="45">
        <f>Sheet1!I1215</f>
        <v/>
      </c>
      <c r="J1215" s="5">
        <f>Sheet1!M1215 &amp; "," &amp; TEXT(Sheet1!N1215,"dd/mm/yy")</f>
        <v/>
      </c>
      <c r="K1215" s="5" t="inlineStr">
        <is>
          <t>PRINTED</t>
        </is>
      </c>
      <c r="L1215" t="inlineStr">
        <is>
          <t>25/03/2026</t>
        </is>
      </c>
      <c r="M1215" s="30" t="inlineStr">
        <is>
          <t>MANISH KATARIA, VICE CONSUL</t>
        </is>
      </c>
      <c r="N1215" s="30" t="n"/>
    </row>
    <row r="1216">
      <c r="A1216" s="4">
        <f>Sheet1!A1216 &amp; "/" &amp; "2025"</f>
        <v/>
      </c>
      <c r="B1216" s="5">
        <f>Sheet1!E1216</f>
        <v/>
      </c>
      <c r="C1216" s="6">
        <f>UPPER(Sheet1!B1216)</f>
        <v/>
      </c>
      <c r="D1216" s="7">
        <f>IF(Sheet1!F1216="F","FEMALE","MALE")</f>
        <v/>
      </c>
      <c r="E1216" s="6">
        <f>UPPER(Sheet1!G1216)</f>
        <v/>
      </c>
      <c r="F1216" s="6">
        <f>UPPER(Sheet1!H1216)</f>
        <v/>
      </c>
      <c r="G1216" s="5">
        <f>TEXT(Sheet1!C1216,"dd/mm/yyyy") &amp; "," &amp; Sheet1!D1216</f>
        <v/>
      </c>
      <c r="H1216" s="38">
        <f>UPPER(Sheet1!J1216 &amp; "," &amp; Sheet1!K1216 &amp; "," &amp; Sheet1!L1216)</f>
        <v/>
      </c>
      <c r="I1216" s="45">
        <f>Sheet1!I1216</f>
        <v/>
      </c>
      <c r="J1216" s="5">
        <f>Sheet1!M1216 &amp; "," &amp; TEXT(Sheet1!N1216,"dd/mm/yy")</f>
        <v/>
      </c>
      <c r="K1216" s="5" t="inlineStr">
        <is>
          <t>PRINTED</t>
        </is>
      </c>
      <c r="L1216" t="inlineStr">
        <is>
          <t>25/03/2026</t>
        </is>
      </c>
      <c r="M1216" s="30" t="inlineStr">
        <is>
          <t>MANISH KATARIA, VICE CONSUL</t>
        </is>
      </c>
      <c r="N1216" s="30" t="n"/>
    </row>
    <row r="1217">
      <c r="A1217" s="4">
        <f>Sheet1!A1217 &amp; "/" &amp; "2025"</f>
        <v/>
      </c>
      <c r="B1217" s="5">
        <f>Sheet1!E1217</f>
        <v/>
      </c>
      <c r="C1217" s="6">
        <f>UPPER(Sheet1!B1217)</f>
        <v/>
      </c>
      <c r="D1217" s="7">
        <f>IF(Sheet1!F1217="F","FEMALE","MALE")</f>
        <v/>
      </c>
      <c r="E1217" s="6">
        <f>UPPER(Sheet1!G1217)</f>
        <v/>
      </c>
      <c r="F1217" s="6">
        <f>UPPER(Sheet1!H1217)</f>
        <v/>
      </c>
      <c r="G1217" s="5">
        <f>TEXT(Sheet1!C1217,"dd/mm/yyyy") &amp; "," &amp; Sheet1!D1217</f>
        <v/>
      </c>
      <c r="H1217" s="38">
        <f>UPPER(Sheet1!J1217 &amp; "," &amp; Sheet1!K1217 &amp; "," &amp; Sheet1!L1217)</f>
        <v/>
      </c>
      <c r="I1217" s="45">
        <f>Sheet1!I1217</f>
        <v/>
      </c>
      <c r="J1217" s="5">
        <f>Sheet1!M1217 &amp; "," &amp; TEXT(Sheet1!N1217,"dd/mm/yy")</f>
        <v/>
      </c>
      <c r="K1217" s="5" t="inlineStr">
        <is>
          <t>PRINTED</t>
        </is>
      </c>
      <c r="L1217" t="inlineStr">
        <is>
          <t>25/03/2026</t>
        </is>
      </c>
      <c r="M1217" s="30" t="inlineStr">
        <is>
          <t>MANISH KATARIA, VICE CONSUL</t>
        </is>
      </c>
      <c r="N1217" s="30" t="n"/>
    </row>
    <row r="1218">
      <c r="A1218" s="4">
        <f>Sheet1!A1218 &amp; "/" &amp; "2025"</f>
        <v/>
      </c>
      <c r="B1218" s="5">
        <f>Sheet1!E1218</f>
        <v/>
      </c>
      <c r="C1218" s="6">
        <f>UPPER(Sheet1!B1218)</f>
        <v/>
      </c>
      <c r="D1218" s="7">
        <f>IF(Sheet1!F1218="F","FEMALE","MALE")</f>
        <v/>
      </c>
      <c r="E1218" s="6">
        <f>UPPER(Sheet1!G1218)</f>
        <v/>
      </c>
      <c r="F1218" s="6">
        <f>UPPER(Sheet1!H1218)</f>
        <v/>
      </c>
      <c r="G1218" s="5">
        <f>TEXT(Sheet1!C1218,"dd/mm/yyyy") &amp; "," &amp; Sheet1!D1218</f>
        <v/>
      </c>
      <c r="H1218" s="38">
        <f>UPPER(Sheet1!J1218 &amp; "," &amp; Sheet1!K1218 &amp; "," &amp; Sheet1!L1218)</f>
        <v/>
      </c>
      <c r="I1218" s="45">
        <f>Sheet1!I1218</f>
        <v/>
      </c>
      <c r="J1218" s="5">
        <f>Sheet1!M1218 &amp; "," &amp; TEXT(Sheet1!N1218,"dd/mm/yy")</f>
        <v/>
      </c>
      <c r="K1218" s="5" t="inlineStr">
        <is>
          <t>PRINTED</t>
        </is>
      </c>
      <c r="L1218" t="inlineStr">
        <is>
          <t>25/03/2026</t>
        </is>
      </c>
      <c r="M1218" s="30" t="inlineStr">
        <is>
          <t>MANISH KATARIA, VICE CONSUL</t>
        </is>
      </c>
      <c r="N1218" s="30" t="n"/>
    </row>
    <row r="1219">
      <c r="A1219" s="4">
        <f>Sheet1!A1219 &amp; "/" &amp; "2025"</f>
        <v/>
      </c>
      <c r="B1219" s="5">
        <f>Sheet1!E1219</f>
        <v/>
      </c>
      <c r="C1219" s="6">
        <f>UPPER(Sheet1!B1219)</f>
        <v/>
      </c>
      <c r="D1219" s="7">
        <f>IF(Sheet1!F1219="F","FEMALE","MALE")</f>
        <v/>
      </c>
      <c r="E1219" s="6">
        <f>UPPER(Sheet1!G1219)</f>
        <v/>
      </c>
      <c r="F1219" s="6">
        <f>UPPER(Sheet1!H1219)</f>
        <v/>
      </c>
      <c r="G1219" s="5">
        <f>TEXT(Sheet1!C1219,"dd/mm/yyyy") &amp; "," &amp; Sheet1!D1219</f>
        <v/>
      </c>
      <c r="H1219" s="38">
        <f>UPPER(Sheet1!J1219 &amp; "," &amp; Sheet1!K1219 &amp; "," &amp; Sheet1!L1219)</f>
        <v/>
      </c>
      <c r="I1219" s="45">
        <f>Sheet1!I1219</f>
        <v/>
      </c>
      <c r="J1219" s="5">
        <f>Sheet1!M1219 &amp; "," &amp; TEXT(Sheet1!N1219,"dd/mm/yy")</f>
        <v/>
      </c>
      <c r="K1219" s="5" t="inlineStr">
        <is>
          <t>PRINTED</t>
        </is>
      </c>
      <c r="L1219" t="inlineStr">
        <is>
          <t>25/03/2026</t>
        </is>
      </c>
      <c r="M1219" s="30" t="inlineStr">
        <is>
          <t>MANISH KATARIA, VICE CONSUL</t>
        </is>
      </c>
      <c r="N1219" s="30" t="n"/>
    </row>
    <row r="1220">
      <c r="A1220" s="4">
        <f>Sheet1!A1220 &amp; "/" &amp; "2025"</f>
        <v/>
      </c>
      <c r="B1220" s="5">
        <f>Sheet1!E1220</f>
        <v/>
      </c>
      <c r="C1220" s="6">
        <f>UPPER(Sheet1!B1220)</f>
        <v/>
      </c>
      <c r="D1220" s="7">
        <f>IF(Sheet1!F1220="F","FEMALE","MALE")</f>
        <v/>
      </c>
      <c r="E1220" s="6">
        <f>UPPER(Sheet1!G1220)</f>
        <v/>
      </c>
      <c r="F1220" s="6">
        <f>UPPER(Sheet1!H1220)</f>
        <v/>
      </c>
      <c r="G1220" s="5">
        <f>TEXT(Sheet1!C1220,"dd/mm/yyyy") &amp; "," &amp; Sheet1!D1220</f>
        <v/>
      </c>
      <c r="H1220" s="38">
        <f>UPPER(Sheet1!J1220 &amp; "," &amp; Sheet1!K1220 &amp; "," &amp; Sheet1!L1220)</f>
        <v/>
      </c>
      <c r="I1220" s="45">
        <f>Sheet1!I1220</f>
        <v/>
      </c>
      <c r="J1220" s="5">
        <f>Sheet1!M1220 &amp; "," &amp; TEXT(Sheet1!N1220,"dd/mm/yy")</f>
        <v/>
      </c>
      <c r="K1220" s="5" t="inlineStr">
        <is>
          <t>PRINTED</t>
        </is>
      </c>
      <c r="L1220" t="inlineStr">
        <is>
          <t>25/03/2026</t>
        </is>
      </c>
      <c r="M1220" s="30" t="inlineStr">
        <is>
          <t>MANISH KATARIA, VICE CONSUL</t>
        </is>
      </c>
      <c r="N1220" s="30" t="n"/>
    </row>
    <row r="1221">
      <c r="A1221" s="4">
        <f>Sheet1!A1221 &amp; "/" &amp; "2025"</f>
        <v/>
      </c>
      <c r="B1221" s="5">
        <f>Sheet1!E1221</f>
        <v/>
      </c>
      <c r="C1221" s="6">
        <f>UPPER(Sheet1!B1221)</f>
        <v/>
      </c>
      <c r="D1221" s="7">
        <f>IF(Sheet1!F1221="F","FEMALE","MALE")</f>
        <v/>
      </c>
      <c r="E1221" s="6">
        <f>UPPER(Sheet1!G1221)</f>
        <v/>
      </c>
      <c r="F1221" s="6">
        <f>UPPER(Sheet1!H1221)</f>
        <v/>
      </c>
      <c r="G1221" s="5">
        <f>TEXT(Sheet1!C1221,"dd/mm/yyyy") &amp; "," &amp; Sheet1!D1221</f>
        <v/>
      </c>
      <c r="H1221" s="38">
        <f>UPPER(Sheet1!J1221 &amp; "," &amp; Sheet1!K1221 &amp; "," &amp; Sheet1!L1221)</f>
        <v/>
      </c>
      <c r="I1221" s="45">
        <f>Sheet1!I1221</f>
        <v/>
      </c>
      <c r="J1221" s="5">
        <f>Sheet1!M1221 &amp; "," &amp; TEXT(Sheet1!N1221,"dd/mm/yy")</f>
        <v/>
      </c>
      <c r="K1221" s="5" t="inlineStr">
        <is>
          <t>PRINTED</t>
        </is>
      </c>
      <c r="L1221" t="inlineStr">
        <is>
          <t>25/03/2026</t>
        </is>
      </c>
      <c r="M1221" s="30" t="inlineStr">
        <is>
          <t>MANISH KATARIA, VICE CONSUL</t>
        </is>
      </c>
      <c r="N1221" s="30" t="n"/>
    </row>
    <row r="1222">
      <c r="A1222" s="4">
        <f>Sheet1!A1222 &amp; "/" &amp; "2025"</f>
        <v/>
      </c>
      <c r="B1222" s="5">
        <f>Sheet1!E1222</f>
        <v/>
      </c>
      <c r="C1222" s="6">
        <f>UPPER(Sheet1!B1222)</f>
        <v/>
      </c>
      <c r="D1222" s="7">
        <f>IF(Sheet1!F1222="F","FEMALE","MALE")</f>
        <v/>
      </c>
      <c r="E1222" s="6">
        <f>UPPER(Sheet1!G1222)</f>
        <v/>
      </c>
      <c r="F1222" s="6">
        <f>UPPER(Sheet1!H1222)</f>
        <v/>
      </c>
      <c r="G1222" s="5">
        <f>TEXT(Sheet1!C1222,"dd/mm/yyyy") &amp; "," &amp; Sheet1!D1222</f>
        <v/>
      </c>
      <c r="H1222" s="38">
        <f>UPPER(Sheet1!J1222 &amp; "," &amp; Sheet1!K1222 &amp; "," &amp; Sheet1!L1222)</f>
        <v/>
      </c>
      <c r="I1222" s="45">
        <f>Sheet1!I1222</f>
        <v/>
      </c>
      <c r="J1222" s="5">
        <f>Sheet1!M1222 &amp; "," &amp; TEXT(Sheet1!N1222,"dd/mm/yy")</f>
        <v/>
      </c>
      <c r="K1222" s="5" t="inlineStr">
        <is>
          <t>PRINTED</t>
        </is>
      </c>
      <c r="L1222" t="inlineStr">
        <is>
          <t>25/03/2026</t>
        </is>
      </c>
      <c r="M1222" s="30" t="inlineStr">
        <is>
          <t>MANISH KATARIA, VICE CONSUL</t>
        </is>
      </c>
      <c r="N1222" s="30" t="n"/>
    </row>
    <row r="1223">
      <c r="A1223" s="4">
        <f>Sheet1!A1223 &amp; "/" &amp; "2025"</f>
        <v/>
      </c>
      <c r="B1223" s="5">
        <f>Sheet1!E1223</f>
        <v/>
      </c>
      <c r="C1223" s="6">
        <f>UPPER(Sheet1!B1223)</f>
        <v/>
      </c>
      <c r="D1223" s="7">
        <f>IF(Sheet1!F1223="F","FEMALE","MALE")</f>
        <v/>
      </c>
      <c r="E1223" s="6">
        <f>UPPER(Sheet1!G1223)</f>
        <v/>
      </c>
      <c r="F1223" s="6">
        <f>UPPER(Sheet1!H1223)</f>
        <v/>
      </c>
      <c r="G1223" s="5">
        <f>TEXT(Sheet1!C1223,"dd/mm/yyyy") &amp; "," &amp; Sheet1!D1223</f>
        <v/>
      </c>
      <c r="H1223" s="38">
        <f>UPPER(Sheet1!J1223 &amp; "," &amp; Sheet1!K1223 &amp; "," &amp; Sheet1!L1223)</f>
        <v/>
      </c>
      <c r="I1223" s="45">
        <f>Sheet1!I1223</f>
        <v/>
      </c>
      <c r="J1223" s="5">
        <f>Sheet1!M1223 &amp; "," &amp; TEXT(Sheet1!N1223,"dd/mm/yy")</f>
        <v/>
      </c>
      <c r="K1223" s="5" t="inlineStr">
        <is>
          <t>PRINTED</t>
        </is>
      </c>
      <c r="L1223" t="inlineStr">
        <is>
          <t>25/03/2026</t>
        </is>
      </c>
      <c r="M1223" s="30" t="inlineStr">
        <is>
          <t>MANISH KATARIA, VICE CONSUL</t>
        </is>
      </c>
      <c r="N1223" s="30" t="n"/>
    </row>
    <row r="1224">
      <c r="A1224" s="4">
        <f>Sheet1!A1224 &amp; "/" &amp; "2025"</f>
        <v/>
      </c>
      <c r="B1224" s="5">
        <f>Sheet1!E1224</f>
        <v/>
      </c>
      <c r="C1224" s="6">
        <f>UPPER(Sheet1!B1224)</f>
        <v/>
      </c>
      <c r="D1224" s="7">
        <f>IF(Sheet1!F1224="F","FEMALE","MALE")</f>
        <v/>
      </c>
      <c r="E1224" s="6">
        <f>UPPER(Sheet1!G1224)</f>
        <v/>
      </c>
      <c r="F1224" s="6">
        <f>UPPER(Sheet1!H1224)</f>
        <v/>
      </c>
      <c r="G1224" s="5">
        <f>TEXT(Sheet1!C1224,"dd/mm/yyyy") &amp; "," &amp; Sheet1!D1224</f>
        <v/>
      </c>
      <c r="H1224" s="38">
        <f>UPPER(Sheet1!J1224 &amp; "," &amp; Sheet1!K1224 &amp; "," &amp; Sheet1!L1224)</f>
        <v/>
      </c>
      <c r="I1224" s="45">
        <f>Sheet1!I1224</f>
        <v/>
      </c>
      <c r="J1224" s="5">
        <f>Sheet1!M1224 &amp; "," &amp; TEXT(Sheet1!N1224,"dd/mm/yy")</f>
        <v/>
      </c>
      <c r="K1224" s="5" t="inlineStr">
        <is>
          <t>PRINTED</t>
        </is>
      </c>
      <c r="L1224" t="inlineStr">
        <is>
          <t>25/03/2026</t>
        </is>
      </c>
      <c r="M1224" s="30" t="inlineStr">
        <is>
          <t>MANISH KATARIA, VICE CONSUL</t>
        </is>
      </c>
      <c r="N1224" s="30" t="n"/>
    </row>
    <row r="1225">
      <c r="A1225" s="4">
        <f>Sheet1!A1225 &amp; "/" &amp; "2025"</f>
        <v/>
      </c>
      <c r="B1225" s="5">
        <f>Sheet1!E1225</f>
        <v/>
      </c>
      <c r="C1225" s="6">
        <f>UPPER(Sheet1!B1225)</f>
        <v/>
      </c>
      <c r="D1225" s="7">
        <f>IF(Sheet1!F1225="F","FEMALE","MALE")</f>
        <v/>
      </c>
      <c r="E1225" s="6">
        <f>UPPER(Sheet1!G1225)</f>
        <v/>
      </c>
      <c r="F1225" s="6">
        <f>UPPER(Sheet1!H1225)</f>
        <v/>
      </c>
      <c r="G1225" s="5">
        <f>TEXT(Sheet1!C1225,"dd/mm/yyyy") &amp; "," &amp; Sheet1!D1225</f>
        <v/>
      </c>
      <c r="H1225" s="38">
        <f>UPPER(Sheet1!J1225 &amp; "," &amp; Sheet1!K1225 &amp; "," &amp; Sheet1!L1225)</f>
        <v/>
      </c>
      <c r="I1225" s="45">
        <f>Sheet1!I1225</f>
        <v/>
      </c>
      <c r="J1225" s="5">
        <f>Sheet1!M1225 &amp; "," &amp; TEXT(Sheet1!N1225,"dd/mm/yy")</f>
        <v/>
      </c>
      <c r="K1225" s="5" t="inlineStr">
        <is>
          <t>PRINTED</t>
        </is>
      </c>
      <c r="L1225" t="inlineStr">
        <is>
          <t>25/03/2026</t>
        </is>
      </c>
      <c r="M1225" s="30" t="inlineStr">
        <is>
          <t>MANISH KATARIA, VICE CONSUL</t>
        </is>
      </c>
      <c r="N1225" s="30" t="n"/>
    </row>
    <row r="1226">
      <c r="A1226" s="4">
        <f>Sheet1!A1226 &amp; "/" &amp; "2025"</f>
        <v/>
      </c>
      <c r="B1226" s="5">
        <f>Sheet1!E1226</f>
        <v/>
      </c>
      <c r="C1226" s="6">
        <f>UPPER(Sheet1!B1226)</f>
        <v/>
      </c>
      <c r="D1226" s="7">
        <f>IF(Sheet1!F1226="F","FEMALE","MALE")</f>
        <v/>
      </c>
      <c r="E1226" s="6">
        <f>UPPER(Sheet1!G1226)</f>
        <v/>
      </c>
      <c r="F1226" s="6">
        <f>UPPER(Sheet1!H1226)</f>
        <v/>
      </c>
      <c r="G1226" s="5">
        <f>TEXT(Sheet1!C1226,"dd/mm/yyyy") &amp; "," &amp; Sheet1!D1226</f>
        <v/>
      </c>
      <c r="H1226" s="38">
        <f>UPPER(Sheet1!J1226 &amp; "," &amp; Sheet1!K1226 &amp; "," &amp; Sheet1!L1226)</f>
        <v/>
      </c>
      <c r="I1226" s="45">
        <f>Sheet1!I1226</f>
        <v/>
      </c>
      <c r="J1226" s="5">
        <f>Sheet1!M1226 &amp; "," &amp; TEXT(Sheet1!N1226,"dd/mm/yy")</f>
        <v/>
      </c>
      <c r="K1226" s="5" t="inlineStr">
        <is>
          <t>PRINTED</t>
        </is>
      </c>
      <c r="L1226" t="inlineStr">
        <is>
          <t>25/03/2026</t>
        </is>
      </c>
      <c r="M1226" s="30" t="inlineStr">
        <is>
          <t>MANISH KATARIA, VICE CONSUL</t>
        </is>
      </c>
      <c r="N1226" s="30" t="n"/>
    </row>
    <row r="1227">
      <c r="A1227" s="4">
        <f>Sheet1!A1227 &amp; "/" &amp; "2025"</f>
        <v/>
      </c>
      <c r="B1227" s="5">
        <f>Sheet1!E1227</f>
        <v/>
      </c>
      <c r="C1227" s="6">
        <f>UPPER(Sheet1!B1227)</f>
        <v/>
      </c>
      <c r="D1227" s="7">
        <f>IF(Sheet1!F1227="F","FEMALE","MALE")</f>
        <v/>
      </c>
      <c r="E1227" s="6">
        <f>UPPER(Sheet1!G1227)</f>
        <v/>
      </c>
      <c r="F1227" s="6">
        <f>UPPER(Sheet1!H1227)</f>
        <v/>
      </c>
      <c r="G1227" s="5">
        <f>TEXT(Sheet1!C1227,"dd/mm/yyyy") &amp; "," &amp; Sheet1!D1227</f>
        <v/>
      </c>
      <c r="H1227" s="38">
        <f>UPPER(Sheet1!J1227 &amp; "," &amp; Sheet1!K1227 &amp; "," &amp; Sheet1!L1227)</f>
        <v/>
      </c>
      <c r="I1227" s="45">
        <f>Sheet1!I1227</f>
        <v/>
      </c>
      <c r="J1227" s="5">
        <f>Sheet1!M1227 &amp; "," &amp; TEXT(Sheet1!N1227,"dd/mm/yy")</f>
        <v/>
      </c>
      <c r="K1227" s="5" t="inlineStr">
        <is>
          <t>PRINTED</t>
        </is>
      </c>
      <c r="L1227" t="inlineStr">
        <is>
          <t>25/03/2026</t>
        </is>
      </c>
      <c r="M1227" s="30" t="inlineStr">
        <is>
          <t>MANISH KATARIA, VICE CONSUL</t>
        </is>
      </c>
      <c r="N1227" s="30" t="n"/>
    </row>
    <row r="1228">
      <c r="A1228" s="4">
        <f>Sheet1!A1228 &amp; "/" &amp; "2025"</f>
        <v/>
      </c>
      <c r="B1228" s="5">
        <f>Sheet1!E1228</f>
        <v/>
      </c>
      <c r="C1228" s="6">
        <f>UPPER(Sheet1!B1228)</f>
        <v/>
      </c>
      <c r="D1228" s="7">
        <f>IF(Sheet1!F1228="F","FEMALE","MALE")</f>
        <v/>
      </c>
      <c r="E1228" s="6">
        <f>UPPER(Sheet1!G1228)</f>
        <v/>
      </c>
      <c r="F1228" s="6">
        <f>UPPER(Sheet1!H1228)</f>
        <v/>
      </c>
      <c r="G1228" s="5">
        <f>TEXT(Sheet1!C1228,"dd/mm/yyyy") &amp; "," &amp; Sheet1!D1228</f>
        <v/>
      </c>
      <c r="H1228" s="38">
        <f>UPPER(Sheet1!J1228 &amp; "," &amp; Sheet1!K1228 &amp; "," &amp; Sheet1!L1228)</f>
        <v/>
      </c>
      <c r="I1228" s="45">
        <f>Sheet1!I1228</f>
        <v/>
      </c>
      <c r="J1228" s="5">
        <f>Sheet1!M1228 &amp; "," &amp; TEXT(Sheet1!N1228,"dd/mm/yy")</f>
        <v/>
      </c>
      <c r="K1228" s="5" t="inlineStr">
        <is>
          <t>PRINTED</t>
        </is>
      </c>
      <c r="L1228" t="inlineStr">
        <is>
          <t>25/03/2026</t>
        </is>
      </c>
      <c r="M1228" s="30" t="inlineStr">
        <is>
          <t>MANISH KATARIA, VICE CONSUL</t>
        </is>
      </c>
      <c r="N1228" s="30" t="n"/>
    </row>
    <row r="1229">
      <c r="A1229" s="4">
        <f>Sheet1!A1229 &amp; "/" &amp; "2025"</f>
        <v/>
      </c>
      <c r="B1229" s="5">
        <f>Sheet1!E1229</f>
        <v/>
      </c>
      <c r="C1229" s="6">
        <f>UPPER(Sheet1!B1229)</f>
        <v/>
      </c>
      <c r="D1229" s="7">
        <f>IF(Sheet1!F1229="F","FEMALE","MALE")</f>
        <v/>
      </c>
      <c r="E1229" s="6">
        <f>UPPER(Sheet1!G1229)</f>
        <v/>
      </c>
      <c r="F1229" s="6">
        <f>UPPER(Sheet1!H1229)</f>
        <v/>
      </c>
      <c r="G1229" s="5">
        <f>TEXT(Sheet1!C1229,"dd/mm/yyyy") &amp; "," &amp; Sheet1!D1229</f>
        <v/>
      </c>
      <c r="H1229" s="38">
        <f>UPPER(Sheet1!J1229 &amp; "," &amp; Sheet1!K1229 &amp; "," &amp; Sheet1!L1229)</f>
        <v/>
      </c>
      <c r="I1229" s="45">
        <f>Sheet1!I1229</f>
        <v/>
      </c>
      <c r="J1229" s="5">
        <f>Sheet1!M1229 &amp; "," &amp; TEXT(Sheet1!N1229,"dd/mm/yy")</f>
        <v/>
      </c>
      <c r="K1229" s="5" t="inlineStr">
        <is>
          <t>PRINTED</t>
        </is>
      </c>
      <c r="L1229" t="inlineStr">
        <is>
          <t>25/03/2026</t>
        </is>
      </c>
      <c r="M1229" s="30" t="inlineStr">
        <is>
          <t>MANISH KATARIA, VICE CONSUL</t>
        </is>
      </c>
      <c r="N1229" s="30" t="n"/>
    </row>
    <row r="1230">
      <c r="A1230" s="4">
        <f>Sheet1!A1230 &amp; "/" &amp; "2025"</f>
        <v/>
      </c>
      <c r="B1230" s="5">
        <f>Sheet1!E1230</f>
        <v/>
      </c>
      <c r="C1230" s="6">
        <f>UPPER(Sheet1!B1230)</f>
        <v/>
      </c>
      <c r="D1230" s="7">
        <f>IF(Sheet1!F1230="F","FEMALE","MALE")</f>
        <v/>
      </c>
      <c r="E1230" s="6">
        <f>UPPER(Sheet1!G1230)</f>
        <v/>
      </c>
      <c r="F1230" s="6">
        <f>UPPER(Sheet1!H1230)</f>
        <v/>
      </c>
      <c r="G1230" s="5">
        <f>TEXT(Sheet1!C1230,"dd/mm/yyyy") &amp; "," &amp; Sheet1!D1230</f>
        <v/>
      </c>
      <c r="H1230" s="38">
        <f>UPPER(Sheet1!J1230 &amp; "," &amp; Sheet1!K1230 &amp; "," &amp; Sheet1!L1230)</f>
        <v/>
      </c>
      <c r="I1230" s="45">
        <f>Sheet1!I1230</f>
        <v/>
      </c>
      <c r="J1230" s="5">
        <f>Sheet1!M1230 &amp; "," &amp; TEXT(Sheet1!N1230,"dd/mm/yy")</f>
        <v/>
      </c>
      <c r="K1230" s="5" t="inlineStr">
        <is>
          <t>PRINTED</t>
        </is>
      </c>
      <c r="L1230" t="inlineStr">
        <is>
          <t>25/03/2026</t>
        </is>
      </c>
      <c r="M1230" s="30" t="inlineStr">
        <is>
          <t>MANISH KATARIA, VICE CONSUL</t>
        </is>
      </c>
      <c r="N1230" s="30" t="n"/>
    </row>
    <row r="1231">
      <c r="A1231" s="4">
        <f>Sheet1!A1231 &amp; "/" &amp; "2025"</f>
        <v/>
      </c>
      <c r="B1231" s="5">
        <f>Sheet1!E1231</f>
        <v/>
      </c>
      <c r="C1231" s="6">
        <f>UPPER(Sheet1!B1231)</f>
        <v/>
      </c>
      <c r="D1231" s="7">
        <f>IF(Sheet1!F1231="F","FEMALE","MALE")</f>
        <v/>
      </c>
      <c r="E1231" s="6">
        <f>UPPER(Sheet1!G1231)</f>
        <v/>
      </c>
      <c r="F1231" s="6">
        <f>UPPER(Sheet1!H1231)</f>
        <v/>
      </c>
      <c r="G1231" s="5">
        <f>TEXT(Sheet1!C1231,"dd/mm/yyyy") &amp; "," &amp; Sheet1!D1231</f>
        <v/>
      </c>
      <c r="H1231" s="38">
        <f>UPPER(Sheet1!J1231 &amp; "," &amp; Sheet1!K1231 &amp; "," &amp; Sheet1!L1231)</f>
        <v/>
      </c>
      <c r="I1231" s="45">
        <f>Sheet1!I1231</f>
        <v/>
      </c>
      <c r="J1231" s="5">
        <f>Sheet1!M1231 &amp; "," &amp; TEXT(Sheet1!N1231,"dd/mm/yy")</f>
        <v/>
      </c>
      <c r="K1231" s="5" t="inlineStr">
        <is>
          <t>PRINTED</t>
        </is>
      </c>
      <c r="L1231" t="inlineStr">
        <is>
          <t>25/03/2026</t>
        </is>
      </c>
      <c r="M1231" s="30" t="inlineStr">
        <is>
          <t>MANISH KATARIA, VICE CONSUL</t>
        </is>
      </c>
      <c r="N1231" s="30" t="n"/>
    </row>
    <row r="1232">
      <c r="A1232" s="4">
        <f>Sheet1!A1232 &amp; "/" &amp; "2025"</f>
        <v/>
      </c>
      <c r="B1232" s="5">
        <f>Sheet1!E1232</f>
        <v/>
      </c>
      <c r="C1232" s="6">
        <f>UPPER(Sheet1!B1232)</f>
        <v/>
      </c>
      <c r="D1232" s="7">
        <f>IF(Sheet1!F1232="F","FEMALE","MALE")</f>
        <v/>
      </c>
      <c r="E1232" s="6">
        <f>UPPER(Sheet1!G1232)</f>
        <v/>
      </c>
      <c r="F1232" s="6">
        <f>UPPER(Sheet1!H1232)</f>
        <v/>
      </c>
      <c r="G1232" s="5">
        <f>TEXT(Sheet1!C1232,"dd/mm/yyyy") &amp; "," &amp; Sheet1!D1232</f>
        <v/>
      </c>
      <c r="H1232" s="38">
        <f>UPPER(Sheet1!J1232 &amp; "," &amp; Sheet1!K1232 &amp; "," &amp; Sheet1!L1232)</f>
        <v/>
      </c>
      <c r="I1232" s="45">
        <f>Sheet1!I1232</f>
        <v/>
      </c>
      <c r="J1232" s="5">
        <f>Sheet1!M1232 &amp; "," &amp; TEXT(Sheet1!N1232,"dd/mm/yy")</f>
        <v/>
      </c>
      <c r="K1232" s="5" t="inlineStr">
        <is>
          <t>PRINTED</t>
        </is>
      </c>
      <c r="L1232" t="inlineStr">
        <is>
          <t>25/03/2026</t>
        </is>
      </c>
      <c r="M1232" s="30" t="inlineStr">
        <is>
          <t>MANISH KATARIA, VICE CONSUL</t>
        </is>
      </c>
      <c r="N1232" s="30" t="n"/>
    </row>
    <row r="1233">
      <c r="A1233" s="4">
        <f>Sheet1!A1233 &amp; "/" &amp; "2025"</f>
        <v/>
      </c>
      <c r="B1233" s="5">
        <f>Sheet1!E1233</f>
        <v/>
      </c>
      <c r="C1233" s="6">
        <f>UPPER(Sheet1!B1233)</f>
        <v/>
      </c>
      <c r="D1233" s="7">
        <f>IF(Sheet1!F1233="F","FEMALE","MALE")</f>
        <v/>
      </c>
      <c r="E1233" s="6">
        <f>UPPER(Sheet1!G1233)</f>
        <v/>
      </c>
      <c r="F1233" s="6">
        <f>UPPER(Sheet1!H1233)</f>
        <v/>
      </c>
      <c r="G1233" s="5">
        <f>TEXT(Sheet1!C1233,"dd/mm/yyyy") &amp; "," &amp; Sheet1!D1233</f>
        <v/>
      </c>
      <c r="H1233" s="38">
        <f>UPPER(Sheet1!J1233 &amp; "," &amp; Sheet1!K1233 &amp; "," &amp; Sheet1!L1233)</f>
        <v/>
      </c>
      <c r="I1233" s="45">
        <f>Sheet1!I1233</f>
        <v/>
      </c>
      <c r="J1233" s="5">
        <f>Sheet1!M1233 &amp; "," &amp; TEXT(Sheet1!N1233,"dd/mm/yy")</f>
        <v/>
      </c>
      <c r="K1233" s="5" t="inlineStr">
        <is>
          <t>PRINTED</t>
        </is>
      </c>
      <c r="L1233" t="inlineStr">
        <is>
          <t>25/03/2026</t>
        </is>
      </c>
      <c r="M1233" s="30" t="inlineStr">
        <is>
          <t>MANISH KATARIA, VICE CONSUL</t>
        </is>
      </c>
      <c r="N1233" s="30" t="n"/>
    </row>
    <row r="1234">
      <c r="A1234" s="4">
        <f>Sheet1!A1234 &amp; "/" &amp; "2025"</f>
        <v/>
      </c>
      <c r="B1234" s="5">
        <f>Sheet1!E1234</f>
        <v/>
      </c>
      <c r="C1234" s="6">
        <f>UPPER(Sheet1!B1234)</f>
        <v/>
      </c>
      <c r="D1234" s="7">
        <f>IF(Sheet1!F1234="F","FEMALE","MALE")</f>
        <v/>
      </c>
      <c r="E1234" s="6">
        <f>UPPER(Sheet1!G1234)</f>
        <v/>
      </c>
      <c r="F1234" s="6">
        <f>UPPER(Sheet1!H1234)</f>
        <v/>
      </c>
      <c r="G1234" s="5">
        <f>TEXT(Sheet1!C1234,"dd/mm/yyyy") &amp; "," &amp; Sheet1!D1234</f>
        <v/>
      </c>
      <c r="H1234" s="38">
        <f>UPPER(Sheet1!J1234 &amp; "," &amp; Sheet1!K1234 &amp; "," &amp; Sheet1!L1234)</f>
        <v/>
      </c>
      <c r="I1234" s="45">
        <f>Sheet1!I1234</f>
        <v/>
      </c>
      <c r="J1234" s="5">
        <f>Sheet1!M1234 &amp; "," &amp; TEXT(Sheet1!N1234,"dd/mm/yy")</f>
        <v/>
      </c>
      <c r="K1234" s="5" t="inlineStr">
        <is>
          <t>PRINTED</t>
        </is>
      </c>
      <c r="L1234" t="inlineStr">
        <is>
          <t>25/03/2026</t>
        </is>
      </c>
      <c r="M1234" s="30" t="inlineStr">
        <is>
          <t>MANISH KATARIA, VICE CONSUL</t>
        </is>
      </c>
      <c r="N1234" s="30" t="n"/>
    </row>
    <row r="1235">
      <c r="A1235" s="4">
        <f>Sheet1!A1235 &amp; "/" &amp; "2025"</f>
        <v/>
      </c>
      <c r="B1235" s="5">
        <f>Sheet1!E1235</f>
        <v/>
      </c>
      <c r="C1235" s="6">
        <f>UPPER(Sheet1!B1235)</f>
        <v/>
      </c>
      <c r="D1235" s="7">
        <f>IF(Sheet1!F1235="F","FEMALE","MALE")</f>
        <v/>
      </c>
      <c r="E1235" s="6">
        <f>UPPER(Sheet1!G1235)</f>
        <v/>
      </c>
      <c r="F1235" s="6">
        <f>UPPER(Sheet1!H1235)</f>
        <v/>
      </c>
      <c r="G1235" s="5">
        <f>TEXT(Sheet1!C1235,"dd/mm/yyyy") &amp; "," &amp; Sheet1!D1235</f>
        <v/>
      </c>
      <c r="H1235" s="38">
        <f>UPPER(Sheet1!J1235 &amp; "," &amp; Sheet1!K1235 &amp; "," &amp; Sheet1!L1235)</f>
        <v/>
      </c>
      <c r="I1235" s="45">
        <f>Sheet1!I1235</f>
        <v/>
      </c>
      <c r="J1235" s="5">
        <f>Sheet1!M1235 &amp; "," &amp; TEXT(Sheet1!N1235,"dd/mm/yy")</f>
        <v/>
      </c>
      <c r="K1235" s="5" t="inlineStr">
        <is>
          <t>PRINTED</t>
        </is>
      </c>
      <c r="L1235" t="inlineStr">
        <is>
          <t>25/03/2026</t>
        </is>
      </c>
      <c r="M1235" s="30" t="inlineStr">
        <is>
          <t>MANISH KATARIA, VICE CONSUL</t>
        </is>
      </c>
      <c r="N1235" s="30" t="n"/>
    </row>
    <row r="1236">
      <c r="A1236" s="4">
        <f>Sheet1!A1236 &amp; "/" &amp; "2025"</f>
        <v/>
      </c>
      <c r="B1236" s="5">
        <f>Sheet1!E1236</f>
        <v/>
      </c>
      <c r="C1236" s="6">
        <f>UPPER(Sheet1!B1236)</f>
        <v/>
      </c>
      <c r="D1236" s="7">
        <f>IF(Sheet1!F1236="F","FEMALE","MALE")</f>
        <v/>
      </c>
      <c r="E1236" s="6">
        <f>UPPER(Sheet1!G1236)</f>
        <v/>
      </c>
      <c r="F1236" s="6">
        <f>UPPER(Sheet1!H1236)</f>
        <v/>
      </c>
      <c r="G1236" s="5">
        <f>TEXT(Sheet1!C1236,"dd/mm/yyyy") &amp; "," &amp; Sheet1!D1236</f>
        <v/>
      </c>
      <c r="H1236" s="38">
        <f>UPPER(Sheet1!J1236 &amp; "," &amp; Sheet1!K1236 &amp; "," &amp; Sheet1!L1236)</f>
        <v/>
      </c>
      <c r="I1236" s="45">
        <f>Sheet1!I1236</f>
        <v/>
      </c>
      <c r="J1236" s="5">
        <f>Sheet1!M1236 &amp; "," &amp; TEXT(Sheet1!N1236,"dd/mm/yy")</f>
        <v/>
      </c>
      <c r="K1236" s="5" t="inlineStr">
        <is>
          <t>PRINTED</t>
        </is>
      </c>
      <c r="L1236" t="inlineStr">
        <is>
          <t>25/03/2026</t>
        </is>
      </c>
      <c r="M1236" s="30" t="inlineStr">
        <is>
          <t>MANISH KATARIA, VICE CONSUL</t>
        </is>
      </c>
      <c r="N1236" s="30" t="n"/>
    </row>
    <row r="1237">
      <c r="A1237" s="4">
        <f>Sheet1!A1237 &amp; "/" &amp; "2025"</f>
        <v/>
      </c>
      <c r="B1237" s="5">
        <f>Sheet1!E1237</f>
        <v/>
      </c>
      <c r="C1237" s="6">
        <f>UPPER(Sheet1!B1237)</f>
        <v/>
      </c>
      <c r="D1237" s="7">
        <f>IF(Sheet1!F1237="F","FEMALE","MALE")</f>
        <v/>
      </c>
      <c r="E1237" s="6">
        <f>UPPER(Sheet1!G1237)</f>
        <v/>
      </c>
      <c r="F1237" s="6">
        <f>UPPER(Sheet1!H1237)</f>
        <v/>
      </c>
      <c r="G1237" s="5">
        <f>TEXT(Sheet1!C1237,"dd/mm/yyyy") &amp; "," &amp; Sheet1!D1237</f>
        <v/>
      </c>
      <c r="H1237" s="38">
        <f>UPPER(Sheet1!J1237 &amp; "," &amp; Sheet1!K1237 &amp; "," &amp; Sheet1!L1237)</f>
        <v/>
      </c>
      <c r="I1237" s="45">
        <f>Sheet1!I1237</f>
        <v/>
      </c>
      <c r="J1237" s="5">
        <f>Sheet1!M1237 &amp; "," &amp; TEXT(Sheet1!N1237,"dd/mm/yy")</f>
        <v/>
      </c>
      <c r="K1237" s="5" t="inlineStr">
        <is>
          <t>PRINTED</t>
        </is>
      </c>
      <c r="L1237" t="inlineStr">
        <is>
          <t>25/03/2026</t>
        </is>
      </c>
      <c r="M1237" s="30" t="inlineStr">
        <is>
          <t>MANISH KATARIA, VICE CONSUL</t>
        </is>
      </c>
      <c r="N1237" s="30" t="n"/>
    </row>
    <row r="1238">
      <c r="A1238" s="4">
        <f>Sheet1!A1238 &amp; "/" &amp; "2025"</f>
        <v/>
      </c>
      <c r="B1238" s="5">
        <f>Sheet1!E1238</f>
        <v/>
      </c>
      <c r="C1238" s="6">
        <f>UPPER(Sheet1!B1238)</f>
        <v/>
      </c>
      <c r="D1238" s="7">
        <f>IF(Sheet1!F1238="F","FEMALE","MALE")</f>
        <v/>
      </c>
      <c r="E1238" s="6">
        <f>UPPER(Sheet1!G1238)</f>
        <v/>
      </c>
      <c r="F1238" s="6">
        <f>UPPER(Sheet1!H1238)</f>
        <v/>
      </c>
      <c r="G1238" s="5">
        <f>TEXT(Sheet1!C1238,"dd/mm/yyyy") &amp; "," &amp; Sheet1!D1238</f>
        <v/>
      </c>
      <c r="H1238" s="38">
        <f>UPPER(Sheet1!J1238 &amp; "," &amp; Sheet1!K1238 &amp; "," &amp; Sheet1!L1238)</f>
        <v/>
      </c>
      <c r="I1238" s="45">
        <f>Sheet1!I1238</f>
        <v/>
      </c>
      <c r="J1238" s="5">
        <f>Sheet1!M1238 &amp; "," &amp; TEXT(Sheet1!N1238,"dd/mm/yy")</f>
        <v/>
      </c>
      <c r="K1238" s="5" t="inlineStr">
        <is>
          <t>PRINTED</t>
        </is>
      </c>
      <c r="L1238" t="inlineStr">
        <is>
          <t>25/03/2026</t>
        </is>
      </c>
      <c r="M1238" s="30" t="inlineStr">
        <is>
          <t>MANISH KATARIA, VICE CONSUL</t>
        </is>
      </c>
      <c r="N1238" s="30" t="n"/>
    </row>
    <row r="1239">
      <c r="A1239" s="4">
        <f>Sheet1!A1239 &amp; "/" &amp; "2025"</f>
        <v/>
      </c>
      <c r="B1239" s="5">
        <f>Sheet1!E1239</f>
        <v/>
      </c>
      <c r="C1239" s="6">
        <f>UPPER(Sheet1!B1239)</f>
        <v/>
      </c>
      <c r="D1239" s="7">
        <f>IF(Sheet1!F1239="F","FEMALE","MALE")</f>
        <v/>
      </c>
      <c r="E1239" s="6">
        <f>UPPER(Sheet1!G1239)</f>
        <v/>
      </c>
      <c r="F1239" s="6">
        <f>UPPER(Sheet1!H1239)</f>
        <v/>
      </c>
      <c r="G1239" s="5">
        <f>TEXT(Sheet1!C1239,"dd/mm/yyyy") &amp; "," &amp; Sheet1!D1239</f>
        <v/>
      </c>
      <c r="H1239" s="38">
        <f>UPPER(Sheet1!J1239 &amp; "," &amp; Sheet1!K1239 &amp; "," &amp; Sheet1!L1239)</f>
        <v/>
      </c>
      <c r="I1239" s="45">
        <f>Sheet1!I1239</f>
        <v/>
      </c>
      <c r="J1239" s="5">
        <f>Sheet1!M1239 &amp; "," &amp; TEXT(Sheet1!N1239,"dd/mm/yy")</f>
        <v/>
      </c>
      <c r="K1239" s="5" t="inlineStr">
        <is>
          <t>PRINTED</t>
        </is>
      </c>
      <c r="L1239" t="inlineStr">
        <is>
          <t>25/03/2026</t>
        </is>
      </c>
      <c r="M1239" s="30" t="inlineStr">
        <is>
          <t>MANISH KATARIA, VICE CONSUL</t>
        </is>
      </c>
      <c r="N1239" s="30" t="n"/>
    </row>
    <row r="1240">
      <c r="A1240" s="4">
        <f>Sheet1!A1240 &amp; "/" &amp; "2025"</f>
        <v/>
      </c>
      <c r="B1240" s="5">
        <f>Sheet1!E1240</f>
        <v/>
      </c>
      <c r="C1240" s="6">
        <f>UPPER(Sheet1!B1240)</f>
        <v/>
      </c>
      <c r="D1240" s="7">
        <f>IF(Sheet1!F1240="F","FEMALE","MALE")</f>
        <v/>
      </c>
      <c r="E1240" s="6">
        <f>UPPER(Sheet1!G1240)</f>
        <v/>
      </c>
      <c r="F1240" s="6">
        <f>UPPER(Sheet1!H1240)</f>
        <v/>
      </c>
      <c r="G1240" s="5">
        <f>TEXT(Sheet1!C1240,"dd/mm/yyyy") &amp; "," &amp; Sheet1!D1240</f>
        <v/>
      </c>
      <c r="H1240" s="38">
        <f>UPPER(Sheet1!J1240 &amp; "," &amp; Sheet1!K1240 &amp; "," &amp; Sheet1!L1240)</f>
        <v/>
      </c>
      <c r="I1240" s="45">
        <f>Sheet1!I1240</f>
        <v/>
      </c>
      <c r="J1240" s="5">
        <f>Sheet1!M1240 &amp; "," &amp; TEXT(Sheet1!N1240,"dd/mm/yy")</f>
        <v/>
      </c>
      <c r="K1240" s="5" t="inlineStr">
        <is>
          <t>PRINTED</t>
        </is>
      </c>
      <c r="L1240" t="inlineStr">
        <is>
          <t>25/03/2026</t>
        </is>
      </c>
      <c r="M1240" s="30" t="inlineStr">
        <is>
          <t>MANISH KATARIA, VICE CONSUL</t>
        </is>
      </c>
      <c r="N1240" s="30" t="n"/>
    </row>
    <row r="1241">
      <c r="A1241" s="4">
        <f>Sheet1!A1241 &amp; "/" &amp; "2025"</f>
        <v/>
      </c>
      <c r="B1241" s="5">
        <f>Sheet1!E1241</f>
        <v/>
      </c>
      <c r="C1241" s="6">
        <f>UPPER(Sheet1!B1241)</f>
        <v/>
      </c>
      <c r="D1241" s="7">
        <f>IF(Sheet1!F1241="F","FEMALE","MALE")</f>
        <v/>
      </c>
      <c r="E1241" s="6">
        <f>UPPER(Sheet1!G1241)</f>
        <v/>
      </c>
      <c r="F1241" s="6">
        <f>UPPER(Sheet1!H1241)</f>
        <v/>
      </c>
      <c r="G1241" s="5">
        <f>TEXT(Sheet1!C1241,"dd/mm/yyyy") &amp; "," &amp; Sheet1!D1241</f>
        <v/>
      </c>
      <c r="H1241" s="38">
        <f>UPPER(Sheet1!J1241 &amp; "," &amp; Sheet1!K1241 &amp; "," &amp; Sheet1!L1241)</f>
        <v/>
      </c>
      <c r="I1241" s="45">
        <f>Sheet1!I1241</f>
        <v/>
      </c>
      <c r="J1241" s="5">
        <f>Sheet1!M1241 &amp; "," &amp; TEXT(Sheet1!N1241,"dd/mm/yy")</f>
        <v/>
      </c>
      <c r="K1241" s="5" t="inlineStr">
        <is>
          <t>PRINTED</t>
        </is>
      </c>
      <c r="L1241" t="inlineStr">
        <is>
          <t>25/03/2026</t>
        </is>
      </c>
      <c r="M1241" s="30" t="inlineStr">
        <is>
          <t>MANISH KATARIA, VICE CONSUL</t>
        </is>
      </c>
      <c r="N1241" s="30" t="n"/>
    </row>
    <row r="1242">
      <c r="A1242" s="4">
        <f>Sheet1!A1242 &amp; "/" &amp; "2025"</f>
        <v/>
      </c>
      <c r="B1242" s="5">
        <f>Sheet1!E1242</f>
        <v/>
      </c>
      <c r="C1242" s="6">
        <f>UPPER(Sheet1!B1242)</f>
        <v/>
      </c>
      <c r="D1242" s="7">
        <f>IF(Sheet1!F1242="F","FEMALE","MALE")</f>
        <v/>
      </c>
      <c r="E1242" s="6">
        <f>UPPER(Sheet1!G1242)</f>
        <v/>
      </c>
      <c r="F1242" s="6">
        <f>UPPER(Sheet1!H1242)</f>
        <v/>
      </c>
      <c r="G1242" s="5">
        <f>TEXT(Sheet1!C1242,"dd/mm/yyyy") &amp; "," &amp; Sheet1!D1242</f>
        <v/>
      </c>
      <c r="H1242" s="38">
        <f>UPPER(Sheet1!J1242 &amp; "," &amp; Sheet1!K1242 &amp; "," &amp; Sheet1!L1242)</f>
        <v/>
      </c>
      <c r="I1242" s="45">
        <f>Sheet1!I1242</f>
        <v/>
      </c>
      <c r="J1242" s="5">
        <f>Sheet1!M1242 &amp; "," &amp; TEXT(Sheet1!N1242,"dd/mm/yy")</f>
        <v/>
      </c>
      <c r="K1242" s="5" t="inlineStr">
        <is>
          <t>PRINTED</t>
        </is>
      </c>
      <c r="L1242" t="inlineStr">
        <is>
          <t>25/03/2026</t>
        </is>
      </c>
      <c r="M1242" s="30" t="inlineStr">
        <is>
          <t>MANISH KATARIA, VICE CONSUL</t>
        </is>
      </c>
      <c r="N1242" s="30" t="n"/>
    </row>
    <row r="1243">
      <c r="A1243" s="4">
        <f>Sheet1!A1243 &amp; "/" &amp; "2025"</f>
        <v/>
      </c>
      <c r="B1243" s="5">
        <f>Sheet1!E1243</f>
        <v/>
      </c>
      <c r="C1243" s="6">
        <f>UPPER(Sheet1!B1243)</f>
        <v/>
      </c>
      <c r="D1243" s="7">
        <f>IF(Sheet1!F1243="F","FEMALE","MALE")</f>
        <v/>
      </c>
      <c r="E1243" s="6">
        <f>UPPER(Sheet1!G1243)</f>
        <v/>
      </c>
      <c r="F1243" s="6">
        <f>UPPER(Sheet1!H1243)</f>
        <v/>
      </c>
      <c r="G1243" s="5">
        <f>TEXT(Sheet1!C1243,"dd/mm/yyyy") &amp; "," &amp; Sheet1!D1243</f>
        <v/>
      </c>
      <c r="H1243" s="38">
        <f>UPPER(Sheet1!J1243 &amp; "," &amp; Sheet1!K1243 &amp; "," &amp; Sheet1!L1243)</f>
        <v/>
      </c>
      <c r="I1243" s="45">
        <f>Sheet1!I1243</f>
        <v/>
      </c>
      <c r="J1243" s="5">
        <f>Sheet1!M1243 &amp; "," &amp; TEXT(Sheet1!N1243,"dd/mm/yy")</f>
        <v/>
      </c>
      <c r="K1243" s="5" t="inlineStr">
        <is>
          <t>PRINTED</t>
        </is>
      </c>
      <c r="L1243" t="inlineStr">
        <is>
          <t>25/03/2026</t>
        </is>
      </c>
      <c r="M1243" s="30" t="inlineStr">
        <is>
          <t>MANISH KATARIA, VICE CONSUL</t>
        </is>
      </c>
      <c r="N1243" s="30" t="n"/>
    </row>
    <row r="1244">
      <c r="A1244" s="4">
        <f>Sheet1!A1244 &amp; "/" &amp; "2025"</f>
        <v/>
      </c>
      <c r="B1244" s="5">
        <f>Sheet1!E1244</f>
        <v/>
      </c>
      <c r="C1244" s="6">
        <f>UPPER(Sheet1!B1244)</f>
        <v/>
      </c>
      <c r="D1244" s="7">
        <f>IF(Sheet1!F1244="F","FEMALE","MALE")</f>
        <v/>
      </c>
      <c r="E1244" s="6">
        <f>UPPER(Sheet1!G1244)</f>
        <v/>
      </c>
      <c r="F1244" s="6">
        <f>UPPER(Sheet1!H1244)</f>
        <v/>
      </c>
      <c r="G1244" s="5">
        <f>TEXT(Sheet1!C1244,"dd/mm/yyyy") &amp; "," &amp; Sheet1!D1244</f>
        <v/>
      </c>
      <c r="H1244" s="38">
        <f>UPPER(Sheet1!J1244 &amp; "," &amp; Sheet1!K1244 &amp; "," &amp; Sheet1!L1244)</f>
        <v/>
      </c>
      <c r="I1244" s="45">
        <f>Sheet1!I1244</f>
        <v/>
      </c>
      <c r="J1244" s="5">
        <f>Sheet1!M1244 &amp; "," &amp; TEXT(Sheet1!N1244,"dd/mm/yy")</f>
        <v/>
      </c>
      <c r="K1244" s="5" t="inlineStr">
        <is>
          <t>PRINTED</t>
        </is>
      </c>
      <c r="L1244" t="inlineStr">
        <is>
          <t>25/03/2026</t>
        </is>
      </c>
      <c r="M1244" s="30" t="inlineStr">
        <is>
          <t>MANISH KATARIA, VICE CONSUL</t>
        </is>
      </c>
      <c r="N1244" s="30" t="n"/>
    </row>
    <row r="1245">
      <c r="A1245" s="4">
        <f>Sheet1!A1245 &amp; "/" &amp; "2025"</f>
        <v/>
      </c>
      <c r="B1245" s="5">
        <f>Sheet1!E1245</f>
        <v/>
      </c>
      <c r="C1245" s="6">
        <f>UPPER(Sheet1!B1245)</f>
        <v/>
      </c>
      <c r="D1245" s="7">
        <f>IF(Sheet1!F1245="F","FEMALE","MALE")</f>
        <v/>
      </c>
      <c r="E1245" s="6">
        <f>UPPER(Sheet1!G1245)</f>
        <v/>
      </c>
      <c r="F1245" s="6">
        <f>UPPER(Sheet1!H1245)</f>
        <v/>
      </c>
      <c r="G1245" s="5">
        <f>TEXT(Sheet1!C1245,"dd/mm/yyyy") &amp; "," &amp; Sheet1!D1245</f>
        <v/>
      </c>
      <c r="H1245" s="38">
        <f>UPPER(Sheet1!J1245 &amp; "," &amp; Sheet1!K1245 &amp; "," &amp; Sheet1!L1245)</f>
        <v/>
      </c>
      <c r="I1245" s="45">
        <f>Sheet1!I1245</f>
        <v/>
      </c>
      <c r="J1245" s="5">
        <f>Sheet1!M1245 &amp; "," &amp; TEXT(Sheet1!N1245,"dd/mm/yy")</f>
        <v/>
      </c>
      <c r="K1245" s="5" t="inlineStr">
        <is>
          <t>PRINTED</t>
        </is>
      </c>
      <c r="L1245" t="inlineStr">
        <is>
          <t>25/03/2026</t>
        </is>
      </c>
      <c r="M1245" s="30" t="inlineStr">
        <is>
          <t>MANISH KATARIA, VICE CONSUL</t>
        </is>
      </c>
      <c r="N1245" s="30" t="n"/>
    </row>
    <row r="1246">
      <c r="A1246" s="4">
        <f>Sheet1!A1246 &amp; "/" &amp; "2025"</f>
        <v/>
      </c>
      <c r="B1246" s="5">
        <f>Sheet1!E1246</f>
        <v/>
      </c>
      <c r="C1246" s="6">
        <f>UPPER(Sheet1!B1246)</f>
        <v/>
      </c>
      <c r="D1246" s="7">
        <f>IF(Sheet1!F1246="F","FEMALE","MALE")</f>
        <v/>
      </c>
      <c r="E1246" s="6">
        <f>UPPER(Sheet1!G1246)</f>
        <v/>
      </c>
      <c r="F1246" s="6">
        <f>UPPER(Sheet1!H1246)</f>
        <v/>
      </c>
      <c r="G1246" s="5">
        <f>TEXT(Sheet1!C1246,"dd/mm/yyyy") &amp; "," &amp; Sheet1!D1246</f>
        <v/>
      </c>
      <c r="H1246" s="38">
        <f>UPPER(Sheet1!J1246 &amp; "," &amp; Sheet1!K1246 &amp; "," &amp; Sheet1!L1246)</f>
        <v/>
      </c>
      <c r="I1246" s="45">
        <f>Sheet1!I1246</f>
        <v/>
      </c>
      <c r="J1246" s="5">
        <f>Sheet1!M1246 &amp; "," &amp; TEXT(Sheet1!N1246,"dd/mm/yy")</f>
        <v/>
      </c>
      <c r="K1246" s="5" t="inlineStr">
        <is>
          <t>PRINTED</t>
        </is>
      </c>
      <c r="L1246" t="inlineStr">
        <is>
          <t>25/03/2026</t>
        </is>
      </c>
      <c r="M1246" s="30" t="inlineStr">
        <is>
          <t>MANISH KATARIA, VICE CONSUL</t>
        </is>
      </c>
      <c r="N1246" s="30" t="n"/>
    </row>
    <row r="1247">
      <c r="A1247" s="4">
        <f>Sheet1!A1247 &amp; "/" &amp; "2025"</f>
        <v/>
      </c>
      <c r="B1247" s="5">
        <f>Sheet1!E1247</f>
        <v/>
      </c>
      <c r="C1247" s="6">
        <f>UPPER(Sheet1!B1247)</f>
        <v/>
      </c>
      <c r="D1247" s="7">
        <f>IF(Sheet1!F1247="F","FEMALE","MALE")</f>
        <v/>
      </c>
      <c r="E1247" s="6">
        <f>UPPER(Sheet1!G1247)</f>
        <v/>
      </c>
      <c r="F1247" s="6">
        <f>UPPER(Sheet1!H1247)</f>
        <v/>
      </c>
      <c r="G1247" s="5">
        <f>TEXT(Sheet1!C1247,"dd/mm/yyyy") &amp; "," &amp; Sheet1!D1247</f>
        <v/>
      </c>
      <c r="H1247" s="38">
        <f>UPPER(Sheet1!J1247 &amp; "," &amp; Sheet1!K1247 &amp; "," &amp; Sheet1!L1247)</f>
        <v/>
      </c>
      <c r="I1247" s="45">
        <f>Sheet1!I1247</f>
        <v/>
      </c>
      <c r="J1247" s="5">
        <f>Sheet1!M1247 &amp; "," &amp; TEXT(Sheet1!N1247,"dd/mm/yy")</f>
        <v/>
      </c>
      <c r="K1247" s="5" t="inlineStr">
        <is>
          <t>PRINTED</t>
        </is>
      </c>
      <c r="L1247" t="inlineStr">
        <is>
          <t>25/03/2026</t>
        </is>
      </c>
      <c r="M1247" s="30" t="inlineStr">
        <is>
          <t>MANISH KATARIA, VICE CONSUL</t>
        </is>
      </c>
      <c r="N1247" s="30" t="n"/>
    </row>
    <row r="1248">
      <c r="A1248" s="4">
        <f>Sheet1!A1248 &amp; "/" &amp; "2025"</f>
        <v/>
      </c>
      <c r="B1248" s="5">
        <f>Sheet1!E1248</f>
        <v/>
      </c>
      <c r="C1248" s="6">
        <f>UPPER(Sheet1!B1248)</f>
        <v/>
      </c>
      <c r="D1248" s="7">
        <f>IF(Sheet1!F1248="F","FEMALE","MALE")</f>
        <v/>
      </c>
      <c r="E1248" s="6">
        <f>UPPER(Sheet1!G1248)</f>
        <v/>
      </c>
      <c r="F1248" s="6">
        <f>UPPER(Sheet1!H1248)</f>
        <v/>
      </c>
      <c r="G1248" s="5">
        <f>TEXT(Sheet1!C1248,"dd/mm/yyyy") &amp; "," &amp; Sheet1!D1248</f>
        <v/>
      </c>
      <c r="H1248" s="38">
        <f>UPPER(Sheet1!J1248 &amp; "," &amp; Sheet1!K1248 &amp; "," &amp; Sheet1!L1248)</f>
        <v/>
      </c>
      <c r="I1248" s="45">
        <f>Sheet1!I1248</f>
        <v/>
      </c>
      <c r="J1248" s="5">
        <f>Sheet1!M1248 &amp; "," &amp; TEXT(Sheet1!N1248,"dd/mm/yy")</f>
        <v/>
      </c>
      <c r="K1248" s="5" t="inlineStr">
        <is>
          <t>PRINTED</t>
        </is>
      </c>
      <c r="L1248" t="inlineStr">
        <is>
          <t>25/03/2026</t>
        </is>
      </c>
      <c r="M1248" s="30" t="inlineStr">
        <is>
          <t>MANISH KATARIA, VICE CONSUL</t>
        </is>
      </c>
      <c r="N1248" s="30" t="n"/>
    </row>
    <row r="1249">
      <c r="A1249" s="4">
        <f>Sheet1!A1249 &amp; "/" &amp; "2025"</f>
        <v/>
      </c>
      <c r="B1249" s="5">
        <f>Sheet1!E1249</f>
        <v/>
      </c>
      <c r="C1249" s="6">
        <f>UPPER(Sheet1!B1249)</f>
        <v/>
      </c>
      <c r="D1249" s="7">
        <f>IF(Sheet1!F1249="F","FEMALE","MALE")</f>
        <v/>
      </c>
      <c r="E1249" s="6">
        <f>UPPER(Sheet1!G1249)</f>
        <v/>
      </c>
      <c r="F1249" s="6">
        <f>UPPER(Sheet1!H1249)</f>
        <v/>
      </c>
      <c r="G1249" s="5">
        <f>TEXT(Sheet1!C1249,"dd/mm/yyyy") &amp; "," &amp; Sheet1!D1249</f>
        <v/>
      </c>
      <c r="H1249" s="38">
        <f>UPPER(Sheet1!J1249 &amp; "," &amp; Sheet1!K1249 &amp; "," &amp; Sheet1!L1249)</f>
        <v/>
      </c>
      <c r="I1249" s="45">
        <f>Sheet1!I1249</f>
        <v/>
      </c>
      <c r="J1249" s="5">
        <f>Sheet1!M1249 &amp; "," &amp; TEXT(Sheet1!N1249,"dd/mm/yy")</f>
        <v/>
      </c>
      <c r="K1249" s="5" t="inlineStr">
        <is>
          <t>PRINTED</t>
        </is>
      </c>
      <c r="L1249" t="inlineStr">
        <is>
          <t>25/03/2026</t>
        </is>
      </c>
      <c r="M1249" s="30" t="inlineStr">
        <is>
          <t>MANISH KATARIA, VICE CONSUL</t>
        </is>
      </c>
      <c r="N1249" s="30" t="n"/>
    </row>
    <row r="1250">
      <c r="A1250" s="4">
        <f>Sheet1!A1250 &amp; "/" &amp; "2025"</f>
        <v/>
      </c>
      <c r="B1250" s="5">
        <f>Sheet1!E1250</f>
        <v/>
      </c>
      <c r="C1250" s="6">
        <f>UPPER(Sheet1!B1250)</f>
        <v/>
      </c>
      <c r="D1250" s="7">
        <f>IF(Sheet1!F1250="F","FEMALE","MALE")</f>
        <v/>
      </c>
      <c r="E1250" s="6">
        <f>UPPER(Sheet1!G1250)</f>
        <v/>
      </c>
      <c r="F1250" s="6">
        <f>UPPER(Sheet1!H1250)</f>
        <v/>
      </c>
      <c r="G1250" s="5">
        <f>TEXT(Sheet1!C1250,"dd/mm/yyyy") &amp; "," &amp; Sheet1!D1250</f>
        <v/>
      </c>
      <c r="H1250" s="38">
        <f>UPPER(Sheet1!J1250 &amp; "," &amp; Sheet1!K1250 &amp; "," &amp; Sheet1!L1250)</f>
        <v/>
      </c>
      <c r="I1250" s="45">
        <f>Sheet1!I1250</f>
        <v/>
      </c>
      <c r="J1250" s="5">
        <f>Sheet1!M1250 &amp; "," &amp; TEXT(Sheet1!N1250,"dd/mm/yy")</f>
        <v/>
      </c>
      <c r="K1250" s="5" t="inlineStr">
        <is>
          <t>PRINTED</t>
        </is>
      </c>
      <c r="L1250" t="inlineStr">
        <is>
          <t>25/03/2026</t>
        </is>
      </c>
      <c r="M1250" s="30" t="inlineStr">
        <is>
          <t>MANISH KATARIA, VICE CONSUL</t>
        </is>
      </c>
      <c r="N1250" s="30" t="n"/>
    </row>
    <row r="1251">
      <c r="A1251" s="4">
        <f>Sheet1!A1251 &amp; "/" &amp; "2025"</f>
        <v/>
      </c>
      <c r="B1251" s="5">
        <f>Sheet1!E1251</f>
        <v/>
      </c>
      <c r="C1251" s="6">
        <f>UPPER(Sheet1!B1251)</f>
        <v/>
      </c>
      <c r="D1251" s="7">
        <f>IF(Sheet1!F1251="F","FEMALE","MALE")</f>
        <v/>
      </c>
      <c r="E1251" s="6">
        <f>UPPER(Sheet1!G1251)</f>
        <v/>
      </c>
      <c r="F1251" s="6">
        <f>UPPER(Sheet1!H1251)</f>
        <v/>
      </c>
      <c r="G1251" s="5">
        <f>TEXT(Sheet1!C1251,"dd/mm/yyyy") &amp; "," &amp; Sheet1!D1251</f>
        <v/>
      </c>
      <c r="H1251" s="38">
        <f>UPPER(Sheet1!J1251 &amp; "," &amp; Sheet1!K1251 &amp; "," &amp; Sheet1!L1251)</f>
        <v/>
      </c>
      <c r="I1251" s="45">
        <f>Sheet1!I1251</f>
        <v/>
      </c>
      <c r="J1251" s="5">
        <f>Sheet1!M1251 &amp; "," &amp; TEXT(Sheet1!N1251,"dd/mm/yy")</f>
        <v/>
      </c>
      <c r="K1251" s="5" t="inlineStr">
        <is>
          <t>PRINTED</t>
        </is>
      </c>
      <c r="L1251" t="inlineStr">
        <is>
          <t>25/03/2026</t>
        </is>
      </c>
      <c r="M1251" s="30" t="inlineStr">
        <is>
          <t>MANISH KATARIA, VICE CONSUL</t>
        </is>
      </c>
      <c r="N1251" s="30" t="n"/>
    </row>
    <row r="1252">
      <c r="A1252" s="4">
        <f>Sheet1!A1252 &amp; "/" &amp; "2025"</f>
        <v/>
      </c>
      <c r="B1252" s="5">
        <f>Sheet1!E1252</f>
        <v/>
      </c>
      <c r="C1252" s="6">
        <f>UPPER(Sheet1!B1252)</f>
        <v/>
      </c>
      <c r="D1252" s="7">
        <f>IF(Sheet1!F1252="F","FEMALE","MALE")</f>
        <v/>
      </c>
      <c r="E1252" s="6">
        <f>UPPER(Sheet1!G1252)</f>
        <v/>
      </c>
      <c r="F1252" s="6">
        <f>UPPER(Sheet1!H1252)</f>
        <v/>
      </c>
      <c r="G1252" s="5">
        <f>TEXT(Sheet1!C1252,"dd/mm/yyyy") &amp; "," &amp; Sheet1!D1252</f>
        <v/>
      </c>
      <c r="H1252" s="38">
        <f>UPPER(Sheet1!J1252 &amp; "," &amp; Sheet1!K1252 &amp; "," &amp; Sheet1!L1252)</f>
        <v/>
      </c>
      <c r="I1252" s="45">
        <f>Sheet1!I1252</f>
        <v/>
      </c>
      <c r="J1252" s="5">
        <f>Sheet1!M1252 &amp; "," &amp; TEXT(Sheet1!N1252,"dd/mm/yy")</f>
        <v/>
      </c>
      <c r="K1252" s="5" t="inlineStr">
        <is>
          <t>PRINTED</t>
        </is>
      </c>
      <c r="L1252" t="inlineStr">
        <is>
          <t>25/03/2026</t>
        </is>
      </c>
      <c r="M1252" s="30" t="inlineStr">
        <is>
          <t>MANISH KATARIA, VICE CONSUL</t>
        </is>
      </c>
      <c r="N1252" s="30" t="n"/>
    </row>
    <row r="1253">
      <c r="A1253" s="4">
        <f>Sheet1!A1253 &amp; "/" &amp; "2025"</f>
        <v/>
      </c>
      <c r="B1253" s="5">
        <f>Sheet1!E1253</f>
        <v/>
      </c>
      <c r="C1253" s="6">
        <f>UPPER(Sheet1!B1253)</f>
        <v/>
      </c>
      <c r="D1253" s="7">
        <f>IF(Sheet1!F1253="F","FEMALE","MALE")</f>
        <v/>
      </c>
      <c r="E1253" s="6">
        <f>UPPER(Sheet1!G1253)</f>
        <v/>
      </c>
      <c r="F1253" s="6">
        <f>UPPER(Sheet1!H1253)</f>
        <v/>
      </c>
      <c r="G1253" s="5">
        <f>TEXT(Sheet1!C1253,"dd/mm/yyyy") &amp; "," &amp; Sheet1!D1253</f>
        <v/>
      </c>
      <c r="H1253" s="38">
        <f>UPPER(Sheet1!J1253 &amp; "," &amp; Sheet1!K1253 &amp; "," &amp; Sheet1!L1253)</f>
        <v/>
      </c>
      <c r="I1253" s="45">
        <f>Sheet1!I1253</f>
        <v/>
      </c>
      <c r="J1253" s="5">
        <f>Sheet1!M1253 &amp; "," &amp; TEXT(Sheet1!N1253,"dd/mm/yy")</f>
        <v/>
      </c>
      <c r="K1253" s="5" t="inlineStr">
        <is>
          <t>PRINTED</t>
        </is>
      </c>
      <c r="L1253" t="inlineStr">
        <is>
          <t>25/03/2026</t>
        </is>
      </c>
      <c r="M1253" s="30" t="inlineStr">
        <is>
          <t>MANISH KATARIA, VICE CONSUL</t>
        </is>
      </c>
      <c r="N1253" s="30" t="n"/>
    </row>
    <row r="1254">
      <c r="A1254" s="4">
        <f>Sheet1!A1254 &amp; "/" &amp; "2025"</f>
        <v/>
      </c>
      <c r="B1254" s="5">
        <f>Sheet1!E1254</f>
        <v/>
      </c>
      <c r="C1254" s="6">
        <f>UPPER(Sheet1!B1254)</f>
        <v/>
      </c>
      <c r="D1254" s="7">
        <f>IF(Sheet1!F1254="F","FEMALE","MALE")</f>
        <v/>
      </c>
      <c r="E1254" s="6">
        <f>UPPER(Sheet1!G1254)</f>
        <v/>
      </c>
      <c r="F1254" s="6">
        <f>UPPER(Sheet1!H1254)</f>
        <v/>
      </c>
      <c r="G1254" s="5">
        <f>TEXT(Sheet1!C1254,"dd/mm/yyyy") &amp; "," &amp; Sheet1!D1254</f>
        <v/>
      </c>
      <c r="H1254" s="38">
        <f>UPPER(Sheet1!J1254 &amp; "," &amp; Sheet1!K1254 &amp; "," &amp; Sheet1!L1254)</f>
        <v/>
      </c>
      <c r="I1254" s="45">
        <f>Sheet1!I1254</f>
        <v/>
      </c>
      <c r="J1254" s="5">
        <f>Sheet1!M1254 &amp; "," &amp; TEXT(Sheet1!N1254,"dd/mm/yy")</f>
        <v/>
      </c>
      <c r="K1254" s="5" t="inlineStr">
        <is>
          <t>PRINTED</t>
        </is>
      </c>
      <c r="L1254" t="inlineStr">
        <is>
          <t>25/03/2026</t>
        </is>
      </c>
      <c r="M1254" s="30" t="inlineStr">
        <is>
          <t>MANISH KATARIA, VICE CONSUL</t>
        </is>
      </c>
      <c r="N1254" s="30" t="n"/>
    </row>
    <row r="1255">
      <c r="A1255" s="4">
        <f>Sheet1!A1255 &amp; "/" &amp; "2025"</f>
        <v/>
      </c>
      <c r="B1255" s="5">
        <f>Sheet1!E1255</f>
        <v/>
      </c>
      <c r="C1255" s="6">
        <f>UPPER(Sheet1!B1255)</f>
        <v/>
      </c>
      <c r="D1255" s="7">
        <f>IF(Sheet1!F1255="F","FEMALE","MALE")</f>
        <v/>
      </c>
      <c r="E1255" s="6">
        <f>UPPER(Sheet1!G1255)</f>
        <v/>
      </c>
      <c r="F1255" s="6">
        <f>UPPER(Sheet1!H1255)</f>
        <v/>
      </c>
      <c r="G1255" s="5">
        <f>TEXT(Sheet1!C1255,"dd/mm/yyyy") &amp; "," &amp; Sheet1!D1255</f>
        <v/>
      </c>
      <c r="H1255" s="38">
        <f>UPPER(Sheet1!J1255 &amp; "," &amp; Sheet1!K1255 &amp; "," &amp; Sheet1!L1255)</f>
        <v/>
      </c>
      <c r="I1255" s="45">
        <f>Sheet1!I1255</f>
        <v/>
      </c>
      <c r="J1255" s="5">
        <f>Sheet1!M1255 &amp; "," &amp; TEXT(Sheet1!N1255,"dd/mm/yy")</f>
        <v/>
      </c>
      <c r="K1255" s="5" t="inlineStr">
        <is>
          <t>PRINTED</t>
        </is>
      </c>
      <c r="L1255" t="inlineStr">
        <is>
          <t>25/03/2026</t>
        </is>
      </c>
      <c r="M1255" s="30" t="inlineStr">
        <is>
          <t>MANISH KATARIA, VICE CONSUL</t>
        </is>
      </c>
      <c r="N1255" s="30" t="n"/>
    </row>
    <row r="1256">
      <c r="A1256" s="4">
        <f>Sheet1!A1256 &amp; "/" &amp; "2025"</f>
        <v/>
      </c>
      <c r="B1256" s="5">
        <f>Sheet1!E1256</f>
        <v/>
      </c>
      <c r="C1256" s="6">
        <f>UPPER(Sheet1!B1256)</f>
        <v/>
      </c>
      <c r="D1256" s="7">
        <f>IF(Sheet1!F1256="F","FEMALE","MALE")</f>
        <v/>
      </c>
      <c r="E1256" s="6">
        <f>UPPER(Sheet1!G1256)</f>
        <v/>
      </c>
      <c r="F1256" s="6">
        <f>UPPER(Sheet1!H1256)</f>
        <v/>
      </c>
      <c r="G1256" s="5">
        <f>TEXT(Sheet1!C1256,"dd/mm/yyyy") &amp; "," &amp; Sheet1!D1256</f>
        <v/>
      </c>
      <c r="H1256" s="38">
        <f>UPPER(Sheet1!J1256 &amp; "," &amp; Sheet1!K1256 &amp; "," &amp; Sheet1!L1256)</f>
        <v/>
      </c>
      <c r="I1256" s="45">
        <f>Sheet1!I1256</f>
        <v/>
      </c>
      <c r="J1256" s="5">
        <f>Sheet1!M1256 &amp; "," &amp; TEXT(Sheet1!N1256,"dd/mm/yy")</f>
        <v/>
      </c>
      <c r="K1256" s="5" t="inlineStr">
        <is>
          <t>PRINTED</t>
        </is>
      </c>
      <c r="L1256" t="inlineStr">
        <is>
          <t>25/03/2026</t>
        </is>
      </c>
      <c r="M1256" s="30" t="inlineStr">
        <is>
          <t>MANISH KATARIA, VICE CONSUL</t>
        </is>
      </c>
      <c r="N1256" s="30" t="n"/>
    </row>
    <row r="1257">
      <c r="A1257" s="4">
        <f>Sheet1!A1257 &amp; "/" &amp; "2025"</f>
        <v/>
      </c>
      <c r="B1257" s="5">
        <f>Sheet1!E1257</f>
        <v/>
      </c>
      <c r="C1257" s="6">
        <f>UPPER(Sheet1!B1257)</f>
        <v/>
      </c>
      <c r="D1257" s="7">
        <f>IF(Sheet1!F1257="F","FEMALE","MALE")</f>
        <v/>
      </c>
      <c r="E1257" s="6">
        <f>UPPER(Sheet1!G1257)</f>
        <v/>
      </c>
      <c r="F1257" s="6">
        <f>UPPER(Sheet1!H1257)</f>
        <v/>
      </c>
      <c r="G1257" s="5">
        <f>TEXT(Sheet1!C1257,"dd/mm/yyyy") &amp; "," &amp; Sheet1!D1257</f>
        <v/>
      </c>
      <c r="H1257" s="38">
        <f>UPPER(Sheet1!J1257 &amp; "," &amp; Sheet1!K1257 &amp; "," &amp; Sheet1!L1257)</f>
        <v/>
      </c>
      <c r="I1257" s="45">
        <f>Sheet1!I1257</f>
        <v/>
      </c>
      <c r="J1257" s="5">
        <f>Sheet1!M1257 &amp; "," &amp; TEXT(Sheet1!N1257,"dd/mm/yy")</f>
        <v/>
      </c>
      <c r="K1257" s="5" t="inlineStr">
        <is>
          <t>PRINTED</t>
        </is>
      </c>
      <c r="L1257" t="inlineStr">
        <is>
          <t>25/03/2026</t>
        </is>
      </c>
      <c r="M1257" s="30" t="inlineStr">
        <is>
          <t>MANISH KATARIA, VICE CONSUL</t>
        </is>
      </c>
      <c r="N1257" s="30" t="n"/>
    </row>
    <row r="1258">
      <c r="A1258" s="4">
        <f>Sheet1!A1258 &amp; "/" &amp; "2025"</f>
        <v/>
      </c>
      <c r="B1258" s="5">
        <f>Sheet1!E1258</f>
        <v/>
      </c>
      <c r="C1258" s="6">
        <f>UPPER(Sheet1!B1258)</f>
        <v/>
      </c>
      <c r="D1258" s="7">
        <f>IF(Sheet1!F1258="F","FEMALE","MALE")</f>
        <v/>
      </c>
      <c r="E1258" s="6">
        <f>UPPER(Sheet1!G1258)</f>
        <v/>
      </c>
      <c r="F1258" s="6">
        <f>UPPER(Sheet1!H1258)</f>
        <v/>
      </c>
      <c r="G1258" s="5">
        <f>TEXT(Sheet1!C1258,"dd/mm/yyyy") &amp; "," &amp; Sheet1!D1258</f>
        <v/>
      </c>
      <c r="H1258" s="38">
        <f>UPPER(Sheet1!J1258 &amp; "," &amp; Sheet1!K1258 &amp; "," &amp; Sheet1!L1258)</f>
        <v/>
      </c>
      <c r="I1258" s="45">
        <f>Sheet1!I1258</f>
        <v/>
      </c>
      <c r="J1258" s="5">
        <f>Sheet1!M1258 &amp; "," &amp; TEXT(Sheet1!N1258,"dd/mm/yy")</f>
        <v/>
      </c>
      <c r="K1258" s="5" t="inlineStr">
        <is>
          <t>PRINTED</t>
        </is>
      </c>
      <c r="L1258" t="inlineStr">
        <is>
          <t>25/03/2026</t>
        </is>
      </c>
      <c r="M1258" s="30" t="inlineStr">
        <is>
          <t>MANISH KATARIA, VICE CONSUL</t>
        </is>
      </c>
      <c r="N1258" s="30" t="n"/>
    </row>
    <row r="1259">
      <c r="A1259" s="4">
        <f>Sheet1!A1259 &amp; "/" &amp; "2025"</f>
        <v/>
      </c>
      <c r="B1259" s="5">
        <f>Sheet1!E1259</f>
        <v/>
      </c>
      <c r="C1259" s="6">
        <f>UPPER(Sheet1!B1259)</f>
        <v/>
      </c>
      <c r="D1259" s="7">
        <f>IF(Sheet1!F1259="F","FEMALE","MALE")</f>
        <v/>
      </c>
      <c r="E1259" s="6">
        <f>UPPER(Sheet1!G1259)</f>
        <v/>
      </c>
      <c r="F1259" s="6">
        <f>UPPER(Sheet1!H1259)</f>
        <v/>
      </c>
      <c r="G1259" s="5">
        <f>TEXT(Sheet1!C1259,"dd/mm/yyyy") &amp; "," &amp; Sheet1!D1259</f>
        <v/>
      </c>
      <c r="H1259" s="38">
        <f>UPPER(Sheet1!J1259 &amp; "," &amp; Sheet1!K1259 &amp; "," &amp; Sheet1!L1259)</f>
        <v/>
      </c>
      <c r="I1259" s="45">
        <f>Sheet1!I1259</f>
        <v/>
      </c>
      <c r="J1259" s="5">
        <f>Sheet1!M1259 &amp; "," &amp; TEXT(Sheet1!N1259,"dd/mm/yy")</f>
        <v/>
      </c>
      <c r="K1259" s="5" t="inlineStr">
        <is>
          <t>PRINTED</t>
        </is>
      </c>
      <c r="L1259" t="inlineStr">
        <is>
          <t>25/03/2026</t>
        </is>
      </c>
      <c r="M1259" s="30" t="inlineStr">
        <is>
          <t>MANISH KATARIA, VICE CONSUL</t>
        </is>
      </c>
      <c r="N1259" s="30" t="n"/>
    </row>
    <row r="1260">
      <c r="A1260" s="4">
        <f>Sheet1!A1260 &amp; "/" &amp; "2025"</f>
        <v/>
      </c>
      <c r="B1260" s="5">
        <f>Sheet1!E1260</f>
        <v/>
      </c>
      <c r="C1260" s="6">
        <f>UPPER(Sheet1!B1260)</f>
        <v/>
      </c>
      <c r="D1260" s="7">
        <f>IF(Sheet1!F1260="F","FEMALE","MALE")</f>
        <v/>
      </c>
      <c r="E1260" s="6">
        <f>UPPER(Sheet1!G1260)</f>
        <v/>
      </c>
      <c r="F1260" s="6">
        <f>UPPER(Sheet1!H1260)</f>
        <v/>
      </c>
      <c r="G1260" s="5">
        <f>TEXT(Sheet1!C1260,"dd/mm/yyyy") &amp; "," &amp; Sheet1!D1260</f>
        <v/>
      </c>
      <c r="H1260" s="38">
        <f>UPPER(Sheet1!J1260 &amp; "," &amp; Sheet1!K1260 &amp; "," &amp; Sheet1!L1260)</f>
        <v/>
      </c>
      <c r="I1260" s="45">
        <f>Sheet1!I1260</f>
        <v/>
      </c>
      <c r="J1260" s="5">
        <f>Sheet1!M1260 &amp; "," &amp; TEXT(Sheet1!N1260,"dd/mm/yy")</f>
        <v/>
      </c>
      <c r="K1260" s="5" t="inlineStr">
        <is>
          <t>PRINTED</t>
        </is>
      </c>
      <c r="L1260" t="inlineStr">
        <is>
          <t>25/03/2026</t>
        </is>
      </c>
      <c r="M1260" s="30" t="inlineStr">
        <is>
          <t>MANISH KATARIA, VICE CONSUL</t>
        </is>
      </c>
      <c r="N1260" s="30" t="n"/>
    </row>
    <row r="1261">
      <c r="A1261" s="4">
        <f>Sheet1!A1261 &amp; "/" &amp; "2025"</f>
        <v/>
      </c>
      <c r="B1261" s="5">
        <f>Sheet1!E1261</f>
        <v/>
      </c>
      <c r="C1261" s="6">
        <f>UPPER(Sheet1!B1261)</f>
        <v/>
      </c>
      <c r="D1261" s="7">
        <f>IF(Sheet1!F1261="F","FEMALE","MALE")</f>
        <v/>
      </c>
      <c r="E1261" s="6">
        <f>UPPER(Sheet1!G1261)</f>
        <v/>
      </c>
      <c r="F1261" s="6">
        <f>UPPER(Sheet1!H1261)</f>
        <v/>
      </c>
      <c r="G1261" s="5">
        <f>TEXT(Sheet1!C1261,"dd/mm/yyyy") &amp; "," &amp; Sheet1!D1261</f>
        <v/>
      </c>
      <c r="H1261" s="38">
        <f>UPPER(Sheet1!J1261 &amp; "," &amp; Sheet1!K1261 &amp; "," &amp; Sheet1!L1261)</f>
        <v/>
      </c>
      <c r="I1261" s="45">
        <f>Sheet1!I1261</f>
        <v/>
      </c>
      <c r="J1261" s="5">
        <f>Sheet1!M1261 &amp; "," &amp; TEXT(Sheet1!N1261,"dd/mm/yy")</f>
        <v/>
      </c>
      <c r="K1261" s="5" t="inlineStr">
        <is>
          <t>PRINTED</t>
        </is>
      </c>
      <c r="L1261" t="inlineStr">
        <is>
          <t>25/03/2026</t>
        </is>
      </c>
      <c r="M1261" s="30" t="inlineStr">
        <is>
          <t>MANISH KATARIA, VICE CONSUL</t>
        </is>
      </c>
      <c r="N1261" s="30" t="n"/>
    </row>
    <row r="1262">
      <c r="A1262" s="4">
        <f>Sheet1!A1262 &amp; "/" &amp; "2025"</f>
        <v/>
      </c>
      <c r="B1262" s="5">
        <f>Sheet1!E1262</f>
        <v/>
      </c>
      <c r="C1262" s="6">
        <f>UPPER(Sheet1!B1262)</f>
        <v/>
      </c>
      <c r="D1262" s="7">
        <f>IF(Sheet1!F1262="F","FEMALE","MALE")</f>
        <v/>
      </c>
      <c r="E1262" s="6">
        <f>UPPER(Sheet1!G1262)</f>
        <v/>
      </c>
      <c r="F1262" s="6">
        <f>UPPER(Sheet1!H1262)</f>
        <v/>
      </c>
      <c r="G1262" s="5">
        <f>TEXT(Sheet1!C1262,"dd/mm/yyyy") &amp; "," &amp; Sheet1!D1262</f>
        <v/>
      </c>
      <c r="H1262" s="38">
        <f>UPPER(Sheet1!J1262 &amp; "," &amp; Sheet1!K1262 &amp; "," &amp; Sheet1!L1262)</f>
        <v/>
      </c>
      <c r="I1262" s="45">
        <f>Sheet1!I1262</f>
        <v/>
      </c>
      <c r="J1262" s="5">
        <f>Sheet1!M1262 &amp; "," &amp; TEXT(Sheet1!N1262,"dd/mm/yy")</f>
        <v/>
      </c>
      <c r="K1262" s="5" t="inlineStr">
        <is>
          <t>PRINTED</t>
        </is>
      </c>
      <c r="L1262" t="inlineStr">
        <is>
          <t>25/03/2026</t>
        </is>
      </c>
      <c r="M1262" s="30" t="inlineStr">
        <is>
          <t>MANISH KATARIA, VICE CONSUL</t>
        </is>
      </c>
      <c r="N1262" s="30" t="n"/>
    </row>
    <row r="1263">
      <c r="A1263" s="4">
        <f>Sheet1!A1263 &amp; "/" &amp; "2025"</f>
        <v/>
      </c>
      <c r="B1263" s="5">
        <f>Sheet1!E1263</f>
        <v/>
      </c>
      <c r="C1263" s="6">
        <f>UPPER(Sheet1!B1263)</f>
        <v/>
      </c>
      <c r="D1263" s="7">
        <f>IF(Sheet1!F1263="F","FEMALE","MALE")</f>
        <v/>
      </c>
      <c r="E1263" s="6">
        <f>UPPER(Sheet1!G1263)</f>
        <v/>
      </c>
      <c r="F1263" s="6">
        <f>UPPER(Sheet1!H1263)</f>
        <v/>
      </c>
      <c r="G1263" s="5">
        <f>TEXT(Sheet1!C1263,"dd/mm/yyyy") &amp; "," &amp; Sheet1!D1263</f>
        <v/>
      </c>
      <c r="H1263" s="38">
        <f>UPPER(Sheet1!J1263 &amp; "," &amp; Sheet1!K1263 &amp; "," &amp; Sheet1!L1263)</f>
        <v/>
      </c>
      <c r="I1263" s="45">
        <f>Sheet1!I1263</f>
        <v/>
      </c>
      <c r="J1263" s="5">
        <f>Sheet1!M1263 &amp; "," &amp; TEXT(Sheet1!N1263,"dd/mm/yy")</f>
        <v/>
      </c>
      <c r="K1263" s="5" t="inlineStr">
        <is>
          <t>PRINTED</t>
        </is>
      </c>
      <c r="L1263" t="inlineStr">
        <is>
          <t>25/03/2026</t>
        </is>
      </c>
      <c r="M1263" s="30" t="inlineStr">
        <is>
          <t>MANISH KATARIA, VICE CONSUL</t>
        </is>
      </c>
      <c r="N1263" s="30" t="n"/>
    </row>
    <row r="1264">
      <c r="A1264" s="4">
        <f>Sheet1!A1264 &amp; "/" &amp; "2025"</f>
        <v/>
      </c>
      <c r="B1264" s="5">
        <f>Sheet1!E1264</f>
        <v/>
      </c>
      <c r="C1264" s="6">
        <f>UPPER(Sheet1!B1264)</f>
        <v/>
      </c>
      <c r="D1264" s="7">
        <f>IF(Sheet1!F1264="F","FEMALE","MALE")</f>
        <v/>
      </c>
      <c r="E1264" s="6">
        <f>UPPER(Sheet1!G1264)</f>
        <v/>
      </c>
      <c r="F1264" s="6">
        <f>UPPER(Sheet1!H1264)</f>
        <v/>
      </c>
      <c r="G1264" s="5">
        <f>TEXT(Sheet1!C1264,"dd/mm/yyyy") &amp; "," &amp; Sheet1!D1264</f>
        <v/>
      </c>
      <c r="H1264" s="38">
        <f>UPPER(Sheet1!J1264 &amp; "," &amp; Sheet1!K1264 &amp; "," &amp; Sheet1!L1264)</f>
        <v/>
      </c>
      <c r="I1264" s="45">
        <f>Sheet1!I1264</f>
        <v/>
      </c>
      <c r="J1264" s="5">
        <f>Sheet1!M1264 &amp; "," &amp; TEXT(Sheet1!N1264,"dd/mm/yy")</f>
        <v/>
      </c>
      <c r="K1264" s="5" t="inlineStr">
        <is>
          <t>PRINTED</t>
        </is>
      </c>
      <c r="L1264" t="inlineStr">
        <is>
          <t>25/03/2026</t>
        </is>
      </c>
      <c r="M1264" s="30" t="inlineStr">
        <is>
          <t>MANISH KATARIA, VICE CONSUL</t>
        </is>
      </c>
      <c r="N1264" s="30" t="n"/>
    </row>
    <row r="1265">
      <c r="A1265" s="4">
        <f>Sheet1!A1265 &amp; "/" &amp; "2025"</f>
        <v/>
      </c>
      <c r="B1265" s="5">
        <f>Sheet1!E1265</f>
        <v/>
      </c>
      <c r="C1265" s="6">
        <f>UPPER(Sheet1!B1265)</f>
        <v/>
      </c>
      <c r="D1265" s="7">
        <f>IF(Sheet1!F1265="F","FEMALE","MALE")</f>
        <v/>
      </c>
      <c r="E1265" s="6">
        <f>UPPER(Sheet1!G1265)</f>
        <v/>
      </c>
      <c r="F1265" s="6">
        <f>UPPER(Sheet1!H1265)</f>
        <v/>
      </c>
      <c r="G1265" s="5">
        <f>TEXT(Sheet1!C1265,"dd/mm/yyyy") &amp; "," &amp; Sheet1!D1265</f>
        <v/>
      </c>
      <c r="H1265" s="38">
        <f>UPPER(Sheet1!J1265 &amp; "," &amp; Sheet1!K1265 &amp; "," &amp; Sheet1!L1265)</f>
        <v/>
      </c>
      <c r="I1265" s="45">
        <f>Sheet1!I1265</f>
        <v/>
      </c>
      <c r="J1265" s="5">
        <f>Sheet1!M1265 &amp; "," &amp; TEXT(Sheet1!N1265,"dd/mm/yy")</f>
        <v/>
      </c>
      <c r="K1265" s="5" t="inlineStr">
        <is>
          <t>PRINTED</t>
        </is>
      </c>
      <c r="L1265" t="inlineStr">
        <is>
          <t>25/03/2026</t>
        </is>
      </c>
      <c r="M1265" s="30" t="inlineStr">
        <is>
          <t>MANISH KATARIA, VICE CONSUL</t>
        </is>
      </c>
      <c r="N1265" s="30" t="n"/>
    </row>
    <row r="1266">
      <c r="A1266" s="4">
        <f>Sheet1!A1266 &amp; "/" &amp; "2025"</f>
        <v/>
      </c>
      <c r="B1266" s="5">
        <f>Sheet1!E1266</f>
        <v/>
      </c>
      <c r="C1266" s="6">
        <f>UPPER(Sheet1!B1266)</f>
        <v/>
      </c>
      <c r="D1266" s="7">
        <f>IF(Sheet1!F1266="F","FEMALE","MALE")</f>
        <v/>
      </c>
      <c r="E1266" s="6">
        <f>UPPER(Sheet1!G1266)</f>
        <v/>
      </c>
      <c r="F1266" s="6">
        <f>UPPER(Sheet1!H1266)</f>
        <v/>
      </c>
      <c r="G1266" s="5">
        <f>TEXT(Sheet1!C1266,"dd/mm/yyyy") &amp; "," &amp; Sheet1!D1266</f>
        <v/>
      </c>
      <c r="H1266" s="38">
        <f>UPPER(Sheet1!J1266 &amp; "," &amp; Sheet1!K1266 &amp; "," &amp; Sheet1!L1266)</f>
        <v/>
      </c>
      <c r="I1266" s="45">
        <f>Sheet1!I1266</f>
        <v/>
      </c>
      <c r="J1266" s="5">
        <f>Sheet1!M1266 &amp; "," &amp; TEXT(Sheet1!N1266,"dd/mm/yy")</f>
        <v/>
      </c>
      <c r="K1266" s="5" t="inlineStr">
        <is>
          <t>PRINTED</t>
        </is>
      </c>
      <c r="L1266" t="inlineStr">
        <is>
          <t>25/03/2026</t>
        </is>
      </c>
      <c r="M1266" s="30" t="inlineStr">
        <is>
          <t>MANISH KATARIA, VICE CONSUL</t>
        </is>
      </c>
      <c r="N1266" s="30" t="n"/>
    </row>
    <row r="1267">
      <c r="A1267" s="4">
        <f>Sheet1!A1267 &amp; "/" &amp; "2025"</f>
        <v/>
      </c>
      <c r="B1267" s="5">
        <f>Sheet1!E1267</f>
        <v/>
      </c>
      <c r="C1267" s="6">
        <f>UPPER(Sheet1!B1267)</f>
        <v/>
      </c>
      <c r="D1267" s="7">
        <f>IF(Sheet1!F1267="F","FEMALE","MALE")</f>
        <v/>
      </c>
      <c r="E1267" s="6">
        <f>UPPER(Sheet1!G1267)</f>
        <v/>
      </c>
      <c r="F1267" s="6">
        <f>UPPER(Sheet1!H1267)</f>
        <v/>
      </c>
      <c r="G1267" s="5">
        <f>TEXT(Sheet1!C1267,"dd/mm/yyyy") &amp; "," &amp; Sheet1!D1267</f>
        <v/>
      </c>
      <c r="H1267" s="38">
        <f>UPPER(Sheet1!J1267 &amp; "," &amp; Sheet1!K1267 &amp; "," &amp; Sheet1!L1267)</f>
        <v/>
      </c>
      <c r="I1267" s="45">
        <f>Sheet1!I1267</f>
        <v/>
      </c>
      <c r="J1267" s="5">
        <f>Sheet1!M1267 &amp; "," &amp; TEXT(Sheet1!N1267,"dd/mm/yy")</f>
        <v/>
      </c>
      <c r="K1267" s="5" t="inlineStr">
        <is>
          <t>PRINTED</t>
        </is>
      </c>
      <c r="L1267" t="inlineStr">
        <is>
          <t>25/03/2026</t>
        </is>
      </c>
      <c r="M1267" s="30" t="inlineStr">
        <is>
          <t>MANISH KATARIA, VICE CONSUL</t>
        </is>
      </c>
      <c r="N1267" s="30" t="n"/>
    </row>
    <row r="1268">
      <c r="A1268" s="4">
        <f>Sheet1!A1268 &amp; "/" &amp; "2025"</f>
        <v/>
      </c>
      <c r="B1268" s="5">
        <f>Sheet1!E1268</f>
        <v/>
      </c>
      <c r="C1268" s="6">
        <f>UPPER(Sheet1!B1268)</f>
        <v/>
      </c>
      <c r="D1268" s="7">
        <f>IF(Sheet1!F1268="F","FEMALE","MALE")</f>
        <v/>
      </c>
      <c r="E1268" s="6">
        <f>UPPER(Sheet1!G1268)</f>
        <v/>
      </c>
      <c r="F1268" s="6">
        <f>UPPER(Sheet1!H1268)</f>
        <v/>
      </c>
      <c r="G1268" s="5">
        <f>TEXT(Sheet1!C1268,"dd/mm/yyyy") &amp; "," &amp; Sheet1!D1268</f>
        <v/>
      </c>
      <c r="H1268" s="38">
        <f>UPPER(Sheet1!J1268 &amp; "," &amp; Sheet1!K1268 &amp; "," &amp; Sheet1!L1268)</f>
        <v/>
      </c>
      <c r="I1268" s="45">
        <f>Sheet1!I1268</f>
        <v/>
      </c>
      <c r="J1268" s="5">
        <f>Sheet1!M1268 &amp; "," &amp; TEXT(Sheet1!N1268,"dd/mm/yy")</f>
        <v/>
      </c>
      <c r="K1268" s="5" t="inlineStr">
        <is>
          <t>PRINTED</t>
        </is>
      </c>
      <c r="L1268" t="inlineStr">
        <is>
          <t>25/03/2026</t>
        </is>
      </c>
      <c r="M1268" s="30" t="inlineStr">
        <is>
          <t>MANISH KATARIA, VICE CONSUL</t>
        </is>
      </c>
      <c r="N1268" s="30" t="n"/>
    </row>
    <row r="1269">
      <c r="A1269" s="4">
        <f>Sheet1!A1269 &amp; "/" &amp; "2025"</f>
        <v/>
      </c>
      <c r="B1269" s="5">
        <f>Sheet1!E1269</f>
        <v/>
      </c>
      <c r="C1269" s="6">
        <f>UPPER(Sheet1!B1269)</f>
        <v/>
      </c>
      <c r="D1269" s="7">
        <f>IF(Sheet1!F1269="F","FEMALE","MALE")</f>
        <v/>
      </c>
      <c r="E1269" s="6">
        <f>UPPER(Sheet1!G1269)</f>
        <v/>
      </c>
      <c r="F1269" s="6">
        <f>UPPER(Sheet1!H1269)</f>
        <v/>
      </c>
      <c r="G1269" s="5">
        <f>TEXT(Sheet1!C1269,"dd/mm/yyyy") &amp; "," &amp; Sheet1!D1269</f>
        <v/>
      </c>
      <c r="H1269" s="38">
        <f>UPPER(Sheet1!J1269 &amp; "," &amp; Sheet1!K1269 &amp; "," &amp; Sheet1!L1269)</f>
        <v/>
      </c>
      <c r="I1269" s="45">
        <f>Sheet1!I1269</f>
        <v/>
      </c>
      <c r="J1269" s="5">
        <f>Sheet1!M1269 &amp; "," &amp; TEXT(Sheet1!N1269,"dd/mm/yy")</f>
        <v/>
      </c>
      <c r="K1269" s="5" t="inlineStr">
        <is>
          <t>PRINTED</t>
        </is>
      </c>
      <c r="L1269" t="inlineStr">
        <is>
          <t>25/03/2026</t>
        </is>
      </c>
      <c r="M1269" s="30" t="inlineStr">
        <is>
          <t>MANISH KATARIA, VICE CONSUL</t>
        </is>
      </c>
      <c r="N1269" s="30" t="n"/>
    </row>
    <row r="1270">
      <c r="A1270" s="4">
        <f>Sheet1!A1270 &amp; "/" &amp; "2025"</f>
        <v/>
      </c>
      <c r="B1270" s="5">
        <f>Sheet1!E1270</f>
        <v/>
      </c>
      <c r="C1270" s="6">
        <f>UPPER(Sheet1!B1270)</f>
        <v/>
      </c>
      <c r="D1270" s="7">
        <f>IF(Sheet1!F1270="F","FEMALE","MALE")</f>
        <v/>
      </c>
      <c r="E1270" s="6">
        <f>UPPER(Sheet1!G1270)</f>
        <v/>
      </c>
      <c r="F1270" s="6">
        <f>UPPER(Sheet1!H1270)</f>
        <v/>
      </c>
      <c r="G1270" s="5">
        <f>TEXT(Sheet1!C1270,"dd/mm/yyyy") &amp; "," &amp; Sheet1!D1270</f>
        <v/>
      </c>
      <c r="H1270" s="38">
        <f>UPPER(Sheet1!J1270 &amp; "," &amp; Sheet1!K1270 &amp; "," &amp; Sheet1!L1270)</f>
        <v/>
      </c>
      <c r="I1270" s="45">
        <f>Sheet1!I1270</f>
        <v/>
      </c>
      <c r="J1270" s="5">
        <f>Sheet1!M1270 &amp; "," &amp; TEXT(Sheet1!N1270,"dd/mm/yy")</f>
        <v/>
      </c>
      <c r="K1270" s="5" t="inlineStr">
        <is>
          <t>PRINTED</t>
        </is>
      </c>
      <c r="L1270" t="inlineStr">
        <is>
          <t>25/03/2026</t>
        </is>
      </c>
      <c r="M1270" s="30" t="inlineStr">
        <is>
          <t>MANISH KATARIA, VICE CONSUL</t>
        </is>
      </c>
      <c r="N1270" s="30" t="n"/>
    </row>
    <row r="1271">
      <c r="A1271" s="4">
        <f>Sheet1!A1271 &amp; "/" &amp; "2025"</f>
        <v/>
      </c>
      <c r="B1271" s="5">
        <f>Sheet1!E1271</f>
        <v/>
      </c>
      <c r="C1271" s="6">
        <f>UPPER(Sheet1!B1271)</f>
        <v/>
      </c>
      <c r="D1271" s="7">
        <f>IF(Sheet1!F1271="F","FEMALE","MALE")</f>
        <v/>
      </c>
      <c r="E1271" s="6">
        <f>UPPER(Sheet1!G1271)</f>
        <v/>
      </c>
      <c r="F1271" s="6">
        <f>UPPER(Sheet1!H1271)</f>
        <v/>
      </c>
      <c r="G1271" s="5">
        <f>TEXT(Sheet1!C1271,"dd/mm/yyyy") &amp; "," &amp; Sheet1!D1271</f>
        <v/>
      </c>
      <c r="H1271" s="38">
        <f>UPPER(Sheet1!J1271 &amp; "," &amp; Sheet1!K1271 &amp; "," &amp; Sheet1!L1271)</f>
        <v/>
      </c>
      <c r="I1271" s="45">
        <f>Sheet1!I1271</f>
        <v/>
      </c>
      <c r="J1271" s="5">
        <f>Sheet1!M1271 &amp; "," &amp; TEXT(Sheet1!N1271,"dd/mm/yy")</f>
        <v/>
      </c>
      <c r="K1271" s="5" t="inlineStr">
        <is>
          <t>PRINTED</t>
        </is>
      </c>
      <c r="L1271" t="inlineStr">
        <is>
          <t>25/03/2026</t>
        </is>
      </c>
      <c r="M1271" s="30" t="inlineStr">
        <is>
          <t>MANISH KATARIA, VICE CONSUL</t>
        </is>
      </c>
      <c r="N1271" s="30" t="n"/>
    </row>
    <row r="1272">
      <c r="A1272" s="4">
        <f>Sheet1!A1272 &amp; "/" &amp; "2025"</f>
        <v/>
      </c>
      <c r="B1272" s="5">
        <f>Sheet1!E1272</f>
        <v/>
      </c>
      <c r="C1272" s="6">
        <f>UPPER(Sheet1!B1272)</f>
        <v/>
      </c>
      <c r="D1272" s="7">
        <f>IF(Sheet1!F1272="F","FEMALE","MALE")</f>
        <v/>
      </c>
      <c r="E1272" s="6">
        <f>UPPER(Sheet1!G1272)</f>
        <v/>
      </c>
      <c r="F1272" s="6">
        <f>UPPER(Sheet1!H1272)</f>
        <v/>
      </c>
      <c r="G1272" s="5">
        <f>TEXT(Sheet1!C1272,"dd/mm/yyyy") &amp; "," &amp; Sheet1!D1272</f>
        <v/>
      </c>
      <c r="H1272" s="38">
        <f>UPPER(Sheet1!J1272 &amp; "," &amp; Sheet1!K1272 &amp; "," &amp; Sheet1!L1272)</f>
        <v/>
      </c>
      <c r="I1272" s="45">
        <f>Sheet1!I1272</f>
        <v/>
      </c>
      <c r="J1272" s="5">
        <f>Sheet1!M1272 &amp; "," &amp; TEXT(Sheet1!N1272,"dd/mm/yy")</f>
        <v/>
      </c>
      <c r="K1272" s="5" t="inlineStr">
        <is>
          <t>PRINTED</t>
        </is>
      </c>
      <c r="L1272" t="inlineStr">
        <is>
          <t>25/03/2026</t>
        </is>
      </c>
      <c r="M1272" s="30" t="inlineStr">
        <is>
          <t>MANISH KATARIA, VICE CONSUL</t>
        </is>
      </c>
      <c r="N1272" s="30" t="n"/>
    </row>
    <row r="1273">
      <c r="A1273" s="4">
        <f>Sheet1!A1273 &amp; "/" &amp; "2025"</f>
        <v/>
      </c>
      <c r="B1273" s="5">
        <f>Sheet1!E1273</f>
        <v/>
      </c>
      <c r="C1273" s="6">
        <f>UPPER(Sheet1!B1273)</f>
        <v/>
      </c>
      <c r="D1273" s="7">
        <f>IF(Sheet1!F1273="F","FEMALE","MALE")</f>
        <v/>
      </c>
      <c r="E1273" s="6">
        <f>UPPER(Sheet1!G1273)</f>
        <v/>
      </c>
      <c r="F1273" s="6">
        <f>UPPER(Sheet1!H1273)</f>
        <v/>
      </c>
      <c r="G1273" s="5">
        <f>TEXT(Sheet1!C1273,"dd/mm/yyyy") &amp; "," &amp; Sheet1!D1273</f>
        <v/>
      </c>
      <c r="H1273" s="38">
        <f>UPPER(Sheet1!J1273 &amp; "," &amp; Sheet1!K1273 &amp; "," &amp; Sheet1!L1273)</f>
        <v/>
      </c>
      <c r="I1273" s="45">
        <f>Sheet1!I1273</f>
        <v/>
      </c>
      <c r="J1273" s="5">
        <f>Sheet1!M1273 &amp; "," &amp; TEXT(Sheet1!N1273,"dd/mm/yy")</f>
        <v/>
      </c>
      <c r="K1273" s="5" t="inlineStr">
        <is>
          <t>PRINTED</t>
        </is>
      </c>
      <c r="L1273" t="inlineStr">
        <is>
          <t>25/03/2026</t>
        </is>
      </c>
      <c r="M1273" s="30" t="inlineStr">
        <is>
          <t>MANISH KATARIA, VICE CONSUL</t>
        </is>
      </c>
      <c r="N1273" s="30" t="n"/>
    </row>
    <row r="1274">
      <c r="A1274" s="4">
        <f>Sheet1!A1274 &amp; "/" &amp; "2025"</f>
        <v/>
      </c>
      <c r="B1274" s="5">
        <f>Sheet1!E1274</f>
        <v/>
      </c>
      <c r="C1274" s="6">
        <f>UPPER(Sheet1!B1274)</f>
        <v/>
      </c>
      <c r="D1274" s="7">
        <f>IF(Sheet1!F1274="F","FEMALE","MALE")</f>
        <v/>
      </c>
      <c r="E1274" s="6">
        <f>UPPER(Sheet1!G1274)</f>
        <v/>
      </c>
      <c r="F1274" s="6">
        <f>UPPER(Sheet1!H1274)</f>
        <v/>
      </c>
      <c r="G1274" s="5">
        <f>TEXT(Sheet1!C1274,"dd/mm/yyyy") &amp; "," &amp; Sheet1!D1274</f>
        <v/>
      </c>
      <c r="H1274" s="38">
        <f>UPPER(Sheet1!J1274 &amp; "," &amp; Sheet1!K1274 &amp; "," &amp; Sheet1!L1274)</f>
        <v/>
      </c>
      <c r="I1274" s="45">
        <f>Sheet1!I1274</f>
        <v/>
      </c>
      <c r="J1274" s="5">
        <f>Sheet1!M1274 &amp; "," &amp; TEXT(Sheet1!N1274,"dd/mm/yy")</f>
        <v/>
      </c>
      <c r="K1274" s="5" t="inlineStr">
        <is>
          <t>PRINTED</t>
        </is>
      </c>
      <c r="L1274" t="inlineStr">
        <is>
          <t>25/03/2026</t>
        </is>
      </c>
      <c r="M1274" s="30" t="inlineStr">
        <is>
          <t>MANISH KATARIA, VICE CONSUL</t>
        </is>
      </c>
      <c r="N1274" s="30" t="n"/>
    </row>
    <row r="1275">
      <c r="A1275" s="4">
        <f>Sheet1!A1275 &amp; "/" &amp; "2025"</f>
        <v/>
      </c>
      <c r="B1275" s="5">
        <f>Sheet1!E1275</f>
        <v/>
      </c>
      <c r="C1275" s="6">
        <f>UPPER(Sheet1!B1275)</f>
        <v/>
      </c>
      <c r="D1275" s="7">
        <f>IF(Sheet1!F1275="F","FEMALE","MALE")</f>
        <v/>
      </c>
      <c r="E1275" s="6">
        <f>UPPER(Sheet1!G1275)</f>
        <v/>
      </c>
      <c r="F1275" s="6">
        <f>UPPER(Sheet1!H1275)</f>
        <v/>
      </c>
      <c r="G1275" s="5">
        <f>TEXT(Sheet1!C1275,"dd/mm/yyyy") &amp; "," &amp; Sheet1!D1275</f>
        <v/>
      </c>
      <c r="H1275" s="38">
        <f>UPPER(Sheet1!J1275 &amp; "," &amp; Sheet1!K1275 &amp; "," &amp; Sheet1!L1275)</f>
        <v/>
      </c>
      <c r="I1275" s="45">
        <f>Sheet1!I1275</f>
        <v/>
      </c>
      <c r="J1275" s="5">
        <f>Sheet1!M1275 &amp; "," &amp; TEXT(Sheet1!N1275,"dd/mm/yy")</f>
        <v/>
      </c>
      <c r="K1275" s="5" t="inlineStr">
        <is>
          <t>PRINTED</t>
        </is>
      </c>
      <c r="L1275" t="inlineStr">
        <is>
          <t>25/03/2026</t>
        </is>
      </c>
      <c r="M1275" s="30" t="inlineStr">
        <is>
          <t>MANISH KATARIA, VICE CONSUL</t>
        </is>
      </c>
      <c r="N1275" s="30" t="n"/>
    </row>
    <row r="1276">
      <c r="A1276" s="4">
        <f>Sheet1!A1276 &amp; "/" &amp; "2025"</f>
        <v/>
      </c>
      <c r="B1276" s="5">
        <f>Sheet1!E1276</f>
        <v/>
      </c>
      <c r="C1276" s="6">
        <f>UPPER(Sheet1!B1276)</f>
        <v/>
      </c>
      <c r="D1276" s="7">
        <f>IF(Sheet1!F1276="F","FEMALE","MALE")</f>
        <v/>
      </c>
      <c r="E1276" s="6">
        <f>UPPER(Sheet1!G1276)</f>
        <v/>
      </c>
      <c r="F1276" s="6">
        <f>UPPER(Sheet1!H1276)</f>
        <v/>
      </c>
      <c r="G1276" s="5">
        <f>TEXT(Sheet1!C1276,"dd/mm/yyyy") &amp; "," &amp; Sheet1!D1276</f>
        <v/>
      </c>
      <c r="H1276" s="38">
        <f>UPPER(Sheet1!J1276 &amp; "," &amp; Sheet1!K1276 &amp; "," &amp; Sheet1!L1276)</f>
        <v/>
      </c>
      <c r="I1276" s="45">
        <f>Sheet1!I1276</f>
        <v/>
      </c>
      <c r="J1276" s="5">
        <f>Sheet1!M1276 &amp; "," &amp; TEXT(Sheet1!N1276,"dd/mm/yy")</f>
        <v/>
      </c>
      <c r="K1276" s="5" t="inlineStr">
        <is>
          <t>PRINTED</t>
        </is>
      </c>
      <c r="L1276" t="inlineStr">
        <is>
          <t>25/03/2026</t>
        </is>
      </c>
      <c r="M1276" s="30" t="inlineStr">
        <is>
          <t>MANISH KATARIA, VICE CONSUL</t>
        </is>
      </c>
      <c r="N1276" s="30" t="n"/>
    </row>
    <row r="1277">
      <c r="A1277" s="4">
        <f>Sheet1!A1277 &amp; "/" &amp; "2025"</f>
        <v/>
      </c>
      <c r="B1277" s="5">
        <f>Sheet1!E1277</f>
        <v/>
      </c>
      <c r="C1277" s="6">
        <f>UPPER(Sheet1!B1277)</f>
        <v/>
      </c>
      <c r="D1277" s="7">
        <f>IF(Sheet1!F1277="F","FEMALE","MALE")</f>
        <v/>
      </c>
      <c r="E1277" s="6">
        <f>UPPER(Sheet1!G1277)</f>
        <v/>
      </c>
      <c r="F1277" s="6">
        <f>UPPER(Sheet1!H1277)</f>
        <v/>
      </c>
      <c r="G1277" s="5">
        <f>TEXT(Sheet1!C1277,"dd/mm/yyyy") &amp; "," &amp; Sheet1!D1277</f>
        <v/>
      </c>
      <c r="H1277" s="38">
        <f>UPPER(Sheet1!J1277 &amp; "," &amp; Sheet1!K1277 &amp; "," &amp; Sheet1!L1277)</f>
        <v/>
      </c>
      <c r="I1277" s="45">
        <f>Sheet1!I1277</f>
        <v/>
      </c>
      <c r="J1277" s="5">
        <f>Sheet1!M1277 &amp; "," &amp; TEXT(Sheet1!N1277,"dd/mm/yy")</f>
        <v/>
      </c>
      <c r="K1277" s="5" t="inlineStr">
        <is>
          <t>PRINTED</t>
        </is>
      </c>
      <c r="L1277" t="inlineStr">
        <is>
          <t>25/03/2026</t>
        </is>
      </c>
      <c r="M1277" s="30" t="inlineStr">
        <is>
          <t>MANISH KATARIA, VICE CONSUL</t>
        </is>
      </c>
      <c r="N1277" s="30" t="n"/>
    </row>
    <row r="1278">
      <c r="A1278" s="4">
        <f>Sheet1!A1278 &amp; "/" &amp; "2025"</f>
        <v/>
      </c>
      <c r="B1278" s="5">
        <f>Sheet1!E1278</f>
        <v/>
      </c>
      <c r="C1278" s="6">
        <f>UPPER(Sheet1!B1278)</f>
        <v/>
      </c>
      <c r="D1278" s="7">
        <f>IF(Sheet1!F1278="F","FEMALE","MALE")</f>
        <v/>
      </c>
      <c r="E1278" s="6">
        <f>UPPER(Sheet1!G1278)</f>
        <v/>
      </c>
      <c r="F1278" s="6">
        <f>UPPER(Sheet1!H1278)</f>
        <v/>
      </c>
      <c r="G1278" s="5">
        <f>TEXT(Sheet1!C1278,"dd/mm/yyyy") &amp; "," &amp; Sheet1!D1278</f>
        <v/>
      </c>
      <c r="H1278" s="38">
        <f>UPPER(Sheet1!J1278 &amp; "," &amp; Sheet1!K1278 &amp; "," &amp; Sheet1!L1278)</f>
        <v/>
      </c>
      <c r="I1278" s="45">
        <f>Sheet1!I1278</f>
        <v/>
      </c>
      <c r="J1278" s="5">
        <f>Sheet1!M1278 &amp; "," &amp; TEXT(Sheet1!N1278,"dd/mm/yy")</f>
        <v/>
      </c>
      <c r="K1278" s="5" t="inlineStr">
        <is>
          <t>PRINTED</t>
        </is>
      </c>
      <c r="L1278" t="inlineStr">
        <is>
          <t>25/03/2026</t>
        </is>
      </c>
      <c r="M1278" s="30" t="inlineStr">
        <is>
          <t>MANISH KATARIA, VICE CONSUL</t>
        </is>
      </c>
      <c r="N1278" s="30" t="n"/>
    </row>
    <row r="1279">
      <c r="A1279" s="4">
        <f>Sheet1!A1279 &amp; "/" &amp; "2025"</f>
        <v/>
      </c>
      <c r="B1279" s="5">
        <f>Sheet1!E1279</f>
        <v/>
      </c>
      <c r="C1279" s="6">
        <f>UPPER(Sheet1!B1279)</f>
        <v/>
      </c>
      <c r="D1279" s="7">
        <f>IF(Sheet1!F1279="F","FEMALE","MALE")</f>
        <v/>
      </c>
      <c r="E1279" s="6">
        <f>UPPER(Sheet1!G1279)</f>
        <v/>
      </c>
      <c r="F1279" s="6">
        <f>UPPER(Sheet1!H1279)</f>
        <v/>
      </c>
      <c r="G1279" s="5">
        <f>TEXT(Sheet1!C1279,"dd/mm/yyyy") &amp; "," &amp; Sheet1!D1279</f>
        <v/>
      </c>
      <c r="H1279" s="38">
        <f>UPPER(Sheet1!J1279 &amp; "," &amp; Sheet1!K1279 &amp; "," &amp; Sheet1!L1279)</f>
        <v/>
      </c>
      <c r="I1279" s="45">
        <f>Sheet1!I1279</f>
        <v/>
      </c>
      <c r="J1279" s="5">
        <f>Sheet1!M1279 &amp; "," &amp; TEXT(Sheet1!N1279,"dd/mm/yy")</f>
        <v/>
      </c>
      <c r="K1279" s="5" t="inlineStr">
        <is>
          <t>PRINTED</t>
        </is>
      </c>
      <c r="L1279" t="inlineStr">
        <is>
          <t>25/03/2026</t>
        </is>
      </c>
      <c r="M1279" s="30" t="inlineStr">
        <is>
          <t>MANISH KATARIA, VICE CONSUL</t>
        </is>
      </c>
      <c r="N1279" s="30" t="n"/>
    </row>
    <row r="1280">
      <c r="A1280" s="4">
        <f>Sheet1!A1280 &amp; "/" &amp; "2025"</f>
        <v/>
      </c>
      <c r="B1280" s="5">
        <f>Sheet1!E1280</f>
        <v/>
      </c>
      <c r="C1280" s="6">
        <f>UPPER(Sheet1!B1280)</f>
        <v/>
      </c>
      <c r="D1280" s="7">
        <f>IF(Sheet1!F1280="F","FEMALE","MALE")</f>
        <v/>
      </c>
      <c r="E1280" s="6">
        <f>UPPER(Sheet1!G1280)</f>
        <v/>
      </c>
      <c r="F1280" s="6">
        <f>UPPER(Sheet1!H1280)</f>
        <v/>
      </c>
      <c r="G1280" s="5">
        <f>TEXT(Sheet1!C1280,"dd/mm/yyyy") &amp; "," &amp; Sheet1!D1280</f>
        <v/>
      </c>
      <c r="H1280" s="38">
        <f>UPPER(Sheet1!J1280 &amp; "," &amp; Sheet1!K1280 &amp; "," &amp; Sheet1!L1280)</f>
        <v/>
      </c>
      <c r="I1280" s="45">
        <f>Sheet1!I1280</f>
        <v/>
      </c>
      <c r="J1280" s="5">
        <f>Sheet1!M1280 &amp; "," &amp; TEXT(Sheet1!N1280,"dd/mm/yy")</f>
        <v/>
      </c>
      <c r="K1280" s="5" t="inlineStr">
        <is>
          <t>PRINTED</t>
        </is>
      </c>
      <c r="L1280" t="inlineStr">
        <is>
          <t>25/03/2026</t>
        </is>
      </c>
      <c r="M1280" s="30" t="inlineStr">
        <is>
          <t>MANISH KATARIA, VICE CONSUL</t>
        </is>
      </c>
      <c r="N1280" s="30" t="n"/>
    </row>
    <row r="1281">
      <c r="A1281" s="4">
        <f>Sheet1!A1281 &amp; "/" &amp; "2025"</f>
        <v/>
      </c>
      <c r="B1281" s="5">
        <f>Sheet1!E1281</f>
        <v/>
      </c>
      <c r="C1281" s="6">
        <f>UPPER(Sheet1!B1281)</f>
        <v/>
      </c>
      <c r="D1281" s="7">
        <f>IF(Sheet1!F1281="F","FEMALE","MALE")</f>
        <v/>
      </c>
      <c r="E1281" s="6">
        <f>UPPER(Sheet1!G1281)</f>
        <v/>
      </c>
      <c r="F1281" s="6">
        <f>UPPER(Sheet1!H1281)</f>
        <v/>
      </c>
      <c r="G1281" s="5">
        <f>TEXT(Sheet1!C1281,"dd/mm/yyyy") &amp; "," &amp; Sheet1!D1281</f>
        <v/>
      </c>
      <c r="H1281" s="38">
        <f>UPPER(Sheet1!J1281 &amp; "," &amp; Sheet1!K1281 &amp; "," &amp; Sheet1!L1281)</f>
        <v/>
      </c>
      <c r="I1281" s="45">
        <f>Sheet1!I1281</f>
        <v/>
      </c>
      <c r="J1281" s="5">
        <f>Sheet1!M1281 &amp; "," &amp; TEXT(Sheet1!N1281,"dd/mm/yy")</f>
        <v/>
      </c>
      <c r="K1281" s="5" t="inlineStr">
        <is>
          <t>PRINTED</t>
        </is>
      </c>
      <c r="L1281" t="inlineStr">
        <is>
          <t>25/03/2026</t>
        </is>
      </c>
      <c r="M1281" s="30" t="inlineStr">
        <is>
          <t>MANISH KATARIA, VICE CONSUL</t>
        </is>
      </c>
      <c r="N1281" s="30" t="n"/>
    </row>
    <row r="1282">
      <c r="A1282" s="4">
        <f>Sheet1!A1282 &amp; "/" &amp; "2025"</f>
        <v/>
      </c>
      <c r="B1282" s="5">
        <f>Sheet1!E1282</f>
        <v/>
      </c>
      <c r="C1282" s="6">
        <f>UPPER(Sheet1!B1282)</f>
        <v/>
      </c>
      <c r="D1282" s="7">
        <f>IF(Sheet1!F1282="F","FEMALE","MALE")</f>
        <v/>
      </c>
      <c r="E1282" s="6">
        <f>UPPER(Sheet1!G1282)</f>
        <v/>
      </c>
      <c r="F1282" s="6">
        <f>UPPER(Sheet1!H1282)</f>
        <v/>
      </c>
      <c r="G1282" s="5">
        <f>TEXT(Sheet1!C1282,"dd/mm/yyyy") &amp; "," &amp; Sheet1!D1282</f>
        <v/>
      </c>
      <c r="H1282" s="38">
        <f>UPPER(Sheet1!J1282 &amp; "," &amp; Sheet1!K1282 &amp; "," &amp; Sheet1!L1282)</f>
        <v/>
      </c>
      <c r="I1282" s="45">
        <f>Sheet1!I1282</f>
        <v/>
      </c>
      <c r="J1282" s="5">
        <f>Sheet1!M1282 &amp; "," &amp; TEXT(Sheet1!N1282,"dd/mm/yy")</f>
        <v/>
      </c>
      <c r="K1282" s="5" t="inlineStr">
        <is>
          <t>PRINTED</t>
        </is>
      </c>
      <c r="L1282" t="inlineStr">
        <is>
          <t>25/03/2026</t>
        </is>
      </c>
      <c r="M1282" s="30" t="inlineStr">
        <is>
          <t>MANISH KATARIA, VICE CONSUL</t>
        </is>
      </c>
      <c r="N1282" s="30" t="n"/>
    </row>
    <row r="1283">
      <c r="A1283" s="4">
        <f>Sheet1!A1283 &amp; "/" &amp; "2025"</f>
        <v/>
      </c>
      <c r="B1283" s="5">
        <f>Sheet1!E1283</f>
        <v/>
      </c>
      <c r="C1283" s="6">
        <f>UPPER(Sheet1!B1283)</f>
        <v/>
      </c>
      <c r="D1283" s="7">
        <f>IF(Sheet1!F1283="F","FEMALE","MALE")</f>
        <v/>
      </c>
      <c r="E1283" s="6">
        <f>UPPER(Sheet1!G1283)</f>
        <v/>
      </c>
      <c r="F1283" s="6">
        <f>UPPER(Sheet1!H1283)</f>
        <v/>
      </c>
      <c r="G1283" s="5">
        <f>TEXT(Sheet1!C1283,"dd/mm/yyyy") &amp; "," &amp; Sheet1!D1283</f>
        <v/>
      </c>
      <c r="H1283" s="38">
        <f>UPPER(Sheet1!J1283 &amp; "," &amp; Sheet1!K1283 &amp; "," &amp; Sheet1!L1283)</f>
        <v/>
      </c>
      <c r="I1283" s="45">
        <f>Sheet1!I1283</f>
        <v/>
      </c>
      <c r="J1283" s="5">
        <f>Sheet1!M1283 &amp; "," &amp; TEXT(Sheet1!N1283,"dd/mm/yy")</f>
        <v/>
      </c>
      <c r="K1283" s="5" t="inlineStr">
        <is>
          <t>PRINTED</t>
        </is>
      </c>
      <c r="L1283" t="inlineStr">
        <is>
          <t>25/03/2026</t>
        </is>
      </c>
      <c r="M1283" s="30" t="inlineStr">
        <is>
          <t>MANISH KATARIA, VICE CONSUL</t>
        </is>
      </c>
      <c r="N1283" s="30" t="n"/>
    </row>
    <row r="1284">
      <c r="A1284" s="4">
        <f>Sheet1!A1284 &amp; "/" &amp; "2025"</f>
        <v/>
      </c>
      <c r="B1284" s="5">
        <f>Sheet1!E1284</f>
        <v/>
      </c>
      <c r="C1284" s="6">
        <f>UPPER(Sheet1!B1284)</f>
        <v/>
      </c>
      <c r="D1284" s="7">
        <f>IF(Sheet1!F1284="F","FEMALE","MALE")</f>
        <v/>
      </c>
      <c r="E1284" s="6">
        <f>UPPER(Sheet1!G1284)</f>
        <v/>
      </c>
      <c r="F1284" s="6">
        <f>UPPER(Sheet1!H1284)</f>
        <v/>
      </c>
      <c r="G1284" s="5">
        <f>TEXT(Sheet1!C1284,"dd/mm/yyyy") &amp; "," &amp; Sheet1!D1284</f>
        <v/>
      </c>
      <c r="H1284" s="38">
        <f>UPPER(Sheet1!J1284 &amp; "," &amp; Sheet1!K1284 &amp; "," &amp; Sheet1!L1284)</f>
        <v/>
      </c>
      <c r="I1284" s="45">
        <f>Sheet1!I1284</f>
        <v/>
      </c>
      <c r="J1284" s="5">
        <f>Sheet1!M1284 &amp; "," &amp; TEXT(Sheet1!N1284,"dd/mm/yy")</f>
        <v/>
      </c>
      <c r="K1284" s="5" t="inlineStr">
        <is>
          <t>PRINTED</t>
        </is>
      </c>
      <c r="L1284" t="inlineStr">
        <is>
          <t>25/03/2026</t>
        </is>
      </c>
      <c r="M1284" s="30" t="inlineStr">
        <is>
          <t>MANISH KATARIA, VICE CONSUL</t>
        </is>
      </c>
      <c r="N1284" s="30" t="n"/>
    </row>
    <row r="1285">
      <c r="A1285" s="4">
        <f>Sheet1!A1285 &amp; "/" &amp; "2025"</f>
        <v/>
      </c>
      <c r="B1285" s="5">
        <f>Sheet1!E1285</f>
        <v/>
      </c>
      <c r="C1285" s="6">
        <f>UPPER(Sheet1!B1285)</f>
        <v/>
      </c>
      <c r="D1285" s="7">
        <f>IF(Sheet1!F1285="F","FEMALE","MALE")</f>
        <v/>
      </c>
      <c r="E1285" s="6">
        <f>UPPER(Sheet1!G1285)</f>
        <v/>
      </c>
      <c r="F1285" s="6">
        <f>UPPER(Sheet1!H1285)</f>
        <v/>
      </c>
      <c r="G1285" s="5">
        <f>TEXT(Sheet1!C1285,"dd/mm/yyyy") &amp; "," &amp; Sheet1!D1285</f>
        <v/>
      </c>
      <c r="H1285" s="38">
        <f>UPPER(Sheet1!J1285 &amp; "," &amp; Sheet1!K1285 &amp; "," &amp; Sheet1!L1285)</f>
        <v/>
      </c>
      <c r="I1285" s="45">
        <f>Sheet1!I1285</f>
        <v/>
      </c>
      <c r="J1285" s="5">
        <f>Sheet1!M1285 &amp; "," &amp; TEXT(Sheet1!N1285,"dd/mm/yy")</f>
        <v/>
      </c>
      <c r="K1285" s="5" t="inlineStr">
        <is>
          <t>PRINTED</t>
        </is>
      </c>
      <c r="L1285" t="inlineStr">
        <is>
          <t>25/03/2026</t>
        </is>
      </c>
      <c r="M1285" s="30" t="inlineStr">
        <is>
          <t>MANISH KATARIA, VICE CONSUL</t>
        </is>
      </c>
      <c r="N1285" s="30" t="n"/>
    </row>
    <row r="1286">
      <c r="A1286" s="4">
        <f>Sheet1!A1286 &amp; "/" &amp; "2025"</f>
        <v/>
      </c>
      <c r="B1286" s="5">
        <f>Sheet1!E1286</f>
        <v/>
      </c>
      <c r="C1286" s="6">
        <f>UPPER(Sheet1!B1286)</f>
        <v/>
      </c>
      <c r="D1286" s="7">
        <f>IF(Sheet1!F1286="F","FEMALE","MALE")</f>
        <v/>
      </c>
      <c r="E1286" s="6">
        <f>UPPER(Sheet1!G1286)</f>
        <v/>
      </c>
      <c r="F1286" s="6">
        <f>UPPER(Sheet1!H1286)</f>
        <v/>
      </c>
      <c r="G1286" s="5">
        <f>TEXT(Sheet1!C1286,"dd/mm/yyyy") &amp; "," &amp; Sheet1!D1286</f>
        <v/>
      </c>
      <c r="H1286" s="38">
        <f>UPPER(Sheet1!J1286 &amp; "," &amp; Sheet1!K1286 &amp; "," &amp; Sheet1!L1286)</f>
        <v/>
      </c>
      <c r="I1286" s="45">
        <f>Sheet1!I1286</f>
        <v/>
      </c>
      <c r="J1286" s="5">
        <f>Sheet1!M1286 &amp; "," &amp; TEXT(Sheet1!N1286,"dd/mm/yy")</f>
        <v/>
      </c>
      <c r="K1286" s="5" t="inlineStr">
        <is>
          <t>PRINTED</t>
        </is>
      </c>
      <c r="L1286" t="inlineStr">
        <is>
          <t>25/03/2026</t>
        </is>
      </c>
      <c r="M1286" s="30" t="inlineStr">
        <is>
          <t>MANISH KATARIA, VICE CONSUL</t>
        </is>
      </c>
      <c r="N1286" s="30" t="n"/>
    </row>
    <row r="1287">
      <c r="A1287" s="4">
        <f>Sheet1!A1287 &amp; "/" &amp; "2025"</f>
        <v/>
      </c>
      <c r="B1287" s="5">
        <f>Sheet1!E1287</f>
        <v/>
      </c>
      <c r="C1287" s="6">
        <f>UPPER(Sheet1!B1287)</f>
        <v/>
      </c>
      <c r="D1287" s="7">
        <f>IF(Sheet1!F1287="F","FEMALE","MALE")</f>
        <v/>
      </c>
      <c r="E1287" s="6">
        <f>UPPER(Sheet1!G1287)</f>
        <v/>
      </c>
      <c r="F1287" s="6">
        <f>UPPER(Sheet1!H1287)</f>
        <v/>
      </c>
      <c r="G1287" s="5">
        <f>TEXT(Sheet1!C1287,"dd/mm/yyyy") &amp; "," &amp; Sheet1!D1287</f>
        <v/>
      </c>
      <c r="H1287" s="38">
        <f>UPPER(Sheet1!J1287 &amp; "," &amp; Sheet1!K1287 &amp; "," &amp; Sheet1!L1287)</f>
        <v/>
      </c>
      <c r="I1287" s="45">
        <f>Sheet1!I1287</f>
        <v/>
      </c>
      <c r="J1287" s="5">
        <f>Sheet1!M1287 &amp; "," &amp; TEXT(Sheet1!N1287,"dd/mm/yy")</f>
        <v/>
      </c>
      <c r="K1287" s="5" t="inlineStr">
        <is>
          <t>PRINTED</t>
        </is>
      </c>
      <c r="L1287" t="inlineStr">
        <is>
          <t>25/03/2026</t>
        </is>
      </c>
      <c r="M1287" s="30" t="inlineStr">
        <is>
          <t>MANISH KATARIA, VICE CONSUL</t>
        </is>
      </c>
      <c r="N1287" s="30" t="n"/>
    </row>
    <row r="1288">
      <c r="A1288" s="4">
        <f>Sheet1!A1288 &amp; "/" &amp; "2025"</f>
        <v/>
      </c>
      <c r="B1288" s="5">
        <f>Sheet1!E1288</f>
        <v/>
      </c>
      <c r="C1288" s="6">
        <f>UPPER(Sheet1!B1288)</f>
        <v/>
      </c>
      <c r="D1288" s="7">
        <f>IF(Sheet1!F1288="F","FEMALE","MALE")</f>
        <v/>
      </c>
      <c r="E1288" s="6">
        <f>UPPER(Sheet1!G1288)</f>
        <v/>
      </c>
      <c r="F1288" s="6">
        <f>UPPER(Sheet1!H1288)</f>
        <v/>
      </c>
      <c r="G1288" s="5">
        <f>TEXT(Sheet1!C1288,"dd/mm/yyyy") &amp; "," &amp; Sheet1!D1288</f>
        <v/>
      </c>
      <c r="H1288" s="38">
        <f>UPPER(Sheet1!J1288 &amp; "," &amp; Sheet1!K1288 &amp; "," &amp; Sheet1!L1288)</f>
        <v/>
      </c>
      <c r="I1288" s="45">
        <f>Sheet1!I1288</f>
        <v/>
      </c>
      <c r="J1288" s="5">
        <f>Sheet1!M1288 &amp; "," &amp; TEXT(Sheet1!N1288,"dd/mm/yy")</f>
        <v/>
      </c>
      <c r="K1288" s="5" t="inlineStr">
        <is>
          <t>PRINTED</t>
        </is>
      </c>
      <c r="L1288" t="inlineStr">
        <is>
          <t>25/03/2026</t>
        </is>
      </c>
      <c r="M1288" s="30" t="inlineStr">
        <is>
          <t>MANISH KATARIA, VICE CONSUL</t>
        </is>
      </c>
      <c r="N1288" s="30" t="n"/>
    </row>
    <row r="1289">
      <c r="A1289" s="4">
        <f>Sheet1!A1289 &amp; "/" &amp; "2025"</f>
        <v/>
      </c>
      <c r="B1289" s="5">
        <f>Sheet1!E1289</f>
        <v/>
      </c>
      <c r="C1289" s="6">
        <f>UPPER(Sheet1!B1289)</f>
        <v/>
      </c>
      <c r="D1289" s="7">
        <f>IF(Sheet1!F1289="F","FEMALE","MALE")</f>
        <v/>
      </c>
      <c r="E1289" s="6">
        <f>UPPER(Sheet1!G1289)</f>
        <v/>
      </c>
      <c r="F1289" s="6">
        <f>UPPER(Sheet1!H1289)</f>
        <v/>
      </c>
      <c r="G1289" s="5">
        <f>TEXT(Sheet1!C1289,"dd/mm/yyyy") &amp; "," &amp; Sheet1!D1289</f>
        <v/>
      </c>
      <c r="H1289" s="38">
        <f>UPPER(Sheet1!J1289 &amp; "," &amp; Sheet1!K1289 &amp; "," &amp; Sheet1!L1289)</f>
        <v/>
      </c>
      <c r="I1289" s="45">
        <f>Sheet1!I1289</f>
        <v/>
      </c>
      <c r="J1289" s="5">
        <f>Sheet1!M1289 &amp; "," &amp; TEXT(Sheet1!N1289,"dd/mm/yy")</f>
        <v/>
      </c>
      <c r="K1289" s="5" t="inlineStr">
        <is>
          <t>PRINTED</t>
        </is>
      </c>
      <c r="L1289" t="inlineStr">
        <is>
          <t>25/03/2026</t>
        </is>
      </c>
      <c r="M1289" s="30" t="inlineStr">
        <is>
          <t>MANISH KATARIA, VICE CONSUL</t>
        </is>
      </c>
      <c r="N1289" s="30" t="n"/>
    </row>
    <row r="1290">
      <c r="A1290" s="4">
        <f>Sheet1!A1290 &amp; "/" &amp; "2025"</f>
        <v/>
      </c>
      <c r="B1290" s="5">
        <f>Sheet1!E1290</f>
        <v/>
      </c>
      <c r="C1290" s="6">
        <f>UPPER(Sheet1!B1290)</f>
        <v/>
      </c>
      <c r="D1290" s="7">
        <f>IF(Sheet1!F1290="F","FEMALE","MALE")</f>
        <v/>
      </c>
      <c r="E1290" s="6">
        <f>UPPER(Sheet1!G1290)</f>
        <v/>
      </c>
      <c r="F1290" s="6">
        <f>UPPER(Sheet1!H1290)</f>
        <v/>
      </c>
      <c r="G1290" s="5">
        <f>TEXT(Sheet1!C1290,"dd/mm/yyyy") &amp; "," &amp; Sheet1!D1290</f>
        <v/>
      </c>
      <c r="H1290" s="38">
        <f>UPPER(Sheet1!J1290 &amp; "," &amp; Sheet1!K1290 &amp; "," &amp; Sheet1!L1290)</f>
        <v/>
      </c>
      <c r="I1290" s="45">
        <f>Sheet1!I1290</f>
        <v/>
      </c>
      <c r="J1290" s="5">
        <f>Sheet1!M1290 &amp; "," &amp; TEXT(Sheet1!N1290,"dd/mm/yy")</f>
        <v/>
      </c>
      <c r="K1290" s="5" t="inlineStr">
        <is>
          <t>PRINTED</t>
        </is>
      </c>
      <c r="L1290" t="inlineStr">
        <is>
          <t>25/03/2026</t>
        </is>
      </c>
      <c r="M1290" s="30" t="inlineStr">
        <is>
          <t>MANISH KATARIA, VICE CONSUL</t>
        </is>
      </c>
      <c r="N1290" s="30" t="n"/>
    </row>
    <row r="1291">
      <c r="A1291" s="4">
        <f>Sheet1!A1291 &amp; "/" &amp; "2025"</f>
        <v/>
      </c>
      <c r="B1291" s="5">
        <f>Sheet1!E1291</f>
        <v/>
      </c>
      <c r="C1291" s="6">
        <f>UPPER(Sheet1!B1291)</f>
        <v/>
      </c>
      <c r="D1291" s="7">
        <f>IF(Sheet1!F1291="F","FEMALE","MALE")</f>
        <v/>
      </c>
      <c r="E1291" s="6">
        <f>UPPER(Sheet1!G1291)</f>
        <v/>
      </c>
      <c r="F1291" s="6">
        <f>UPPER(Sheet1!H1291)</f>
        <v/>
      </c>
      <c r="G1291" s="5">
        <f>TEXT(Sheet1!C1291,"dd/mm/yyyy") &amp; "," &amp; Sheet1!D1291</f>
        <v/>
      </c>
      <c r="H1291" s="38">
        <f>UPPER(Sheet1!J1291 &amp; "," &amp; Sheet1!K1291 &amp; "," &amp; Sheet1!L1291)</f>
        <v/>
      </c>
      <c r="I1291" s="45">
        <f>Sheet1!I1291</f>
        <v/>
      </c>
      <c r="J1291" s="5">
        <f>Sheet1!M1291 &amp; "," &amp; TEXT(Sheet1!N1291,"dd/mm/yy")</f>
        <v/>
      </c>
      <c r="K1291" s="5" t="inlineStr">
        <is>
          <t>PRINTED</t>
        </is>
      </c>
      <c r="L1291" t="inlineStr">
        <is>
          <t>25/03/2026</t>
        </is>
      </c>
      <c r="M1291" s="30" t="inlineStr">
        <is>
          <t>MANISH KATARIA, VICE CONSUL</t>
        </is>
      </c>
      <c r="N1291" s="30" t="n"/>
    </row>
    <row r="1292">
      <c r="A1292" s="4">
        <f>Sheet1!A1292 &amp; "/" &amp; "2025"</f>
        <v/>
      </c>
      <c r="B1292" s="5">
        <f>Sheet1!E1292</f>
        <v/>
      </c>
      <c r="C1292" s="6">
        <f>UPPER(Sheet1!B1292)</f>
        <v/>
      </c>
      <c r="D1292" s="7">
        <f>IF(Sheet1!F1292="F","FEMALE","MALE")</f>
        <v/>
      </c>
      <c r="E1292" s="6">
        <f>UPPER(Sheet1!G1292)</f>
        <v/>
      </c>
      <c r="F1292" s="6">
        <f>UPPER(Sheet1!H1292)</f>
        <v/>
      </c>
      <c r="G1292" s="5">
        <f>TEXT(Sheet1!C1292,"dd/mm/yyyy") &amp; "," &amp; Sheet1!D1292</f>
        <v/>
      </c>
      <c r="H1292" s="38">
        <f>UPPER(Sheet1!J1292 &amp; "," &amp; Sheet1!K1292 &amp; "," &amp; Sheet1!L1292)</f>
        <v/>
      </c>
      <c r="I1292" s="45">
        <f>Sheet1!I1292</f>
        <v/>
      </c>
      <c r="J1292" s="5">
        <f>Sheet1!M1292 &amp; "," &amp; TEXT(Sheet1!N1292,"dd/mm/yy")</f>
        <v/>
      </c>
      <c r="K1292" s="5" t="inlineStr">
        <is>
          <t>PRINTED</t>
        </is>
      </c>
      <c r="L1292" t="inlineStr">
        <is>
          <t>25/03/2026</t>
        </is>
      </c>
      <c r="M1292" s="30" t="inlineStr">
        <is>
          <t>MANISH KATARIA, VICE CONSUL</t>
        </is>
      </c>
      <c r="N1292" s="30" t="n"/>
    </row>
    <row r="1293">
      <c r="A1293" s="4">
        <f>Sheet1!A1293 &amp; "/" &amp; "2025"</f>
        <v/>
      </c>
      <c r="B1293" s="5">
        <f>Sheet1!E1293</f>
        <v/>
      </c>
      <c r="C1293" s="6">
        <f>UPPER(Sheet1!B1293)</f>
        <v/>
      </c>
      <c r="D1293" s="7">
        <f>IF(Sheet1!F1293="F","FEMALE","MALE")</f>
        <v/>
      </c>
      <c r="E1293" s="6">
        <f>UPPER(Sheet1!G1293)</f>
        <v/>
      </c>
      <c r="F1293" s="6">
        <f>UPPER(Sheet1!H1293)</f>
        <v/>
      </c>
      <c r="G1293" s="5">
        <f>TEXT(Sheet1!C1293,"dd/mm/yyyy") &amp; "," &amp; Sheet1!D1293</f>
        <v/>
      </c>
      <c r="H1293" s="38">
        <f>UPPER(Sheet1!J1293 &amp; "," &amp; Sheet1!K1293 &amp; "," &amp; Sheet1!L1293)</f>
        <v/>
      </c>
      <c r="I1293" s="45">
        <f>Sheet1!I1293</f>
        <v/>
      </c>
      <c r="J1293" s="5">
        <f>Sheet1!M1293 &amp; "," &amp; TEXT(Sheet1!N1293,"dd/mm/yy")</f>
        <v/>
      </c>
      <c r="K1293" s="5" t="inlineStr">
        <is>
          <t>PRINTED</t>
        </is>
      </c>
      <c r="L1293" t="inlineStr">
        <is>
          <t>25/03/2026</t>
        </is>
      </c>
      <c r="M1293" s="30" t="inlineStr">
        <is>
          <t>MANISH KATARIA, VICE CONSUL</t>
        </is>
      </c>
      <c r="N1293" s="30" t="n"/>
    </row>
    <row r="1294">
      <c r="A1294" s="4">
        <f>Sheet1!A1294 &amp; "/" &amp; "2025"</f>
        <v/>
      </c>
      <c r="B1294" s="5">
        <f>Sheet1!E1294</f>
        <v/>
      </c>
      <c r="C1294" s="6">
        <f>UPPER(Sheet1!B1294)</f>
        <v/>
      </c>
      <c r="D1294" s="7">
        <f>IF(Sheet1!F1294="F","FEMALE","MALE")</f>
        <v/>
      </c>
      <c r="E1294" s="6">
        <f>UPPER(Sheet1!G1294)</f>
        <v/>
      </c>
      <c r="F1294" s="6">
        <f>UPPER(Sheet1!H1294)</f>
        <v/>
      </c>
      <c r="G1294" s="5">
        <f>TEXT(Sheet1!C1294,"dd/mm/yyyy") &amp; "," &amp; Sheet1!D1294</f>
        <v/>
      </c>
      <c r="H1294" s="38">
        <f>UPPER(Sheet1!J1294 &amp; "," &amp; Sheet1!K1294 &amp; "," &amp; Sheet1!L1294)</f>
        <v/>
      </c>
      <c r="I1294" s="45">
        <f>Sheet1!I1294</f>
        <v/>
      </c>
      <c r="J1294" s="5">
        <f>Sheet1!M1294 &amp; "," &amp; TEXT(Sheet1!N1294,"dd/mm/yy")</f>
        <v/>
      </c>
      <c r="K1294" s="5" t="inlineStr">
        <is>
          <t>PRINTED</t>
        </is>
      </c>
      <c r="L1294" t="inlineStr">
        <is>
          <t>25/03/2026</t>
        </is>
      </c>
      <c r="M1294" s="30" t="inlineStr">
        <is>
          <t>MANISH KATARIA, VICE CONSUL</t>
        </is>
      </c>
      <c r="N1294" s="30" t="n"/>
    </row>
    <row r="1295">
      <c r="A1295" s="4">
        <f>Sheet1!A1295 &amp; "/" &amp; "2025"</f>
        <v/>
      </c>
      <c r="B1295" s="5">
        <f>Sheet1!E1295</f>
        <v/>
      </c>
      <c r="C1295" s="6">
        <f>UPPER(Sheet1!B1295)</f>
        <v/>
      </c>
      <c r="D1295" s="7">
        <f>IF(Sheet1!F1295="F","FEMALE","MALE")</f>
        <v/>
      </c>
      <c r="E1295" s="6">
        <f>UPPER(Sheet1!G1295)</f>
        <v/>
      </c>
      <c r="F1295" s="6">
        <f>UPPER(Sheet1!H1295)</f>
        <v/>
      </c>
      <c r="G1295" s="5">
        <f>TEXT(Sheet1!C1295,"dd/mm/yyyy") &amp; "," &amp; Sheet1!D1295</f>
        <v/>
      </c>
      <c r="H1295" s="38">
        <f>UPPER(Sheet1!J1295 &amp; "," &amp; Sheet1!K1295 &amp; "," &amp; Sheet1!L1295)</f>
        <v/>
      </c>
      <c r="I1295" s="45">
        <f>Sheet1!I1295</f>
        <v/>
      </c>
      <c r="J1295" s="5">
        <f>Sheet1!M1295 &amp; "," &amp; TEXT(Sheet1!N1295,"dd/mm/yy")</f>
        <v/>
      </c>
      <c r="K1295" s="5" t="inlineStr">
        <is>
          <t>PRINTED</t>
        </is>
      </c>
      <c r="L1295" t="inlineStr">
        <is>
          <t>25/03/2026</t>
        </is>
      </c>
      <c r="M1295" s="30" t="inlineStr">
        <is>
          <t>MANISH KATARIA, VICE CONSUL</t>
        </is>
      </c>
      <c r="N1295" s="30" t="n"/>
    </row>
    <row r="1296">
      <c r="A1296" s="4">
        <f>Sheet1!A1296 &amp; "/" &amp; "2025"</f>
        <v/>
      </c>
      <c r="B1296" s="5">
        <f>Sheet1!E1296</f>
        <v/>
      </c>
      <c r="C1296" s="6">
        <f>UPPER(Sheet1!B1296)</f>
        <v/>
      </c>
      <c r="D1296" s="7">
        <f>IF(Sheet1!F1296="F","FEMALE","MALE")</f>
        <v/>
      </c>
      <c r="E1296" s="6">
        <f>UPPER(Sheet1!G1296)</f>
        <v/>
      </c>
      <c r="F1296" s="6">
        <f>UPPER(Sheet1!H1296)</f>
        <v/>
      </c>
      <c r="G1296" s="5">
        <f>TEXT(Sheet1!C1296,"dd/mm/yyyy") &amp; "," &amp; Sheet1!D1296</f>
        <v/>
      </c>
      <c r="H1296" s="38">
        <f>UPPER(Sheet1!J1296 &amp; "," &amp; Sheet1!K1296 &amp; "," &amp; Sheet1!L1296)</f>
        <v/>
      </c>
      <c r="I1296" s="45">
        <f>Sheet1!I1296</f>
        <v/>
      </c>
      <c r="J1296" s="5">
        <f>Sheet1!M1296 &amp; "," &amp; TEXT(Sheet1!N1296,"dd/mm/yy")</f>
        <v/>
      </c>
      <c r="K1296" s="5" t="inlineStr">
        <is>
          <t>PRINTED</t>
        </is>
      </c>
      <c r="L1296" t="inlineStr">
        <is>
          <t>25/03/2026</t>
        </is>
      </c>
      <c r="M1296" s="30" t="inlineStr">
        <is>
          <t>MANISH KATARIA, VICE CONSUL</t>
        </is>
      </c>
      <c r="N1296" s="30" t="n"/>
    </row>
    <row r="1297">
      <c r="A1297" s="4">
        <f>Sheet1!A1297 &amp; "/" &amp; "2025"</f>
        <v/>
      </c>
      <c r="B1297" s="5">
        <f>Sheet1!E1297</f>
        <v/>
      </c>
      <c r="C1297" s="6">
        <f>UPPER(Sheet1!B1297)</f>
        <v/>
      </c>
      <c r="D1297" s="7">
        <f>IF(Sheet1!F1297="F","FEMALE","MALE")</f>
        <v/>
      </c>
      <c r="E1297" s="6">
        <f>UPPER(Sheet1!G1297)</f>
        <v/>
      </c>
      <c r="F1297" s="6">
        <f>UPPER(Sheet1!H1297)</f>
        <v/>
      </c>
      <c r="G1297" s="5">
        <f>TEXT(Sheet1!C1297,"dd/mm/yyyy") &amp; "," &amp; Sheet1!D1297</f>
        <v/>
      </c>
      <c r="H1297" s="38">
        <f>UPPER(Sheet1!J1297 &amp; "," &amp; Sheet1!K1297 &amp; "," &amp; Sheet1!L1297)</f>
        <v/>
      </c>
      <c r="I1297" s="45">
        <f>Sheet1!I1297</f>
        <v/>
      </c>
      <c r="J1297" s="5">
        <f>Sheet1!M1297 &amp; "," &amp; TEXT(Sheet1!N1297,"dd/mm/yy")</f>
        <v/>
      </c>
      <c r="K1297" s="5" t="inlineStr">
        <is>
          <t>PRINTED</t>
        </is>
      </c>
      <c r="L1297" t="inlineStr">
        <is>
          <t>25/03/2026</t>
        </is>
      </c>
      <c r="M1297" s="30" t="inlineStr">
        <is>
          <t>MANISH KATARIA, VICE CONSUL</t>
        </is>
      </c>
      <c r="N1297" s="30" t="n"/>
    </row>
    <row r="1298">
      <c r="A1298" s="4">
        <f>Sheet1!A1298 &amp; "/" &amp; "2025"</f>
        <v/>
      </c>
      <c r="B1298" s="5">
        <f>Sheet1!E1298</f>
        <v/>
      </c>
      <c r="C1298" s="6">
        <f>UPPER(Sheet1!B1298)</f>
        <v/>
      </c>
      <c r="D1298" s="7">
        <f>IF(Sheet1!F1298="F","FEMALE","MALE")</f>
        <v/>
      </c>
      <c r="E1298" s="6">
        <f>UPPER(Sheet1!G1298)</f>
        <v/>
      </c>
      <c r="F1298" s="6">
        <f>UPPER(Sheet1!H1298)</f>
        <v/>
      </c>
      <c r="G1298" s="5">
        <f>TEXT(Sheet1!C1298,"dd/mm/yyyy") &amp; "," &amp; Sheet1!D1298</f>
        <v/>
      </c>
      <c r="H1298" s="38">
        <f>UPPER(Sheet1!J1298 &amp; "," &amp; Sheet1!K1298 &amp; "," &amp; Sheet1!L1298)</f>
        <v/>
      </c>
      <c r="I1298" s="45">
        <f>Sheet1!I1298</f>
        <v/>
      </c>
      <c r="J1298" s="5">
        <f>Sheet1!M1298 &amp; "," &amp; TEXT(Sheet1!N1298,"dd/mm/yy")</f>
        <v/>
      </c>
      <c r="K1298" s="5" t="inlineStr">
        <is>
          <t>PRINTED</t>
        </is>
      </c>
      <c r="L1298" t="inlineStr">
        <is>
          <t>25/03/2026</t>
        </is>
      </c>
      <c r="M1298" s="30" t="inlineStr">
        <is>
          <t>MANISH KATARIA, VICE CONSUL</t>
        </is>
      </c>
      <c r="N1298" s="30" t="n"/>
    </row>
    <row r="1299">
      <c r="A1299" s="4">
        <f>Sheet1!A1299 &amp; "/" &amp; "2025"</f>
        <v/>
      </c>
      <c r="B1299" s="5">
        <f>Sheet1!E1299</f>
        <v/>
      </c>
      <c r="C1299" s="6">
        <f>UPPER(Sheet1!B1299)</f>
        <v/>
      </c>
      <c r="D1299" s="7">
        <f>IF(Sheet1!F1299="F","FEMALE","MALE")</f>
        <v/>
      </c>
      <c r="E1299" s="6">
        <f>UPPER(Sheet1!G1299)</f>
        <v/>
      </c>
      <c r="F1299" s="6">
        <f>UPPER(Sheet1!H1299)</f>
        <v/>
      </c>
      <c r="G1299" s="5">
        <f>TEXT(Sheet1!C1299,"dd/mm/yyyy") &amp; "," &amp; Sheet1!D1299</f>
        <v/>
      </c>
      <c r="H1299" s="38">
        <f>UPPER(Sheet1!J1299 &amp; "," &amp; Sheet1!K1299 &amp; "," &amp; Sheet1!L1299)</f>
        <v/>
      </c>
      <c r="I1299" s="45">
        <f>Sheet1!I1299</f>
        <v/>
      </c>
      <c r="J1299" s="5">
        <f>Sheet1!M1299 &amp; "," &amp; TEXT(Sheet1!N1299,"dd/mm/yy")</f>
        <v/>
      </c>
      <c r="K1299" s="5" t="inlineStr">
        <is>
          <t>PRINTED</t>
        </is>
      </c>
      <c r="L1299" t="inlineStr">
        <is>
          <t>25/03/2026</t>
        </is>
      </c>
      <c r="M1299" s="30" t="inlineStr">
        <is>
          <t>MANISH KATARIA, VICE CONSUL</t>
        </is>
      </c>
      <c r="N1299" s="30" t="n"/>
    </row>
    <row r="1300">
      <c r="A1300" s="4">
        <f>Sheet1!A1300 &amp; "/" &amp; "2025"</f>
        <v/>
      </c>
      <c r="B1300" s="5">
        <f>Sheet1!E1300</f>
        <v/>
      </c>
      <c r="C1300" s="6">
        <f>UPPER(Sheet1!B1300)</f>
        <v/>
      </c>
      <c r="D1300" s="7">
        <f>IF(Sheet1!F1300="F","FEMALE","MALE")</f>
        <v/>
      </c>
      <c r="E1300" s="6">
        <f>UPPER(Sheet1!G1300)</f>
        <v/>
      </c>
      <c r="F1300" s="6">
        <f>UPPER(Sheet1!H1300)</f>
        <v/>
      </c>
      <c r="G1300" s="5">
        <f>TEXT(Sheet1!C1300,"dd/mm/yyyy") &amp; "," &amp; Sheet1!D1300</f>
        <v/>
      </c>
      <c r="H1300" s="38">
        <f>UPPER(Sheet1!J1300 &amp; "," &amp; Sheet1!K1300 &amp; "," &amp; Sheet1!L1300)</f>
        <v/>
      </c>
      <c r="I1300" s="45">
        <f>Sheet1!I1300</f>
        <v/>
      </c>
      <c r="J1300" s="5">
        <f>Sheet1!M1300 &amp; "," &amp; TEXT(Sheet1!N1300,"dd/mm/yy")</f>
        <v/>
      </c>
      <c r="K1300" s="5" t="inlineStr">
        <is>
          <t>PRINTED</t>
        </is>
      </c>
      <c r="L1300" t="inlineStr">
        <is>
          <t>25/03/2026</t>
        </is>
      </c>
      <c r="M1300" s="30" t="inlineStr">
        <is>
          <t>MANISH KATARIA, VICE CONSUL</t>
        </is>
      </c>
      <c r="N1300" s="30" t="n"/>
    </row>
    <row r="1301">
      <c r="A1301" s="4">
        <f>Sheet1!A1301 &amp; "/" &amp; "2025"</f>
        <v/>
      </c>
      <c r="B1301" s="5">
        <f>Sheet1!E1301</f>
        <v/>
      </c>
      <c r="C1301" s="6">
        <f>UPPER(Sheet1!B1301)</f>
        <v/>
      </c>
      <c r="D1301" s="7">
        <f>IF(Sheet1!F1301="F","FEMALE","MALE")</f>
        <v/>
      </c>
      <c r="E1301" s="6">
        <f>UPPER(Sheet1!G1301)</f>
        <v/>
      </c>
      <c r="F1301" s="6">
        <f>UPPER(Sheet1!H1301)</f>
        <v/>
      </c>
      <c r="G1301" s="5">
        <f>TEXT(Sheet1!C1301,"dd/mm/yyyy") &amp; "," &amp; Sheet1!D1301</f>
        <v/>
      </c>
      <c r="H1301" s="38">
        <f>UPPER(Sheet1!J1301 &amp; "," &amp; Sheet1!K1301 &amp; "," &amp; Sheet1!L1301)</f>
        <v/>
      </c>
      <c r="I1301" s="45">
        <f>Sheet1!I1301</f>
        <v/>
      </c>
      <c r="J1301" s="5">
        <f>Sheet1!M1301 &amp; "," &amp; TEXT(Sheet1!N1301,"dd/mm/yy")</f>
        <v/>
      </c>
      <c r="K1301" s="5" t="inlineStr">
        <is>
          <t>PRINTED</t>
        </is>
      </c>
      <c r="L1301" t="inlineStr">
        <is>
          <t>25/03/2026</t>
        </is>
      </c>
      <c r="M1301" s="30" t="inlineStr">
        <is>
          <t>MANISH KATARIA, VICE CONSUL</t>
        </is>
      </c>
      <c r="N1301" s="30" t="n"/>
    </row>
    <row r="1302">
      <c r="A1302" s="4">
        <f>Sheet1!A1302 &amp; "/" &amp; "2025"</f>
        <v/>
      </c>
      <c r="B1302" s="5">
        <f>Sheet1!E1302</f>
        <v/>
      </c>
      <c r="C1302" s="6">
        <f>UPPER(Sheet1!B1302)</f>
        <v/>
      </c>
      <c r="D1302" s="7">
        <f>IF(Sheet1!F1302="F","FEMALE","MALE")</f>
        <v/>
      </c>
      <c r="E1302" s="6">
        <f>UPPER(Sheet1!G1302)</f>
        <v/>
      </c>
      <c r="F1302" s="6">
        <f>UPPER(Sheet1!H1302)</f>
        <v/>
      </c>
      <c r="G1302" s="5">
        <f>TEXT(Sheet1!C1302,"dd/mm/yyyy") &amp; "," &amp; Sheet1!D1302</f>
        <v/>
      </c>
      <c r="H1302" s="38">
        <f>UPPER(Sheet1!J1302 &amp; "," &amp; Sheet1!K1302 &amp; "," &amp; Sheet1!L1302)</f>
        <v/>
      </c>
      <c r="I1302" s="45">
        <f>Sheet1!I1302</f>
        <v/>
      </c>
      <c r="J1302" s="5">
        <f>Sheet1!M1302 &amp; "," &amp; TEXT(Sheet1!N1302,"dd/mm/yy")</f>
        <v/>
      </c>
      <c r="K1302" s="5" t="inlineStr">
        <is>
          <t>PRINTED</t>
        </is>
      </c>
      <c r="L1302" t="inlineStr">
        <is>
          <t>25/03/2026</t>
        </is>
      </c>
      <c r="M1302" s="30" t="inlineStr">
        <is>
          <t>MANISH KATARIA, VICE CONSUL</t>
        </is>
      </c>
      <c r="N1302" s="30" t="n"/>
    </row>
    <row r="1303">
      <c r="A1303" s="4">
        <f>Sheet1!A1303 &amp; "/" &amp; "2025"</f>
        <v/>
      </c>
      <c r="B1303" s="5">
        <f>Sheet1!E1303</f>
        <v/>
      </c>
      <c r="C1303" s="6">
        <f>UPPER(Sheet1!B1303)</f>
        <v/>
      </c>
      <c r="D1303" s="7">
        <f>IF(Sheet1!F1303="F","FEMALE","MALE")</f>
        <v/>
      </c>
      <c r="E1303" s="6">
        <f>UPPER(Sheet1!G1303)</f>
        <v/>
      </c>
      <c r="F1303" s="6">
        <f>UPPER(Sheet1!H1303)</f>
        <v/>
      </c>
      <c r="G1303" s="5">
        <f>TEXT(Sheet1!C1303,"dd/mm/yyyy") &amp; "," &amp; Sheet1!D1303</f>
        <v/>
      </c>
      <c r="H1303" s="38">
        <f>UPPER(Sheet1!J1303 &amp; "," &amp; Sheet1!K1303 &amp; "," &amp; Sheet1!L1303)</f>
        <v/>
      </c>
      <c r="I1303" s="45">
        <f>Sheet1!I1303</f>
        <v/>
      </c>
      <c r="J1303" s="5">
        <f>Sheet1!M1303 &amp; "," &amp; TEXT(Sheet1!N1303,"dd/mm/yy")</f>
        <v/>
      </c>
      <c r="K1303" s="5" t="inlineStr">
        <is>
          <t>PRINTED</t>
        </is>
      </c>
      <c r="L1303" t="inlineStr">
        <is>
          <t>25/03/2026</t>
        </is>
      </c>
      <c r="M1303" s="30" t="inlineStr">
        <is>
          <t>MANISH KATARIA, VICE CONSUL</t>
        </is>
      </c>
      <c r="N1303" s="30" t="n"/>
    </row>
    <row r="1304">
      <c r="A1304" s="4">
        <f>Sheet1!A1304 &amp; "/" &amp; "2025"</f>
        <v/>
      </c>
      <c r="B1304" s="5">
        <f>Sheet1!E1304</f>
        <v/>
      </c>
      <c r="C1304" s="6">
        <f>UPPER(Sheet1!B1304)</f>
        <v/>
      </c>
      <c r="D1304" s="7">
        <f>IF(Sheet1!F1304="F","FEMALE","MALE")</f>
        <v/>
      </c>
      <c r="E1304" s="6">
        <f>UPPER(Sheet1!G1304)</f>
        <v/>
      </c>
      <c r="F1304" s="6">
        <f>UPPER(Sheet1!H1304)</f>
        <v/>
      </c>
      <c r="G1304" s="5">
        <f>TEXT(Sheet1!C1304,"dd/mm/yyyy") &amp; "," &amp; Sheet1!D1304</f>
        <v/>
      </c>
      <c r="H1304" s="38">
        <f>UPPER(Sheet1!J1304 &amp; "," &amp; Sheet1!K1304 &amp; "," &amp; Sheet1!L1304)</f>
        <v/>
      </c>
      <c r="I1304" s="45">
        <f>Sheet1!I1304</f>
        <v/>
      </c>
      <c r="J1304" s="5">
        <f>Sheet1!M1304 &amp; "," &amp; TEXT(Sheet1!N1304,"dd/mm/yy")</f>
        <v/>
      </c>
      <c r="K1304" s="5" t="inlineStr">
        <is>
          <t>PRINTED</t>
        </is>
      </c>
      <c r="L1304" t="inlineStr">
        <is>
          <t>25/03/2026</t>
        </is>
      </c>
      <c r="M1304" s="30" t="inlineStr">
        <is>
          <t>MANISH KATARIA, VICE CONSUL</t>
        </is>
      </c>
      <c r="N1304" s="30" t="n"/>
    </row>
    <row r="1305">
      <c r="A1305" s="4">
        <f>Sheet1!A1305 &amp; "/" &amp; "2025"</f>
        <v/>
      </c>
      <c r="B1305" s="5">
        <f>Sheet1!E1305</f>
        <v/>
      </c>
      <c r="C1305" s="6">
        <f>UPPER(Sheet1!B1305)</f>
        <v/>
      </c>
      <c r="D1305" s="7">
        <f>IF(Sheet1!F1305="F","FEMALE","MALE")</f>
        <v/>
      </c>
      <c r="E1305" s="6">
        <f>UPPER(Sheet1!G1305)</f>
        <v/>
      </c>
      <c r="F1305" s="6">
        <f>UPPER(Sheet1!H1305)</f>
        <v/>
      </c>
      <c r="G1305" s="5">
        <f>TEXT(Sheet1!C1305,"dd/mm/yyyy") &amp; "," &amp; Sheet1!D1305</f>
        <v/>
      </c>
      <c r="H1305" s="38">
        <f>UPPER(Sheet1!J1305 &amp; "," &amp; Sheet1!K1305 &amp; "," &amp; Sheet1!L1305)</f>
        <v/>
      </c>
      <c r="I1305" s="45">
        <f>Sheet1!I1305</f>
        <v/>
      </c>
      <c r="J1305" s="5">
        <f>Sheet1!M1305 &amp; "," &amp; TEXT(Sheet1!N1305,"dd/mm/yy")</f>
        <v/>
      </c>
      <c r="K1305" s="5" t="inlineStr">
        <is>
          <t>PRINTED</t>
        </is>
      </c>
      <c r="L1305" t="inlineStr">
        <is>
          <t>25/03/2026</t>
        </is>
      </c>
      <c r="M1305" s="30" t="inlineStr">
        <is>
          <t>MANISH KATARIA, VICE CONSUL</t>
        </is>
      </c>
      <c r="N1305" s="30" t="n"/>
    </row>
    <row r="1306">
      <c r="A1306" s="4">
        <f>Sheet1!A1306 &amp; "/" &amp; "2025"</f>
        <v/>
      </c>
      <c r="B1306" s="5">
        <f>Sheet1!E1306</f>
        <v/>
      </c>
      <c r="C1306" s="6">
        <f>UPPER(Sheet1!B1306)</f>
        <v/>
      </c>
      <c r="D1306" s="7">
        <f>IF(Sheet1!F1306="F","FEMALE","MALE")</f>
        <v/>
      </c>
      <c r="E1306" s="6">
        <f>UPPER(Sheet1!G1306)</f>
        <v/>
      </c>
      <c r="F1306" s="6">
        <f>UPPER(Sheet1!H1306)</f>
        <v/>
      </c>
      <c r="G1306" s="5">
        <f>TEXT(Sheet1!C1306,"dd/mm/yyyy") &amp; "," &amp; Sheet1!D1306</f>
        <v/>
      </c>
      <c r="H1306" s="38">
        <f>UPPER(Sheet1!J1306 &amp; "," &amp; Sheet1!K1306 &amp; "," &amp; Sheet1!L1306)</f>
        <v/>
      </c>
      <c r="I1306" s="45">
        <f>Sheet1!I1306</f>
        <v/>
      </c>
      <c r="J1306" s="5">
        <f>Sheet1!M1306 &amp; "," &amp; TEXT(Sheet1!N1306,"dd/mm/yy")</f>
        <v/>
      </c>
      <c r="K1306" s="5" t="inlineStr">
        <is>
          <t>PRINTED</t>
        </is>
      </c>
      <c r="L1306" t="inlineStr">
        <is>
          <t>25/03/2026</t>
        </is>
      </c>
      <c r="M1306" s="30" t="inlineStr">
        <is>
          <t>MANISH KATARIA, VICE CONSUL</t>
        </is>
      </c>
      <c r="N1306" s="30" t="n"/>
    </row>
    <row r="1307">
      <c r="A1307" s="4">
        <f>Sheet1!A1307 &amp; "/" &amp; "2025"</f>
        <v/>
      </c>
      <c r="B1307" s="5">
        <f>Sheet1!E1307</f>
        <v/>
      </c>
      <c r="C1307" s="6">
        <f>UPPER(Sheet1!B1307)</f>
        <v/>
      </c>
      <c r="D1307" s="7">
        <f>IF(Sheet1!F1307="F","FEMALE","MALE")</f>
        <v/>
      </c>
      <c r="E1307" s="6">
        <f>UPPER(Sheet1!G1307)</f>
        <v/>
      </c>
      <c r="F1307" s="6">
        <f>UPPER(Sheet1!H1307)</f>
        <v/>
      </c>
      <c r="G1307" s="5">
        <f>TEXT(Sheet1!C1307,"dd/mm/yyyy") &amp; "," &amp; Sheet1!D1307</f>
        <v/>
      </c>
      <c r="H1307" s="38">
        <f>UPPER(Sheet1!J1307 &amp; "," &amp; Sheet1!K1307 &amp; "," &amp; Sheet1!L1307)</f>
        <v/>
      </c>
      <c r="I1307" s="45">
        <f>Sheet1!I1307</f>
        <v/>
      </c>
      <c r="J1307" s="5">
        <f>Sheet1!M1307 &amp; "," &amp; TEXT(Sheet1!N1307,"dd/mm/yy")</f>
        <v/>
      </c>
      <c r="K1307" s="5" t="inlineStr">
        <is>
          <t>PRINTED</t>
        </is>
      </c>
      <c r="L1307" t="inlineStr">
        <is>
          <t>25/03/2026</t>
        </is>
      </c>
      <c r="M1307" s="30" t="inlineStr">
        <is>
          <t>MANISH KATARIA, VICE CONSUL</t>
        </is>
      </c>
      <c r="N1307" s="30" t="n"/>
    </row>
    <row r="1308">
      <c r="A1308" s="4">
        <f>Sheet1!A1308 &amp; "/" &amp; "2025"</f>
        <v/>
      </c>
      <c r="B1308" s="5">
        <f>Sheet1!E1308</f>
        <v/>
      </c>
      <c r="C1308" s="6">
        <f>UPPER(Sheet1!B1308)</f>
        <v/>
      </c>
      <c r="D1308" s="7">
        <f>IF(Sheet1!F1308="F","FEMALE","MALE")</f>
        <v/>
      </c>
      <c r="E1308" s="6">
        <f>UPPER(Sheet1!G1308)</f>
        <v/>
      </c>
      <c r="F1308" s="6">
        <f>UPPER(Sheet1!H1308)</f>
        <v/>
      </c>
      <c r="G1308" s="5">
        <f>TEXT(Sheet1!C1308,"dd/mm/yyyy") &amp; "," &amp; Sheet1!D1308</f>
        <v/>
      </c>
      <c r="H1308" s="38">
        <f>UPPER(Sheet1!J1308 &amp; "," &amp; Sheet1!K1308 &amp; "," &amp; Sheet1!L1308)</f>
        <v/>
      </c>
      <c r="I1308" s="45">
        <f>Sheet1!I1308</f>
        <v/>
      </c>
      <c r="J1308" s="5">
        <f>Sheet1!M1308 &amp; "," &amp; TEXT(Sheet1!N1308,"dd/mm/yy")</f>
        <v/>
      </c>
      <c r="K1308" s="5" t="inlineStr">
        <is>
          <t>PRINTED</t>
        </is>
      </c>
      <c r="L1308" t="inlineStr">
        <is>
          <t>25/03/2026</t>
        </is>
      </c>
      <c r="M1308" s="30" t="inlineStr">
        <is>
          <t>MANISH KATARIA, VICE CONSUL</t>
        </is>
      </c>
      <c r="N1308" s="30" t="n"/>
    </row>
    <row r="1309">
      <c r="A1309" s="4">
        <f>Sheet1!A1309 &amp; "/" &amp; "2025"</f>
        <v/>
      </c>
      <c r="B1309" s="5">
        <f>Sheet1!E1309</f>
        <v/>
      </c>
      <c r="C1309" s="6">
        <f>UPPER(Sheet1!B1309)</f>
        <v/>
      </c>
      <c r="D1309" s="7">
        <f>IF(Sheet1!F1309="F","FEMALE","MALE")</f>
        <v/>
      </c>
      <c r="E1309" s="6">
        <f>UPPER(Sheet1!G1309)</f>
        <v/>
      </c>
      <c r="F1309" s="6">
        <f>UPPER(Sheet1!H1309)</f>
        <v/>
      </c>
      <c r="G1309" s="5">
        <f>TEXT(Sheet1!C1309,"dd/mm/yyyy") &amp; "," &amp; Sheet1!D1309</f>
        <v/>
      </c>
      <c r="H1309" s="38">
        <f>UPPER(Sheet1!J1309 &amp; "," &amp; Sheet1!K1309 &amp; "," &amp; Sheet1!L1309)</f>
        <v/>
      </c>
      <c r="I1309" s="45">
        <f>Sheet1!I1309</f>
        <v/>
      </c>
      <c r="J1309" s="5">
        <f>Sheet1!M1309 &amp; "," &amp; TEXT(Sheet1!N1309,"dd/mm/yy")</f>
        <v/>
      </c>
      <c r="K1309" s="5" t="inlineStr">
        <is>
          <t>PRINTED</t>
        </is>
      </c>
      <c r="L1309" t="inlineStr">
        <is>
          <t>25/03/2026</t>
        </is>
      </c>
      <c r="M1309" s="30" t="inlineStr">
        <is>
          <t>MANISH KATARIA, VICE CONSUL</t>
        </is>
      </c>
      <c r="N1309" s="30" t="n"/>
    </row>
    <row r="1310">
      <c r="A1310" s="4">
        <f>Sheet1!A1310 &amp; "/" &amp; "2025"</f>
        <v/>
      </c>
      <c r="B1310" s="5">
        <f>Sheet1!E1310</f>
        <v/>
      </c>
      <c r="C1310" s="6">
        <f>UPPER(Sheet1!B1310)</f>
        <v/>
      </c>
      <c r="D1310" s="7">
        <f>IF(Sheet1!F1310="F","FEMALE","MALE")</f>
        <v/>
      </c>
      <c r="E1310" s="6">
        <f>UPPER(Sheet1!G1310)</f>
        <v/>
      </c>
      <c r="F1310" s="6">
        <f>UPPER(Sheet1!H1310)</f>
        <v/>
      </c>
      <c r="G1310" s="5">
        <f>TEXT(Sheet1!C1310,"dd/mm/yyyy") &amp; "," &amp; Sheet1!D1310</f>
        <v/>
      </c>
      <c r="H1310" s="38">
        <f>UPPER(Sheet1!J1310 &amp; "," &amp; Sheet1!K1310 &amp; "," &amp; Sheet1!L1310)</f>
        <v/>
      </c>
      <c r="I1310" s="45">
        <f>Sheet1!I1310</f>
        <v/>
      </c>
      <c r="J1310" s="5">
        <f>Sheet1!M1310 &amp; "," &amp; TEXT(Sheet1!N1310,"dd/mm/yy")</f>
        <v/>
      </c>
      <c r="K1310" s="5" t="inlineStr">
        <is>
          <t>PRINTED</t>
        </is>
      </c>
      <c r="L1310" t="inlineStr">
        <is>
          <t>25/03/2026</t>
        </is>
      </c>
      <c r="M1310" s="30" t="inlineStr">
        <is>
          <t>MANISH KATARIA, VICE CONSUL</t>
        </is>
      </c>
      <c r="N1310" s="30" t="n"/>
    </row>
    <row r="1311">
      <c r="A1311" s="4">
        <f>Sheet1!A1311 &amp; "/" &amp; "2025"</f>
        <v/>
      </c>
      <c r="B1311" s="5">
        <f>Sheet1!E1311</f>
        <v/>
      </c>
      <c r="C1311" s="6">
        <f>UPPER(Sheet1!B1311)</f>
        <v/>
      </c>
      <c r="D1311" s="7">
        <f>IF(Sheet1!F1311="F","FEMALE","MALE")</f>
        <v/>
      </c>
      <c r="E1311" s="6">
        <f>UPPER(Sheet1!G1311)</f>
        <v/>
      </c>
      <c r="F1311" s="6">
        <f>UPPER(Sheet1!H1311)</f>
        <v/>
      </c>
      <c r="G1311" s="5">
        <f>TEXT(Sheet1!C1311,"dd/mm/yyyy") &amp; "," &amp; Sheet1!D1311</f>
        <v/>
      </c>
      <c r="H1311" s="38">
        <f>UPPER(Sheet1!J1311 &amp; "," &amp; Sheet1!K1311 &amp; "," &amp; Sheet1!L1311)</f>
        <v/>
      </c>
      <c r="I1311" s="45">
        <f>Sheet1!I1311</f>
        <v/>
      </c>
      <c r="J1311" s="5">
        <f>Sheet1!M1311 &amp; "," &amp; TEXT(Sheet1!N1311,"dd/mm/yy")</f>
        <v/>
      </c>
      <c r="K1311" s="5" t="inlineStr">
        <is>
          <t>PRINTED</t>
        </is>
      </c>
      <c r="L1311" t="inlineStr">
        <is>
          <t>25/03/2026</t>
        </is>
      </c>
      <c r="M1311" s="30" t="inlineStr">
        <is>
          <t>MANISH KATARIA, VICE CONSUL</t>
        </is>
      </c>
      <c r="N1311" s="30" t="n"/>
    </row>
    <row r="1312">
      <c r="A1312" s="4">
        <f>Sheet1!A1312 &amp; "/" &amp; "2025"</f>
        <v/>
      </c>
      <c r="B1312" s="5">
        <f>Sheet1!E1312</f>
        <v/>
      </c>
      <c r="C1312" s="6">
        <f>UPPER(Sheet1!B1312)</f>
        <v/>
      </c>
      <c r="D1312" s="7">
        <f>IF(Sheet1!F1312="F","FEMALE","MALE")</f>
        <v/>
      </c>
      <c r="E1312" s="6">
        <f>UPPER(Sheet1!G1312)</f>
        <v/>
      </c>
      <c r="F1312" s="6">
        <f>UPPER(Sheet1!H1312)</f>
        <v/>
      </c>
      <c r="G1312" s="5">
        <f>TEXT(Sheet1!C1312,"dd/mm/yyyy") &amp; "," &amp; Sheet1!D1312</f>
        <v/>
      </c>
      <c r="H1312" s="38">
        <f>UPPER(Sheet1!J1312 &amp; "," &amp; Sheet1!K1312 &amp; "," &amp; Sheet1!L1312)</f>
        <v/>
      </c>
      <c r="I1312" s="45">
        <f>Sheet1!I1312</f>
        <v/>
      </c>
      <c r="J1312" s="5">
        <f>Sheet1!M1312 &amp; "," &amp; TEXT(Sheet1!N1312,"dd/mm/yy")</f>
        <v/>
      </c>
      <c r="K1312" s="5" t="inlineStr">
        <is>
          <t>PRINTED</t>
        </is>
      </c>
      <c r="L1312" t="inlineStr">
        <is>
          <t>25/03/2026</t>
        </is>
      </c>
      <c r="M1312" s="30" t="inlineStr">
        <is>
          <t>MANISH KATARIA, VICE CONSUL</t>
        </is>
      </c>
      <c r="N1312" s="30" t="n"/>
    </row>
    <row r="1313">
      <c r="A1313" s="4">
        <f>Sheet1!A1313 &amp; "/" &amp; "2025"</f>
        <v/>
      </c>
      <c r="B1313" s="5">
        <f>Sheet1!E1313</f>
        <v/>
      </c>
      <c r="C1313" s="6">
        <f>UPPER(Sheet1!B1313)</f>
        <v/>
      </c>
      <c r="D1313" s="7">
        <f>IF(Sheet1!F1313="F","FEMALE","MALE")</f>
        <v/>
      </c>
      <c r="E1313" s="6">
        <f>UPPER(Sheet1!G1313)</f>
        <v/>
      </c>
      <c r="F1313" s="6">
        <f>UPPER(Sheet1!H1313)</f>
        <v/>
      </c>
      <c r="G1313" s="5">
        <f>TEXT(Sheet1!C1313,"dd/mm/yyyy") &amp; "," &amp; Sheet1!D1313</f>
        <v/>
      </c>
      <c r="H1313" s="38">
        <f>UPPER(Sheet1!J1313 &amp; "," &amp; Sheet1!K1313 &amp; "," &amp; Sheet1!L1313)</f>
        <v/>
      </c>
      <c r="I1313" s="45">
        <f>Sheet1!I1313</f>
        <v/>
      </c>
      <c r="J1313" s="5">
        <f>Sheet1!M1313 &amp; "," &amp; TEXT(Sheet1!N1313,"dd/mm/yy")</f>
        <v/>
      </c>
      <c r="K1313" s="5" t="inlineStr">
        <is>
          <t>PRINTED</t>
        </is>
      </c>
      <c r="L1313" t="inlineStr">
        <is>
          <t>25/03/2026</t>
        </is>
      </c>
      <c r="M1313" s="30" t="inlineStr">
        <is>
          <t>MANISH KATARIA, VICE CONSUL</t>
        </is>
      </c>
      <c r="N1313" s="30" t="n"/>
    </row>
    <row r="1314">
      <c r="A1314" s="4">
        <f>Sheet1!A1314 &amp; "/" &amp; "2025"</f>
        <v/>
      </c>
      <c r="B1314" s="5">
        <f>Sheet1!E1314</f>
        <v/>
      </c>
      <c r="C1314" s="6">
        <f>UPPER(Sheet1!B1314)</f>
        <v/>
      </c>
      <c r="D1314" s="7">
        <f>IF(Sheet1!F1314="F","FEMALE","MALE")</f>
        <v/>
      </c>
      <c r="E1314" s="6">
        <f>UPPER(Sheet1!G1314)</f>
        <v/>
      </c>
      <c r="F1314" s="6">
        <f>UPPER(Sheet1!H1314)</f>
        <v/>
      </c>
      <c r="G1314" s="5">
        <f>TEXT(Sheet1!C1314,"dd/mm/yyyy") &amp; "," &amp; Sheet1!D1314</f>
        <v/>
      </c>
      <c r="H1314" s="38">
        <f>UPPER(Sheet1!J1314 &amp; "," &amp; Sheet1!K1314 &amp; "," &amp; Sheet1!L1314)</f>
        <v/>
      </c>
      <c r="I1314" s="45">
        <f>Sheet1!I1314</f>
        <v/>
      </c>
      <c r="J1314" s="5">
        <f>Sheet1!M1314 &amp; "," &amp; TEXT(Sheet1!N1314,"dd/mm/yy")</f>
        <v/>
      </c>
      <c r="K1314" s="5" t="inlineStr">
        <is>
          <t>PRINTED</t>
        </is>
      </c>
      <c r="L1314" t="inlineStr">
        <is>
          <t>25/03/2026</t>
        </is>
      </c>
      <c r="M1314" s="30" t="inlineStr">
        <is>
          <t>MANISH KATARIA, VICE CONSUL</t>
        </is>
      </c>
      <c r="N1314" s="30" t="n"/>
    </row>
    <row r="1315">
      <c r="A1315" s="4">
        <f>Sheet1!A1315 &amp; "/" &amp; "2025"</f>
        <v/>
      </c>
      <c r="B1315" s="5">
        <f>Sheet1!E1315</f>
        <v/>
      </c>
      <c r="C1315" s="6">
        <f>UPPER(Sheet1!B1315)</f>
        <v/>
      </c>
      <c r="D1315" s="7">
        <f>IF(Sheet1!F1315="F","FEMALE","MALE")</f>
        <v/>
      </c>
      <c r="E1315" s="6">
        <f>UPPER(Sheet1!G1315)</f>
        <v/>
      </c>
      <c r="F1315" s="6">
        <f>UPPER(Sheet1!H1315)</f>
        <v/>
      </c>
      <c r="G1315" s="5">
        <f>TEXT(Sheet1!C1315,"dd/mm/yyyy") &amp; "," &amp; Sheet1!D1315</f>
        <v/>
      </c>
      <c r="H1315" s="38">
        <f>UPPER(Sheet1!J1315 &amp; "," &amp; Sheet1!K1315 &amp; "," &amp; Sheet1!L1315)</f>
        <v/>
      </c>
      <c r="I1315" s="45">
        <f>Sheet1!I1315</f>
        <v/>
      </c>
      <c r="J1315" s="5">
        <f>Sheet1!M1315 &amp; "," &amp; TEXT(Sheet1!N1315,"dd/mm/yy")</f>
        <v/>
      </c>
      <c r="K1315" s="5" t="inlineStr">
        <is>
          <t>PRINTED</t>
        </is>
      </c>
      <c r="L1315" t="inlineStr">
        <is>
          <t>25/03/2026</t>
        </is>
      </c>
      <c r="M1315" s="30" t="inlineStr">
        <is>
          <t>MANISH KATARIA, VICE CONSUL</t>
        </is>
      </c>
      <c r="N1315" s="30" t="n"/>
    </row>
    <row r="1316">
      <c r="A1316" s="4">
        <f>Sheet1!A1316 &amp; "/" &amp; "2025"</f>
        <v/>
      </c>
      <c r="B1316" s="5">
        <f>Sheet1!E1316</f>
        <v/>
      </c>
      <c r="C1316" s="6">
        <f>UPPER(Sheet1!B1316)</f>
        <v/>
      </c>
      <c r="D1316" s="7">
        <f>IF(Sheet1!F1316="F","FEMALE","MALE")</f>
        <v/>
      </c>
      <c r="E1316" s="6">
        <f>UPPER(Sheet1!G1316)</f>
        <v/>
      </c>
      <c r="F1316" s="6">
        <f>UPPER(Sheet1!H1316)</f>
        <v/>
      </c>
      <c r="G1316" s="5">
        <f>TEXT(Sheet1!C1316,"dd/mm/yyyy") &amp; "," &amp; Sheet1!D1316</f>
        <v/>
      </c>
      <c r="H1316" s="38">
        <f>UPPER(Sheet1!J1316 &amp; "," &amp; Sheet1!K1316 &amp; "," &amp; Sheet1!L1316)</f>
        <v/>
      </c>
      <c r="I1316" s="45">
        <f>Sheet1!I1316</f>
        <v/>
      </c>
      <c r="J1316" s="5">
        <f>Sheet1!M1316 &amp; "," &amp; TEXT(Sheet1!N1316,"dd/mm/yy")</f>
        <v/>
      </c>
      <c r="K1316" s="5" t="inlineStr">
        <is>
          <t>PRINTED</t>
        </is>
      </c>
      <c r="L1316" t="inlineStr">
        <is>
          <t>25/03/2026</t>
        </is>
      </c>
      <c r="M1316" s="30" t="inlineStr">
        <is>
          <t>MANISH KATARIA, VICE CONSUL</t>
        </is>
      </c>
      <c r="N1316" s="30" t="n"/>
    </row>
    <row r="1317">
      <c r="A1317" s="4">
        <f>Sheet1!A1317 &amp; "/" &amp; "2025"</f>
        <v/>
      </c>
      <c r="B1317" s="5">
        <f>Sheet1!E1317</f>
        <v/>
      </c>
      <c r="C1317" s="6">
        <f>UPPER(Sheet1!B1317)</f>
        <v/>
      </c>
      <c r="D1317" s="7">
        <f>IF(Sheet1!F1317="F","FEMALE","MALE")</f>
        <v/>
      </c>
      <c r="E1317" s="6">
        <f>UPPER(Sheet1!G1317)</f>
        <v/>
      </c>
      <c r="F1317" s="6">
        <f>UPPER(Sheet1!H1317)</f>
        <v/>
      </c>
      <c r="G1317" s="5">
        <f>TEXT(Sheet1!C1317,"dd/mm/yyyy") &amp; "," &amp; Sheet1!D1317</f>
        <v/>
      </c>
      <c r="H1317" s="38">
        <f>UPPER(Sheet1!J1317 &amp; "," &amp; Sheet1!K1317 &amp; "," &amp; Sheet1!L1317)</f>
        <v/>
      </c>
      <c r="I1317" s="45">
        <f>Sheet1!I1317</f>
        <v/>
      </c>
      <c r="J1317" s="5">
        <f>Sheet1!M1317 &amp; "," &amp; TEXT(Sheet1!N1317,"dd/mm/yy")</f>
        <v/>
      </c>
      <c r="K1317" s="5" t="inlineStr">
        <is>
          <t>PRINTED</t>
        </is>
      </c>
      <c r="L1317" t="inlineStr">
        <is>
          <t>25/03/2026</t>
        </is>
      </c>
      <c r="M1317" s="30" t="inlineStr">
        <is>
          <t>MANISH KATARIA, VICE CONSUL</t>
        </is>
      </c>
      <c r="N1317" s="30" t="n"/>
    </row>
    <row r="1318">
      <c r="A1318" s="4">
        <f>Sheet1!A1318 &amp; "/" &amp; "2025"</f>
        <v/>
      </c>
      <c r="B1318" s="5">
        <f>Sheet1!E1318</f>
        <v/>
      </c>
      <c r="C1318" s="6">
        <f>UPPER(Sheet1!B1318)</f>
        <v/>
      </c>
      <c r="D1318" s="7">
        <f>IF(Sheet1!F1318="F","FEMALE","MALE")</f>
        <v/>
      </c>
      <c r="E1318" s="6">
        <f>UPPER(Sheet1!G1318)</f>
        <v/>
      </c>
      <c r="F1318" s="6">
        <f>UPPER(Sheet1!H1318)</f>
        <v/>
      </c>
      <c r="G1318" s="5">
        <f>TEXT(Sheet1!C1318,"dd/mm/yyyy") &amp; "," &amp; Sheet1!D1318</f>
        <v/>
      </c>
      <c r="H1318" s="38">
        <f>UPPER(Sheet1!J1318 &amp; "," &amp; Sheet1!K1318 &amp; "," &amp; Sheet1!L1318)</f>
        <v/>
      </c>
      <c r="I1318" s="45">
        <f>Sheet1!I1318</f>
        <v/>
      </c>
      <c r="J1318" s="5">
        <f>Sheet1!M1318 &amp; "," &amp; TEXT(Sheet1!N1318,"dd/mm/yy")</f>
        <v/>
      </c>
      <c r="K1318" s="5" t="inlineStr">
        <is>
          <t>PRINTED</t>
        </is>
      </c>
      <c r="L1318" t="inlineStr">
        <is>
          <t>25/03/2026</t>
        </is>
      </c>
      <c r="M1318" s="30" t="inlineStr">
        <is>
          <t>MANISH KATARIA, VICE CONSUL</t>
        </is>
      </c>
      <c r="N1318" s="30" t="n"/>
    </row>
    <row r="1319">
      <c r="A1319" s="4">
        <f>Sheet1!A1319 &amp; "/" &amp; "2025"</f>
        <v/>
      </c>
      <c r="B1319" s="5">
        <f>Sheet1!E1319</f>
        <v/>
      </c>
      <c r="C1319" s="6">
        <f>UPPER(Sheet1!B1319)</f>
        <v/>
      </c>
      <c r="D1319" s="7">
        <f>IF(Sheet1!F1319="F","FEMALE","MALE")</f>
        <v/>
      </c>
      <c r="E1319" s="6">
        <f>UPPER(Sheet1!G1319)</f>
        <v/>
      </c>
      <c r="F1319" s="6">
        <f>UPPER(Sheet1!H1319)</f>
        <v/>
      </c>
      <c r="G1319" s="5">
        <f>TEXT(Sheet1!C1319,"dd/mm/yyyy") &amp; "," &amp; Sheet1!D1319</f>
        <v/>
      </c>
      <c r="H1319" s="38">
        <f>UPPER(Sheet1!J1319 &amp; "," &amp; Sheet1!K1319 &amp; "," &amp; Sheet1!L1319)</f>
        <v/>
      </c>
      <c r="I1319" s="45">
        <f>Sheet1!I1319</f>
        <v/>
      </c>
      <c r="J1319" s="5">
        <f>Sheet1!M1319 &amp; "," &amp; TEXT(Sheet1!N1319,"dd/mm/yy")</f>
        <v/>
      </c>
      <c r="K1319" s="5" t="inlineStr">
        <is>
          <t>PRINTED</t>
        </is>
      </c>
      <c r="L1319" t="inlineStr">
        <is>
          <t>25/03/2026</t>
        </is>
      </c>
      <c r="M1319" s="30" t="inlineStr">
        <is>
          <t>MANISH KATARIA, VICE CONSUL</t>
        </is>
      </c>
      <c r="N1319" s="30" t="n"/>
    </row>
    <row r="1320">
      <c r="A1320" s="4">
        <f>Sheet1!A1320 &amp; "/" &amp; "2025"</f>
        <v/>
      </c>
      <c r="B1320" s="5">
        <f>Sheet1!E1320</f>
        <v/>
      </c>
      <c r="C1320" s="6">
        <f>UPPER(Sheet1!B1320)</f>
        <v/>
      </c>
      <c r="D1320" s="7">
        <f>IF(Sheet1!F1320="F","FEMALE","MALE")</f>
        <v/>
      </c>
      <c r="E1320" s="6">
        <f>UPPER(Sheet1!G1320)</f>
        <v/>
      </c>
      <c r="F1320" s="6">
        <f>UPPER(Sheet1!H1320)</f>
        <v/>
      </c>
      <c r="G1320" s="5">
        <f>TEXT(Sheet1!C1320,"dd/mm/yyyy") &amp; "," &amp; Sheet1!D1320</f>
        <v/>
      </c>
      <c r="H1320" s="38">
        <f>UPPER(Sheet1!J1320 &amp; "," &amp; Sheet1!K1320 &amp; "," &amp; Sheet1!L1320)</f>
        <v/>
      </c>
      <c r="I1320" s="45">
        <f>Sheet1!I1320</f>
        <v/>
      </c>
      <c r="J1320" s="5">
        <f>Sheet1!M1320 &amp; "," &amp; TEXT(Sheet1!N1320,"dd/mm/yy")</f>
        <v/>
      </c>
      <c r="K1320" s="5" t="inlineStr">
        <is>
          <t>PRINTED</t>
        </is>
      </c>
      <c r="L1320" t="inlineStr">
        <is>
          <t>25/03/2026</t>
        </is>
      </c>
      <c r="M1320" s="30" t="inlineStr">
        <is>
          <t>MANISH KATARIA, VICE CONSUL</t>
        </is>
      </c>
      <c r="N1320" s="30" t="n"/>
    </row>
    <row r="1321">
      <c r="A1321" s="4">
        <f>Sheet1!A1321 &amp; "/" &amp; "2025"</f>
        <v/>
      </c>
      <c r="B1321" s="5">
        <f>Sheet1!E1321</f>
        <v/>
      </c>
      <c r="C1321" s="6">
        <f>UPPER(Sheet1!B1321)</f>
        <v/>
      </c>
      <c r="D1321" s="7">
        <f>IF(Sheet1!F1321="F","FEMALE","MALE")</f>
        <v/>
      </c>
      <c r="E1321" s="6">
        <f>UPPER(Sheet1!G1321)</f>
        <v/>
      </c>
      <c r="F1321" s="6">
        <f>UPPER(Sheet1!H1321)</f>
        <v/>
      </c>
      <c r="G1321" s="5">
        <f>TEXT(Sheet1!C1321,"dd/mm/yyyy") &amp; "," &amp; Sheet1!D1321</f>
        <v/>
      </c>
      <c r="H1321" s="38">
        <f>UPPER(Sheet1!J1321 &amp; "," &amp; Sheet1!K1321 &amp; "," &amp; Sheet1!L1321)</f>
        <v/>
      </c>
      <c r="I1321" s="45">
        <f>Sheet1!I1321</f>
        <v/>
      </c>
      <c r="J1321" s="5">
        <f>Sheet1!M1321 &amp; "," &amp; TEXT(Sheet1!N1321,"dd/mm/yy")</f>
        <v/>
      </c>
      <c r="K1321" s="5" t="inlineStr">
        <is>
          <t>PRINTED</t>
        </is>
      </c>
      <c r="L1321" t="inlineStr">
        <is>
          <t>25/03/2026</t>
        </is>
      </c>
      <c r="M1321" s="30" t="inlineStr">
        <is>
          <t>MANISH KATARIA, VICE CONSUL</t>
        </is>
      </c>
      <c r="N1321" s="30" t="n"/>
    </row>
    <row r="1322">
      <c r="A1322" s="4">
        <f>Sheet1!A1322 &amp; "/" &amp; "2025"</f>
        <v/>
      </c>
      <c r="B1322" s="5">
        <f>Sheet1!E1322</f>
        <v/>
      </c>
      <c r="C1322" s="6">
        <f>UPPER(Sheet1!B1322)</f>
        <v/>
      </c>
      <c r="D1322" s="7">
        <f>IF(Sheet1!F1322="F","FEMALE","MALE")</f>
        <v/>
      </c>
      <c r="E1322" s="6">
        <f>UPPER(Sheet1!G1322)</f>
        <v/>
      </c>
      <c r="F1322" s="6">
        <f>UPPER(Sheet1!H1322)</f>
        <v/>
      </c>
      <c r="G1322" s="5">
        <f>TEXT(Sheet1!C1322,"dd/mm/yyyy") &amp; "," &amp; Sheet1!D1322</f>
        <v/>
      </c>
      <c r="H1322" s="38">
        <f>UPPER(Sheet1!J1322 &amp; "," &amp; Sheet1!K1322 &amp; "," &amp; Sheet1!L1322)</f>
        <v/>
      </c>
      <c r="I1322" s="45">
        <f>Sheet1!I1322</f>
        <v/>
      </c>
      <c r="J1322" s="5">
        <f>Sheet1!M1322 &amp; "," &amp; TEXT(Sheet1!N1322,"dd/mm/yy")</f>
        <v/>
      </c>
      <c r="K1322" s="5" t="inlineStr">
        <is>
          <t>PRINTED</t>
        </is>
      </c>
      <c r="L1322" t="inlineStr">
        <is>
          <t>25/03/2026</t>
        </is>
      </c>
      <c r="M1322" s="30" t="inlineStr">
        <is>
          <t>MANISH KATARIA, VICE CONSUL</t>
        </is>
      </c>
      <c r="N1322" s="30" t="n"/>
    </row>
    <row r="1323">
      <c r="A1323" s="4">
        <f>Sheet1!A1323 &amp; "/" &amp; "2025"</f>
        <v/>
      </c>
      <c r="B1323" s="5">
        <f>Sheet1!E1323</f>
        <v/>
      </c>
      <c r="C1323" s="6">
        <f>UPPER(Sheet1!B1323)</f>
        <v/>
      </c>
      <c r="D1323" s="7">
        <f>IF(Sheet1!F1323="F","FEMALE","MALE")</f>
        <v/>
      </c>
      <c r="E1323" s="6">
        <f>UPPER(Sheet1!G1323)</f>
        <v/>
      </c>
      <c r="F1323" s="6">
        <f>UPPER(Sheet1!H1323)</f>
        <v/>
      </c>
      <c r="G1323" s="5">
        <f>TEXT(Sheet1!C1323,"dd/mm/yyyy") &amp; "," &amp; Sheet1!D1323</f>
        <v/>
      </c>
      <c r="H1323" s="38">
        <f>UPPER(Sheet1!J1323 &amp; "," &amp; Sheet1!K1323 &amp; "," &amp; Sheet1!L1323)</f>
        <v/>
      </c>
      <c r="I1323" s="45">
        <f>Sheet1!I1323</f>
        <v/>
      </c>
      <c r="J1323" s="5">
        <f>Sheet1!M1323 &amp; "," &amp; TEXT(Sheet1!N1323,"dd/mm/yy")</f>
        <v/>
      </c>
      <c r="K1323" s="5" t="inlineStr">
        <is>
          <t>PRINTED</t>
        </is>
      </c>
      <c r="L1323" t="inlineStr">
        <is>
          <t>25/03/2026</t>
        </is>
      </c>
      <c r="M1323" s="30" t="inlineStr">
        <is>
          <t>MANISH KATARIA, VICE CONSUL</t>
        </is>
      </c>
      <c r="N1323" s="30" t="n"/>
    </row>
    <row r="1324">
      <c r="A1324" s="4">
        <f>Sheet1!A1324 &amp; "/" &amp; "2025"</f>
        <v/>
      </c>
      <c r="B1324" s="5">
        <f>Sheet1!E1324</f>
        <v/>
      </c>
      <c r="C1324" s="6">
        <f>UPPER(Sheet1!B1324)</f>
        <v/>
      </c>
      <c r="D1324" s="7">
        <f>IF(Sheet1!F1324="F","FEMALE","MALE")</f>
        <v/>
      </c>
      <c r="E1324" s="6">
        <f>UPPER(Sheet1!G1324)</f>
        <v/>
      </c>
      <c r="F1324" s="6">
        <f>UPPER(Sheet1!H1324)</f>
        <v/>
      </c>
      <c r="G1324" s="5">
        <f>TEXT(Sheet1!C1324,"dd/mm/yyyy") &amp; "," &amp; Sheet1!D1324</f>
        <v/>
      </c>
      <c r="H1324" s="38">
        <f>UPPER(Sheet1!J1324 &amp; "," &amp; Sheet1!K1324 &amp; "," &amp; Sheet1!L1324)</f>
        <v/>
      </c>
      <c r="I1324" s="45">
        <f>Sheet1!I1324</f>
        <v/>
      </c>
      <c r="J1324" s="5">
        <f>Sheet1!M1324 &amp; "," &amp; TEXT(Sheet1!N1324,"dd/mm/yy")</f>
        <v/>
      </c>
      <c r="K1324" s="5" t="inlineStr">
        <is>
          <t>PRINTED</t>
        </is>
      </c>
      <c r="L1324" t="inlineStr">
        <is>
          <t>25/03/2026</t>
        </is>
      </c>
      <c r="M1324" s="30" t="inlineStr">
        <is>
          <t>MANISH KATARIA, VICE CONSUL</t>
        </is>
      </c>
      <c r="N1324" s="30" t="n"/>
    </row>
    <row r="1325">
      <c r="A1325" s="4">
        <f>Sheet1!A1325 &amp; "/" &amp; "2025"</f>
        <v/>
      </c>
      <c r="B1325" s="5">
        <f>Sheet1!E1325</f>
        <v/>
      </c>
      <c r="C1325" s="6">
        <f>UPPER(Sheet1!B1325)</f>
        <v/>
      </c>
      <c r="D1325" s="7">
        <f>IF(Sheet1!F1325="F","FEMALE","MALE")</f>
        <v/>
      </c>
      <c r="E1325" s="6">
        <f>UPPER(Sheet1!G1325)</f>
        <v/>
      </c>
      <c r="F1325" s="6">
        <f>UPPER(Sheet1!H1325)</f>
        <v/>
      </c>
      <c r="G1325" s="5">
        <f>TEXT(Sheet1!C1325,"dd/mm/yyyy") &amp; "," &amp; Sheet1!D1325</f>
        <v/>
      </c>
      <c r="H1325" s="38">
        <f>UPPER(Sheet1!J1325 &amp; "," &amp; Sheet1!K1325 &amp; "," &amp; Sheet1!L1325)</f>
        <v/>
      </c>
      <c r="I1325" s="45">
        <f>Sheet1!I1325</f>
        <v/>
      </c>
      <c r="J1325" s="5">
        <f>Sheet1!M1325 &amp; "," &amp; TEXT(Sheet1!N1325,"dd/mm/yy")</f>
        <v/>
      </c>
      <c r="K1325" s="5" t="inlineStr">
        <is>
          <t>PRINTED</t>
        </is>
      </c>
      <c r="L1325" t="inlineStr">
        <is>
          <t>25/03/2026</t>
        </is>
      </c>
      <c r="M1325" s="30" t="inlineStr">
        <is>
          <t>MANISH KATARIA, VICE CONSUL</t>
        </is>
      </c>
      <c r="N1325" s="30" t="n"/>
    </row>
    <row r="1326">
      <c r="A1326" s="4">
        <f>Sheet1!A1326 &amp; "/" &amp; "2025"</f>
        <v/>
      </c>
      <c r="B1326" s="5">
        <f>Sheet1!E1326</f>
        <v/>
      </c>
      <c r="C1326" s="6">
        <f>UPPER(Sheet1!B1326)</f>
        <v/>
      </c>
      <c r="D1326" s="7">
        <f>IF(Sheet1!F1326="F","FEMALE","MALE")</f>
        <v/>
      </c>
      <c r="E1326" s="6">
        <f>UPPER(Sheet1!G1326)</f>
        <v/>
      </c>
      <c r="F1326" s="6">
        <f>UPPER(Sheet1!H1326)</f>
        <v/>
      </c>
      <c r="G1326" s="5">
        <f>TEXT(Sheet1!C1326,"dd/mm/yyyy") &amp; "," &amp; Sheet1!D1326</f>
        <v/>
      </c>
      <c r="H1326" s="38">
        <f>UPPER(Sheet1!J1326 &amp; "," &amp; Sheet1!K1326 &amp; "," &amp; Sheet1!L1326)</f>
        <v/>
      </c>
      <c r="I1326" s="45">
        <f>Sheet1!I1326</f>
        <v/>
      </c>
      <c r="J1326" s="5">
        <f>Sheet1!M1326 &amp; "," &amp; TEXT(Sheet1!N1326,"dd/mm/yy")</f>
        <v/>
      </c>
      <c r="K1326" s="5" t="inlineStr">
        <is>
          <t>PRINTED</t>
        </is>
      </c>
      <c r="L1326" t="inlineStr">
        <is>
          <t>25/03/2026</t>
        </is>
      </c>
      <c r="M1326" s="30" t="inlineStr">
        <is>
          <t>MANISH KATARIA, VICE CONSUL</t>
        </is>
      </c>
      <c r="N1326" s="30" t="n"/>
    </row>
    <row r="1327">
      <c r="A1327" s="4">
        <f>Sheet1!A1327 &amp; "/" &amp; "2025"</f>
        <v/>
      </c>
      <c r="B1327" s="5">
        <f>Sheet1!E1327</f>
        <v/>
      </c>
      <c r="C1327" s="6">
        <f>UPPER(Sheet1!B1327)</f>
        <v/>
      </c>
      <c r="D1327" s="7">
        <f>IF(Sheet1!F1327="F","FEMALE","MALE")</f>
        <v/>
      </c>
      <c r="E1327" s="6">
        <f>UPPER(Sheet1!G1327)</f>
        <v/>
      </c>
      <c r="F1327" s="6">
        <f>UPPER(Sheet1!H1327)</f>
        <v/>
      </c>
      <c r="G1327" s="5">
        <f>TEXT(Sheet1!C1327,"dd/mm/yyyy") &amp; "," &amp; Sheet1!D1327</f>
        <v/>
      </c>
      <c r="H1327" s="38">
        <f>UPPER(Sheet1!J1327 &amp; "," &amp; Sheet1!K1327 &amp; "," &amp; Sheet1!L1327)</f>
        <v/>
      </c>
      <c r="I1327" s="45">
        <f>Sheet1!I1327</f>
        <v/>
      </c>
      <c r="J1327" s="5">
        <f>Sheet1!M1327 &amp; "," &amp; TEXT(Sheet1!N1327,"dd/mm/yy")</f>
        <v/>
      </c>
      <c r="K1327" s="5" t="inlineStr">
        <is>
          <t>PRINTED</t>
        </is>
      </c>
      <c r="L1327" t="inlineStr">
        <is>
          <t>25/03/2026</t>
        </is>
      </c>
      <c r="M1327" s="30" t="inlineStr">
        <is>
          <t>MANISH KATARIA, VICE CONSUL</t>
        </is>
      </c>
      <c r="N1327" s="30" t="n"/>
    </row>
    <row r="1328">
      <c r="A1328" s="4">
        <f>Sheet1!A1328 &amp; "/" &amp; "2025"</f>
        <v/>
      </c>
      <c r="B1328" s="5">
        <f>Sheet1!E1328</f>
        <v/>
      </c>
      <c r="C1328" s="6">
        <f>UPPER(Sheet1!B1328)</f>
        <v/>
      </c>
      <c r="D1328" s="7">
        <f>IF(Sheet1!F1328="F","FEMALE","MALE")</f>
        <v/>
      </c>
      <c r="E1328" s="6">
        <f>UPPER(Sheet1!G1328)</f>
        <v/>
      </c>
      <c r="F1328" s="6">
        <f>UPPER(Sheet1!H1328)</f>
        <v/>
      </c>
      <c r="G1328" s="5">
        <f>TEXT(Sheet1!C1328,"dd/mm/yyyy") &amp; "," &amp; Sheet1!D1328</f>
        <v/>
      </c>
      <c r="H1328" s="38">
        <f>UPPER(Sheet1!J1328 &amp; "," &amp; Sheet1!K1328 &amp; "," &amp; Sheet1!L1328)</f>
        <v/>
      </c>
      <c r="I1328" s="45">
        <f>Sheet1!I1328</f>
        <v/>
      </c>
      <c r="J1328" s="5">
        <f>Sheet1!M1328 &amp; "," &amp; TEXT(Sheet1!N1328,"dd/mm/yy")</f>
        <v/>
      </c>
      <c r="K1328" s="5" t="inlineStr">
        <is>
          <t>PRINTED</t>
        </is>
      </c>
      <c r="L1328" t="inlineStr">
        <is>
          <t>25/03/2026</t>
        </is>
      </c>
      <c r="M1328" s="30" t="inlineStr">
        <is>
          <t>MANISH KATARIA, VICE CONSUL</t>
        </is>
      </c>
      <c r="N1328" s="30" t="n"/>
    </row>
    <row r="1329">
      <c r="A1329" s="4">
        <f>Sheet1!A1329 &amp; "/" &amp; "2025"</f>
        <v/>
      </c>
      <c r="B1329" s="5">
        <f>Sheet1!E1329</f>
        <v/>
      </c>
      <c r="C1329" s="6">
        <f>UPPER(Sheet1!B1329)</f>
        <v/>
      </c>
      <c r="D1329" s="7">
        <f>IF(Sheet1!F1329="F","FEMALE","MALE")</f>
        <v/>
      </c>
      <c r="E1329" s="6">
        <f>UPPER(Sheet1!G1329)</f>
        <v/>
      </c>
      <c r="F1329" s="6">
        <f>UPPER(Sheet1!H1329)</f>
        <v/>
      </c>
      <c r="G1329" s="5">
        <f>TEXT(Sheet1!C1329,"dd/mm/yyyy") &amp; "," &amp; Sheet1!D1329</f>
        <v/>
      </c>
      <c r="H1329" s="38">
        <f>UPPER(Sheet1!J1329 &amp; "," &amp; Sheet1!K1329 &amp; "," &amp; Sheet1!L1329)</f>
        <v/>
      </c>
      <c r="I1329" s="45">
        <f>Sheet1!I1329</f>
        <v/>
      </c>
      <c r="J1329" s="5">
        <f>Sheet1!M1329 &amp; "," &amp; TEXT(Sheet1!N1329,"dd/mm/yy")</f>
        <v/>
      </c>
      <c r="K1329" s="5" t="inlineStr">
        <is>
          <t>PRINTED</t>
        </is>
      </c>
      <c r="L1329" t="inlineStr">
        <is>
          <t>25/03/2026</t>
        </is>
      </c>
      <c r="M1329" s="30" t="inlineStr">
        <is>
          <t>MANISH KATARIA, VICE CONSUL</t>
        </is>
      </c>
      <c r="N1329" s="30" t="n"/>
    </row>
    <row r="1330">
      <c r="A1330" s="4">
        <f>Sheet1!A1330 &amp; "/" &amp; "2025"</f>
        <v/>
      </c>
      <c r="B1330" s="5">
        <f>Sheet1!E1330</f>
        <v/>
      </c>
      <c r="C1330" s="6">
        <f>UPPER(Sheet1!B1330)</f>
        <v/>
      </c>
      <c r="D1330" s="7">
        <f>IF(Sheet1!F1330="F","FEMALE","MALE")</f>
        <v/>
      </c>
      <c r="E1330" s="6">
        <f>UPPER(Sheet1!G1330)</f>
        <v/>
      </c>
      <c r="F1330" s="6">
        <f>UPPER(Sheet1!H1330)</f>
        <v/>
      </c>
      <c r="G1330" s="5">
        <f>TEXT(Sheet1!C1330,"dd/mm/yyyy") &amp; "," &amp; Sheet1!D1330</f>
        <v/>
      </c>
      <c r="H1330" s="38">
        <f>UPPER(Sheet1!J1330 &amp; "," &amp; Sheet1!K1330 &amp; "," &amp; Sheet1!L1330)</f>
        <v/>
      </c>
      <c r="I1330" s="45">
        <f>Sheet1!I1330</f>
        <v/>
      </c>
      <c r="J1330" s="5">
        <f>Sheet1!M1330 &amp; "," &amp; TEXT(Sheet1!N1330,"dd/mm/yy")</f>
        <v/>
      </c>
      <c r="K1330" s="5" t="inlineStr">
        <is>
          <t>PRINTED</t>
        </is>
      </c>
      <c r="L1330" t="inlineStr">
        <is>
          <t>25/03/2026</t>
        </is>
      </c>
      <c r="M1330" s="30" t="inlineStr">
        <is>
          <t>MANISH KATARIA, VICE CONSUL</t>
        </is>
      </c>
      <c r="N1330" s="30" t="n"/>
    </row>
    <row r="1331">
      <c r="A1331" s="4">
        <f>Sheet1!A1331 &amp; "/" &amp; "2025"</f>
        <v/>
      </c>
      <c r="B1331" s="5">
        <f>Sheet1!E1331</f>
        <v/>
      </c>
      <c r="C1331" s="6">
        <f>UPPER(Sheet1!B1331)</f>
        <v/>
      </c>
      <c r="D1331" s="7">
        <f>IF(Sheet1!F1331="F","FEMALE","MALE")</f>
        <v/>
      </c>
      <c r="E1331" s="6">
        <f>UPPER(Sheet1!G1331)</f>
        <v/>
      </c>
      <c r="F1331" s="6">
        <f>UPPER(Sheet1!H1331)</f>
        <v/>
      </c>
      <c r="G1331" s="5">
        <f>TEXT(Sheet1!C1331,"dd/mm/yyyy") &amp; "," &amp; Sheet1!D1331</f>
        <v/>
      </c>
      <c r="H1331" s="38">
        <f>UPPER(Sheet1!J1331 &amp; "," &amp; Sheet1!K1331 &amp; "," &amp; Sheet1!L1331)</f>
        <v/>
      </c>
      <c r="I1331" s="45">
        <f>Sheet1!I1331</f>
        <v/>
      </c>
      <c r="J1331" s="5">
        <f>Sheet1!M1331 &amp; "," &amp; TEXT(Sheet1!N1331,"dd/mm/yy")</f>
        <v/>
      </c>
      <c r="K1331" s="5" t="inlineStr">
        <is>
          <t>PRINTED</t>
        </is>
      </c>
      <c r="L1331" t="inlineStr">
        <is>
          <t>25/03/2026</t>
        </is>
      </c>
      <c r="M1331" s="30" t="inlineStr">
        <is>
          <t>MANISH KATARIA, VICE CONSUL</t>
        </is>
      </c>
      <c r="N1331" s="30" t="n"/>
    </row>
    <row r="1332">
      <c r="A1332" s="4">
        <f>Sheet1!A1332 &amp; "/" &amp; "2025"</f>
        <v/>
      </c>
      <c r="B1332" s="5">
        <f>Sheet1!E1332</f>
        <v/>
      </c>
      <c r="C1332" s="6">
        <f>UPPER(Sheet1!B1332)</f>
        <v/>
      </c>
      <c r="D1332" s="7">
        <f>IF(Sheet1!F1332="F","FEMALE","MALE")</f>
        <v/>
      </c>
      <c r="E1332" s="6">
        <f>UPPER(Sheet1!G1332)</f>
        <v/>
      </c>
      <c r="F1332" s="6">
        <f>UPPER(Sheet1!H1332)</f>
        <v/>
      </c>
      <c r="G1332" s="5">
        <f>TEXT(Sheet1!C1332,"dd/mm/yyyy") &amp; "," &amp; Sheet1!D1332</f>
        <v/>
      </c>
      <c r="H1332" s="38">
        <f>UPPER(Sheet1!J1332 &amp; "," &amp; Sheet1!K1332 &amp; "," &amp; Sheet1!L1332)</f>
        <v/>
      </c>
      <c r="I1332" s="45">
        <f>Sheet1!I1332</f>
        <v/>
      </c>
      <c r="J1332" s="5">
        <f>Sheet1!M1332 &amp; "," &amp; TEXT(Sheet1!N1332,"dd/mm/yy")</f>
        <v/>
      </c>
      <c r="K1332" s="5" t="inlineStr">
        <is>
          <t>PRINTED</t>
        </is>
      </c>
      <c r="L1332" t="inlineStr">
        <is>
          <t>25/03/2026</t>
        </is>
      </c>
      <c r="M1332" s="30" t="inlineStr">
        <is>
          <t>MANISH KATARIA, VICE CONSUL</t>
        </is>
      </c>
      <c r="N1332" s="30" t="n"/>
    </row>
    <row r="1333">
      <c r="A1333" s="4">
        <f>Sheet1!A1333 &amp; "/" &amp; "2025"</f>
        <v/>
      </c>
      <c r="B1333" s="5">
        <f>Sheet1!E1333</f>
        <v/>
      </c>
      <c r="C1333" s="6">
        <f>UPPER(Sheet1!B1333)</f>
        <v/>
      </c>
      <c r="D1333" s="7">
        <f>IF(Sheet1!F1333="F","FEMALE","MALE")</f>
        <v/>
      </c>
      <c r="E1333" s="6">
        <f>UPPER(Sheet1!G1333)</f>
        <v/>
      </c>
      <c r="F1333" s="6">
        <f>UPPER(Sheet1!H1333)</f>
        <v/>
      </c>
      <c r="G1333" s="5">
        <f>TEXT(Sheet1!C1333,"dd/mm/yyyy") &amp; "," &amp; Sheet1!D1333</f>
        <v/>
      </c>
      <c r="H1333" s="38">
        <f>UPPER(Sheet1!J1333 &amp; "," &amp; Sheet1!K1333 &amp; "," &amp; Sheet1!L1333)</f>
        <v/>
      </c>
      <c r="I1333" s="45">
        <f>Sheet1!I1333</f>
        <v/>
      </c>
      <c r="J1333" s="5">
        <f>Sheet1!M1333 &amp; "," &amp; TEXT(Sheet1!N1333,"dd/mm/yy")</f>
        <v/>
      </c>
      <c r="K1333" s="5" t="inlineStr">
        <is>
          <t>PRINTED</t>
        </is>
      </c>
      <c r="L1333" t="inlineStr">
        <is>
          <t>25/03/2026</t>
        </is>
      </c>
      <c r="M1333" s="30" t="inlineStr">
        <is>
          <t>MANISH KATARIA, VICE CONSUL</t>
        </is>
      </c>
      <c r="N1333" s="30" t="n"/>
    </row>
    <row r="1334">
      <c r="A1334" s="4">
        <f>Sheet1!A1334 &amp; "/" &amp; "2025"</f>
        <v/>
      </c>
      <c r="B1334" s="5">
        <f>Sheet1!E1334</f>
        <v/>
      </c>
      <c r="C1334" s="6">
        <f>UPPER(Sheet1!B1334)</f>
        <v/>
      </c>
      <c r="D1334" s="7">
        <f>IF(Sheet1!F1334="F","FEMALE","MALE")</f>
        <v/>
      </c>
      <c r="E1334" s="6">
        <f>UPPER(Sheet1!G1334)</f>
        <v/>
      </c>
      <c r="F1334" s="6">
        <f>UPPER(Sheet1!H1334)</f>
        <v/>
      </c>
      <c r="G1334" s="5">
        <f>TEXT(Sheet1!C1334,"dd/mm/yyyy") &amp; "," &amp; Sheet1!D1334</f>
        <v/>
      </c>
      <c r="H1334" s="38">
        <f>UPPER(Sheet1!J1334 &amp; "," &amp; Sheet1!K1334 &amp; "," &amp; Sheet1!L1334)</f>
        <v/>
      </c>
      <c r="I1334" s="45">
        <f>Sheet1!I1334</f>
        <v/>
      </c>
      <c r="J1334" s="5">
        <f>Sheet1!M1334 &amp; "," &amp; TEXT(Sheet1!N1334,"dd/mm/yy")</f>
        <v/>
      </c>
      <c r="K1334" s="5" t="inlineStr">
        <is>
          <t>PRINTED</t>
        </is>
      </c>
      <c r="L1334" t="inlineStr">
        <is>
          <t>25/03/2026</t>
        </is>
      </c>
      <c r="M1334" s="30" t="inlineStr">
        <is>
          <t>MANISH KATARIA, VICE CONSUL</t>
        </is>
      </c>
      <c r="N1334" s="30" t="n"/>
    </row>
    <row r="1335">
      <c r="A1335" s="4">
        <f>Sheet1!A1335 &amp; "/" &amp; "2025"</f>
        <v/>
      </c>
      <c r="B1335" s="5">
        <f>Sheet1!E1335</f>
        <v/>
      </c>
      <c r="C1335" s="6">
        <f>UPPER(Sheet1!B1335)</f>
        <v/>
      </c>
      <c r="D1335" s="7">
        <f>IF(Sheet1!F1335="F","FEMALE","MALE")</f>
        <v/>
      </c>
      <c r="E1335" s="6">
        <f>UPPER(Sheet1!G1335)</f>
        <v/>
      </c>
      <c r="F1335" s="6">
        <f>UPPER(Sheet1!H1335)</f>
        <v/>
      </c>
      <c r="G1335" s="5">
        <f>TEXT(Sheet1!C1335,"dd/mm/yyyy") &amp; "," &amp; Sheet1!D1335</f>
        <v/>
      </c>
      <c r="H1335" s="38">
        <f>UPPER(Sheet1!J1335 &amp; "," &amp; Sheet1!K1335 &amp; "," &amp; Sheet1!L1335)</f>
        <v/>
      </c>
      <c r="I1335" s="45">
        <f>Sheet1!I1335</f>
        <v/>
      </c>
      <c r="J1335" s="5">
        <f>Sheet1!M1335 &amp; "," &amp; TEXT(Sheet1!N1335,"dd/mm/yy")</f>
        <v/>
      </c>
      <c r="K1335" s="5" t="inlineStr">
        <is>
          <t>PRINTED</t>
        </is>
      </c>
      <c r="L1335" t="inlineStr">
        <is>
          <t>25/03/2026</t>
        </is>
      </c>
      <c r="M1335" s="30" t="inlineStr">
        <is>
          <t>MANISH KATARIA, VICE CONSUL</t>
        </is>
      </c>
      <c r="N1335" s="30" t="n"/>
    </row>
    <row r="1336">
      <c r="A1336" s="4">
        <f>Sheet1!A1336 &amp; "/" &amp; "2025"</f>
        <v/>
      </c>
      <c r="B1336" s="5">
        <f>Sheet1!E1336</f>
        <v/>
      </c>
      <c r="C1336" s="6">
        <f>UPPER(Sheet1!B1336)</f>
        <v/>
      </c>
      <c r="D1336" s="7">
        <f>IF(Sheet1!F1336="F","FEMALE","MALE")</f>
        <v/>
      </c>
      <c r="E1336" s="6">
        <f>UPPER(Sheet1!G1336)</f>
        <v/>
      </c>
      <c r="F1336" s="6">
        <f>UPPER(Sheet1!H1336)</f>
        <v/>
      </c>
      <c r="G1336" s="5">
        <f>TEXT(Sheet1!C1336,"dd/mm/yyyy") &amp; "," &amp; Sheet1!D1336</f>
        <v/>
      </c>
      <c r="H1336" s="38">
        <f>UPPER(Sheet1!J1336 &amp; "," &amp; Sheet1!K1336 &amp; "," &amp; Sheet1!L1336)</f>
        <v/>
      </c>
      <c r="I1336" s="45">
        <f>Sheet1!I1336</f>
        <v/>
      </c>
      <c r="J1336" s="5">
        <f>Sheet1!M1336 &amp; "," &amp; TEXT(Sheet1!N1336,"dd/mm/yy")</f>
        <v/>
      </c>
      <c r="K1336" s="5" t="inlineStr">
        <is>
          <t>PRINTED</t>
        </is>
      </c>
      <c r="L1336" t="inlineStr">
        <is>
          <t>25/03/2026</t>
        </is>
      </c>
      <c r="M1336" s="30" t="inlineStr">
        <is>
          <t>MANISH KATARIA, VICE CONSUL</t>
        </is>
      </c>
      <c r="N1336" s="30" t="n"/>
    </row>
    <row r="1337">
      <c r="A1337" s="4">
        <f>Sheet1!A1337 &amp; "/" &amp; "2025"</f>
        <v/>
      </c>
      <c r="B1337" s="5">
        <f>Sheet1!E1337</f>
        <v/>
      </c>
      <c r="C1337" s="6">
        <f>UPPER(Sheet1!B1337)</f>
        <v/>
      </c>
      <c r="D1337" s="7">
        <f>IF(Sheet1!F1337="F","FEMALE","MALE")</f>
        <v/>
      </c>
      <c r="E1337" s="6">
        <f>UPPER(Sheet1!G1337)</f>
        <v/>
      </c>
      <c r="F1337" s="6">
        <f>UPPER(Sheet1!H1337)</f>
        <v/>
      </c>
      <c r="G1337" s="5">
        <f>TEXT(Sheet1!C1337,"dd/mm/yyyy") &amp; "," &amp; Sheet1!D1337</f>
        <v/>
      </c>
      <c r="H1337" s="38">
        <f>UPPER(Sheet1!J1337 &amp; "," &amp; Sheet1!K1337 &amp; "," &amp; Sheet1!L1337)</f>
        <v/>
      </c>
      <c r="I1337" s="45">
        <f>Sheet1!I1337</f>
        <v/>
      </c>
      <c r="J1337" s="5">
        <f>Sheet1!M1337 &amp; "," &amp; TEXT(Sheet1!N1337,"dd/mm/yy")</f>
        <v/>
      </c>
      <c r="K1337" s="5" t="inlineStr">
        <is>
          <t>PRINTED</t>
        </is>
      </c>
      <c r="L1337" t="inlineStr">
        <is>
          <t>25/03/2026</t>
        </is>
      </c>
      <c r="M1337" s="30" t="inlineStr">
        <is>
          <t>MANISH KATARIA, VICE CONSUL</t>
        </is>
      </c>
      <c r="N1337" s="30" t="n"/>
    </row>
    <row r="1338">
      <c r="A1338" s="4">
        <f>Sheet1!A1338 &amp; "/" &amp; "2025"</f>
        <v/>
      </c>
      <c r="B1338" s="5">
        <f>Sheet1!E1338</f>
        <v/>
      </c>
      <c r="C1338" s="6">
        <f>UPPER(Sheet1!B1338)</f>
        <v/>
      </c>
      <c r="D1338" s="7">
        <f>IF(Sheet1!F1338="F","FEMALE","MALE")</f>
        <v/>
      </c>
      <c r="E1338" s="6">
        <f>UPPER(Sheet1!G1338)</f>
        <v/>
      </c>
      <c r="F1338" s="6">
        <f>UPPER(Sheet1!H1338)</f>
        <v/>
      </c>
      <c r="G1338" s="5">
        <f>TEXT(Sheet1!C1338,"dd/mm/yyyy") &amp; "," &amp; Sheet1!D1338</f>
        <v/>
      </c>
      <c r="H1338" s="38">
        <f>UPPER(Sheet1!J1338 &amp; "," &amp; Sheet1!K1338 &amp; "," &amp; Sheet1!L1338)</f>
        <v/>
      </c>
      <c r="I1338" s="45">
        <f>Sheet1!I1338</f>
        <v/>
      </c>
      <c r="J1338" s="5">
        <f>Sheet1!M1338 &amp; "," &amp; TEXT(Sheet1!N1338,"dd/mm/yy")</f>
        <v/>
      </c>
      <c r="K1338" s="5" t="inlineStr">
        <is>
          <t>PRINTED</t>
        </is>
      </c>
      <c r="L1338" t="inlineStr">
        <is>
          <t>25/03/2026</t>
        </is>
      </c>
      <c r="M1338" s="30" t="inlineStr">
        <is>
          <t>MANISH KATARIA, VICE CONSUL</t>
        </is>
      </c>
      <c r="N1338" s="30" t="n"/>
    </row>
    <row r="1339">
      <c r="A1339" s="4">
        <f>Sheet1!A1339 &amp; "/" &amp; "2025"</f>
        <v/>
      </c>
      <c r="B1339" s="5">
        <f>Sheet1!E1339</f>
        <v/>
      </c>
      <c r="C1339" s="6">
        <f>UPPER(Sheet1!B1339)</f>
        <v/>
      </c>
      <c r="D1339" s="7">
        <f>IF(Sheet1!F1339="F","FEMALE","MALE")</f>
        <v/>
      </c>
      <c r="E1339" s="6">
        <f>UPPER(Sheet1!G1339)</f>
        <v/>
      </c>
      <c r="F1339" s="6">
        <f>UPPER(Sheet1!H1339)</f>
        <v/>
      </c>
      <c r="G1339" s="5">
        <f>TEXT(Sheet1!C1339,"dd/mm/yyyy") &amp; "," &amp; Sheet1!D1339</f>
        <v/>
      </c>
      <c r="H1339" s="38">
        <f>UPPER(Sheet1!J1339 &amp; "," &amp; Sheet1!K1339 &amp; "," &amp; Sheet1!L1339)</f>
        <v/>
      </c>
      <c r="I1339" s="45">
        <f>Sheet1!I1339</f>
        <v/>
      </c>
      <c r="J1339" s="5">
        <f>Sheet1!M1339 &amp; "," &amp; TEXT(Sheet1!N1339,"dd/mm/yy")</f>
        <v/>
      </c>
      <c r="K1339" s="5" t="inlineStr">
        <is>
          <t>PRINTED</t>
        </is>
      </c>
      <c r="L1339" t="inlineStr">
        <is>
          <t>25/03/2026</t>
        </is>
      </c>
      <c r="M1339" s="30" t="inlineStr">
        <is>
          <t>MANISH KATARIA, VICE CONSUL</t>
        </is>
      </c>
      <c r="N1339" s="30" t="n"/>
    </row>
    <row r="1340">
      <c r="A1340" s="4">
        <f>Sheet1!A1340 &amp; "/" &amp; "2025"</f>
        <v/>
      </c>
      <c r="B1340" s="5">
        <f>Sheet1!E1340</f>
        <v/>
      </c>
      <c r="C1340" s="6">
        <f>UPPER(Sheet1!B1340)</f>
        <v/>
      </c>
      <c r="D1340" s="7">
        <f>IF(Sheet1!F1340="F","FEMALE","MALE")</f>
        <v/>
      </c>
      <c r="E1340" s="6">
        <f>UPPER(Sheet1!G1340)</f>
        <v/>
      </c>
      <c r="F1340" s="6">
        <f>UPPER(Sheet1!H1340)</f>
        <v/>
      </c>
      <c r="G1340" s="5">
        <f>TEXT(Sheet1!C1340,"dd/mm/yyyy") &amp; "," &amp; Sheet1!D1340</f>
        <v/>
      </c>
      <c r="H1340" s="38">
        <f>UPPER(Sheet1!J1340 &amp; "," &amp; Sheet1!K1340 &amp; "," &amp; Sheet1!L1340)</f>
        <v/>
      </c>
      <c r="I1340" s="45">
        <f>Sheet1!I1340</f>
        <v/>
      </c>
      <c r="J1340" s="5">
        <f>Sheet1!M1340 &amp; "," &amp; TEXT(Sheet1!N1340,"dd/mm/yy")</f>
        <v/>
      </c>
      <c r="K1340" s="5" t="inlineStr">
        <is>
          <t>PRINTED</t>
        </is>
      </c>
      <c r="L1340" t="inlineStr">
        <is>
          <t>25/03/2026</t>
        </is>
      </c>
      <c r="M1340" s="30" t="inlineStr">
        <is>
          <t>MANISH KATARIA, VICE CONSUL</t>
        </is>
      </c>
      <c r="N1340" s="30" t="n"/>
    </row>
    <row r="1341">
      <c r="A1341" s="4">
        <f>Sheet1!A1341 &amp; "/" &amp; "2025"</f>
        <v/>
      </c>
      <c r="B1341" s="5">
        <f>Sheet1!E1341</f>
        <v/>
      </c>
      <c r="C1341" s="6">
        <f>UPPER(Sheet1!B1341)</f>
        <v/>
      </c>
      <c r="D1341" s="7">
        <f>IF(Sheet1!F1341="F","FEMALE","MALE")</f>
        <v/>
      </c>
      <c r="E1341" s="6">
        <f>UPPER(Sheet1!G1341)</f>
        <v/>
      </c>
      <c r="F1341" s="6">
        <f>UPPER(Sheet1!H1341)</f>
        <v/>
      </c>
      <c r="G1341" s="5">
        <f>TEXT(Sheet1!C1341,"dd/mm/yyyy") &amp; "," &amp; Sheet1!D1341</f>
        <v/>
      </c>
      <c r="H1341" s="38">
        <f>UPPER(Sheet1!J1341 &amp; "," &amp; Sheet1!K1341 &amp; "," &amp; Sheet1!L1341)</f>
        <v/>
      </c>
      <c r="I1341" s="45">
        <f>Sheet1!I1341</f>
        <v/>
      </c>
      <c r="J1341" s="5">
        <f>Sheet1!M1341 &amp; "," &amp; TEXT(Sheet1!N1341,"dd/mm/yy")</f>
        <v/>
      </c>
      <c r="K1341" s="5" t="inlineStr">
        <is>
          <t>PRINTED</t>
        </is>
      </c>
      <c r="L1341" t="inlineStr">
        <is>
          <t>25/03/2026</t>
        </is>
      </c>
      <c r="M1341" s="30" t="inlineStr">
        <is>
          <t>MANISH KATARIA, VICE CONSUL</t>
        </is>
      </c>
      <c r="N1341" s="30" t="n"/>
    </row>
    <row r="1342">
      <c r="A1342" s="4">
        <f>Sheet1!A1342 &amp; "/" &amp; "2025"</f>
        <v/>
      </c>
      <c r="B1342" s="5">
        <f>Sheet1!E1342</f>
        <v/>
      </c>
      <c r="C1342" s="6">
        <f>UPPER(Sheet1!B1342)</f>
        <v/>
      </c>
      <c r="D1342" s="7">
        <f>IF(Sheet1!F1342="F","FEMALE","MALE")</f>
        <v/>
      </c>
      <c r="E1342" s="6">
        <f>UPPER(Sheet1!G1342)</f>
        <v/>
      </c>
      <c r="F1342" s="6">
        <f>UPPER(Sheet1!H1342)</f>
        <v/>
      </c>
      <c r="G1342" s="5">
        <f>TEXT(Sheet1!C1342,"dd/mm/yyyy") &amp; "," &amp; Sheet1!D1342</f>
        <v/>
      </c>
      <c r="H1342" s="38">
        <f>UPPER(Sheet1!J1342 &amp; "," &amp; Sheet1!K1342 &amp; "," &amp; Sheet1!L1342)</f>
        <v/>
      </c>
      <c r="I1342" s="45">
        <f>Sheet1!I1342</f>
        <v/>
      </c>
      <c r="J1342" s="5">
        <f>Sheet1!M1342 &amp; "," &amp; TEXT(Sheet1!N1342,"dd/mm/yy")</f>
        <v/>
      </c>
      <c r="K1342" s="5" t="inlineStr">
        <is>
          <t>PRINTED</t>
        </is>
      </c>
      <c r="L1342" t="inlineStr">
        <is>
          <t>25/03/2026</t>
        </is>
      </c>
      <c r="M1342" s="30" t="inlineStr">
        <is>
          <t>MANISH KATARIA, VICE CONSUL</t>
        </is>
      </c>
      <c r="N1342" s="30" t="n"/>
    </row>
    <row r="1343">
      <c r="A1343" s="4">
        <f>Sheet1!A1343 &amp; "/" &amp; "2025"</f>
        <v/>
      </c>
      <c r="B1343" s="5">
        <f>Sheet1!E1343</f>
        <v/>
      </c>
      <c r="C1343" s="6">
        <f>UPPER(Sheet1!B1343)</f>
        <v/>
      </c>
      <c r="D1343" s="7">
        <f>IF(Sheet1!F1343="F","FEMALE","MALE")</f>
        <v/>
      </c>
      <c r="E1343" s="6">
        <f>UPPER(Sheet1!G1343)</f>
        <v/>
      </c>
      <c r="F1343" s="6">
        <f>UPPER(Sheet1!H1343)</f>
        <v/>
      </c>
      <c r="G1343" s="5">
        <f>TEXT(Sheet1!C1343,"dd/mm/yyyy") &amp; "," &amp; Sheet1!D1343</f>
        <v/>
      </c>
      <c r="H1343" s="38">
        <f>UPPER(Sheet1!J1343 &amp; "," &amp; Sheet1!K1343 &amp; "," &amp; Sheet1!L1343)</f>
        <v/>
      </c>
      <c r="I1343" s="45">
        <f>Sheet1!I1343</f>
        <v/>
      </c>
      <c r="J1343" s="5">
        <f>Sheet1!M1343 &amp; "," &amp; TEXT(Sheet1!N1343,"dd/mm/yy")</f>
        <v/>
      </c>
      <c r="K1343" s="5" t="inlineStr">
        <is>
          <t>PRINTED</t>
        </is>
      </c>
      <c r="L1343" t="inlineStr">
        <is>
          <t>25/03/2026</t>
        </is>
      </c>
      <c r="M1343" s="30" t="inlineStr">
        <is>
          <t>MANISH KATARIA, VICE CONSUL</t>
        </is>
      </c>
      <c r="N1343" s="30" t="n"/>
    </row>
    <row r="1344">
      <c r="A1344" s="4">
        <f>Sheet1!A1344 &amp; "/" &amp; "2025"</f>
        <v/>
      </c>
      <c r="B1344" s="5">
        <f>Sheet1!E1344</f>
        <v/>
      </c>
      <c r="C1344" s="6">
        <f>UPPER(Sheet1!B1344)</f>
        <v/>
      </c>
      <c r="D1344" s="7">
        <f>IF(Sheet1!F1344="F","FEMALE","MALE")</f>
        <v/>
      </c>
      <c r="E1344" s="6">
        <f>UPPER(Sheet1!G1344)</f>
        <v/>
      </c>
      <c r="F1344" s="6">
        <f>UPPER(Sheet1!H1344)</f>
        <v/>
      </c>
      <c r="G1344" s="5">
        <f>TEXT(Sheet1!C1344,"dd/mm/yyyy") &amp; "," &amp; Sheet1!D1344</f>
        <v/>
      </c>
      <c r="H1344" s="38">
        <f>UPPER(Sheet1!J1344 &amp; "," &amp; Sheet1!K1344 &amp; "," &amp; Sheet1!L1344)</f>
        <v/>
      </c>
      <c r="I1344" s="45">
        <f>Sheet1!I1344</f>
        <v/>
      </c>
      <c r="J1344" s="5">
        <f>Sheet1!M1344 &amp; "," &amp; TEXT(Sheet1!N1344,"dd/mm/yy")</f>
        <v/>
      </c>
      <c r="K1344" s="5" t="inlineStr">
        <is>
          <t>PRINTED</t>
        </is>
      </c>
      <c r="L1344" t="inlineStr">
        <is>
          <t>25/03/2026</t>
        </is>
      </c>
      <c r="M1344" s="30" t="inlineStr">
        <is>
          <t>MANISH KATARIA, VICE CONSUL</t>
        </is>
      </c>
      <c r="N1344" s="30" t="n"/>
    </row>
    <row r="1345">
      <c r="A1345" s="4">
        <f>Sheet1!A1345 &amp; "/" &amp; "2025"</f>
        <v/>
      </c>
      <c r="B1345" s="5">
        <f>Sheet1!E1345</f>
        <v/>
      </c>
      <c r="C1345" s="6">
        <f>UPPER(Sheet1!B1345)</f>
        <v/>
      </c>
      <c r="D1345" s="7">
        <f>IF(Sheet1!F1345="F","FEMALE","MALE")</f>
        <v/>
      </c>
      <c r="E1345" s="6">
        <f>UPPER(Sheet1!G1345)</f>
        <v/>
      </c>
      <c r="F1345" s="6">
        <f>UPPER(Sheet1!H1345)</f>
        <v/>
      </c>
      <c r="G1345" s="5">
        <f>TEXT(Sheet1!C1345,"dd/mm/yyyy") &amp; "," &amp; Sheet1!D1345</f>
        <v/>
      </c>
      <c r="H1345" s="38">
        <f>UPPER(Sheet1!J1345 &amp; "," &amp; Sheet1!K1345 &amp; "," &amp; Sheet1!L1345)</f>
        <v/>
      </c>
      <c r="I1345" s="45">
        <f>Sheet1!I1345</f>
        <v/>
      </c>
      <c r="J1345" s="5">
        <f>Sheet1!M1345 &amp; "," &amp; TEXT(Sheet1!N1345,"dd/mm/yy")</f>
        <v/>
      </c>
      <c r="K1345" s="5" t="inlineStr">
        <is>
          <t>PRINTED</t>
        </is>
      </c>
      <c r="L1345" t="inlineStr">
        <is>
          <t>25/03/2026</t>
        </is>
      </c>
      <c r="M1345" s="30" t="inlineStr">
        <is>
          <t>MANISH KATARIA, VICE CONSUL</t>
        </is>
      </c>
      <c r="N1345" s="30" t="n"/>
    </row>
    <row r="1346">
      <c r="A1346" s="4">
        <f>Sheet1!A1346 &amp; "/" &amp; "2025"</f>
        <v/>
      </c>
      <c r="B1346" s="5">
        <f>Sheet1!E1346</f>
        <v/>
      </c>
      <c r="C1346" s="6">
        <f>UPPER(Sheet1!B1346)</f>
        <v/>
      </c>
      <c r="D1346" s="7">
        <f>IF(Sheet1!F1346="F","FEMALE","MALE")</f>
        <v/>
      </c>
      <c r="E1346" s="6">
        <f>UPPER(Sheet1!G1346)</f>
        <v/>
      </c>
      <c r="F1346" s="6">
        <f>UPPER(Sheet1!H1346)</f>
        <v/>
      </c>
      <c r="G1346" s="5">
        <f>TEXT(Sheet1!C1346,"dd/mm/yyyy") &amp; "," &amp; Sheet1!D1346</f>
        <v/>
      </c>
      <c r="H1346" s="38">
        <f>UPPER(Sheet1!J1346 &amp; "," &amp; Sheet1!K1346 &amp; "," &amp; Sheet1!L1346)</f>
        <v/>
      </c>
      <c r="I1346" s="45">
        <f>Sheet1!I1346</f>
        <v/>
      </c>
      <c r="J1346" s="5">
        <f>Sheet1!M1346 &amp; "," &amp; TEXT(Sheet1!N1346,"dd/mm/yy")</f>
        <v/>
      </c>
      <c r="K1346" s="5" t="inlineStr">
        <is>
          <t>PRINTED</t>
        </is>
      </c>
      <c r="L1346" t="inlineStr">
        <is>
          <t>25/03/2026</t>
        </is>
      </c>
      <c r="M1346" s="30" t="inlineStr">
        <is>
          <t>MANISH KATARIA, VICE CONSUL</t>
        </is>
      </c>
      <c r="N1346" s="30" t="n"/>
    </row>
    <row r="1347">
      <c r="A1347" s="4">
        <f>Sheet1!A1347 &amp; "/" &amp; "2025"</f>
        <v/>
      </c>
      <c r="B1347" s="5">
        <f>Sheet1!E1347</f>
        <v/>
      </c>
      <c r="C1347" s="6">
        <f>UPPER(Sheet1!B1347)</f>
        <v/>
      </c>
      <c r="D1347" s="7">
        <f>IF(Sheet1!F1347="F","FEMALE","MALE")</f>
        <v/>
      </c>
      <c r="E1347" s="6">
        <f>UPPER(Sheet1!G1347)</f>
        <v/>
      </c>
      <c r="F1347" s="6">
        <f>UPPER(Sheet1!H1347)</f>
        <v/>
      </c>
      <c r="G1347" s="5">
        <f>TEXT(Sheet1!C1347,"dd/mm/yyyy") &amp; "," &amp; Sheet1!D1347</f>
        <v/>
      </c>
      <c r="H1347" s="38">
        <f>UPPER(Sheet1!J1347 &amp; "," &amp; Sheet1!K1347 &amp; "," &amp; Sheet1!L1347)</f>
        <v/>
      </c>
      <c r="I1347" s="45">
        <f>Sheet1!I1347</f>
        <v/>
      </c>
      <c r="J1347" s="5">
        <f>Sheet1!M1347 &amp; "," &amp; TEXT(Sheet1!N1347,"dd/mm/yy")</f>
        <v/>
      </c>
      <c r="K1347" s="5" t="inlineStr">
        <is>
          <t>PRINTED</t>
        </is>
      </c>
      <c r="L1347" t="inlineStr">
        <is>
          <t>25/03/2026</t>
        </is>
      </c>
      <c r="M1347" s="30" t="inlineStr">
        <is>
          <t>MANISH KATARIA, VICE CONSUL</t>
        </is>
      </c>
      <c r="N1347" s="30" t="n"/>
    </row>
    <row r="1348">
      <c r="A1348" s="4">
        <f>Sheet1!A1348 &amp; "/" &amp; "2025"</f>
        <v/>
      </c>
      <c r="B1348" s="5">
        <f>Sheet1!E1348</f>
        <v/>
      </c>
      <c r="C1348" s="6">
        <f>UPPER(Sheet1!B1348)</f>
        <v/>
      </c>
      <c r="D1348" s="7">
        <f>IF(Sheet1!F1348="F","FEMALE","MALE")</f>
        <v/>
      </c>
      <c r="E1348" s="6">
        <f>UPPER(Sheet1!G1348)</f>
        <v/>
      </c>
      <c r="F1348" s="6">
        <f>UPPER(Sheet1!H1348)</f>
        <v/>
      </c>
      <c r="G1348" s="5">
        <f>TEXT(Sheet1!C1348,"dd/mm/yyyy") &amp; "," &amp; Sheet1!D1348</f>
        <v/>
      </c>
      <c r="H1348" s="38">
        <f>UPPER(Sheet1!J1348 &amp; "," &amp; Sheet1!K1348 &amp; "," &amp; Sheet1!L1348)</f>
        <v/>
      </c>
      <c r="I1348" s="45">
        <f>Sheet1!I1348</f>
        <v/>
      </c>
      <c r="J1348" s="5">
        <f>Sheet1!M1348 &amp; "," &amp; TEXT(Sheet1!N1348,"dd/mm/yy")</f>
        <v/>
      </c>
      <c r="K1348" s="5" t="inlineStr">
        <is>
          <t>PRINTED</t>
        </is>
      </c>
      <c r="L1348" t="inlineStr">
        <is>
          <t>25/03/2026</t>
        </is>
      </c>
      <c r="M1348" s="30" t="inlineStr">
        <is>
          <t>MANISH KATARIA, VICE CONSUL</t>
        </is>
      </c>
      <c r="N1348" s="30" t="n"/>
    </row>
    <row r="1349">
      <c r="A1349" s="4">
        <f>Sheet1!A1349 &amp; "/" &amp; "2025"</f>
        <v/>
      </c>
      <c r="B1349" s="5">
        <f>Sheet1!E1349</f>
        <v/>
      </c>
      <c r="C1349" s="6">
        <f>UPPER(Sheet1!B1349)</f>
        <v/>
      </c>
      <c r="D1349" s="7">
        <f>IF(Sheet1!F1349="F","FEMALE","MALE")</f>
        <v/>
      </c>
      <c r="E1349" s="6">
        <f>UPPER(Sheet1!G1349)</f>
        <v/>
      </c>
      <c r="F1349" s="6">
        <f>UPPER(Sheet1!H1349)</f>
        <v/>
      </c>
      <c r="G1349" s="5">
        <f>TEXT(Sheet1!C1349,"dd/mm/yyyy") &amp; "," &amp; Sheet1!D1349</f>
        <v/>
      </c>
      <c r="H1349" s="38">
        <f>UPPER(Sheet1!J1349 &amp; "," &amp; Sheet1!K1349 &amp; "," &amp; Sheet1!L1349)</f>
        <v/>
      </c>
      <c r="I1349" s="45">
        <f>Sheet1!I1349</f>
        <v/>
      </c>
      <c r="J1349" s="5">
        <f>Sheet1!M1349 &amp; "," &amp; TEXT(Sheet1!N1349,"dd/mm/yy")</f>
        <v/>
      </c>
      <c r="K1349" s="5" t="inlineStr">
        <is>
          <t>PRINTED</t>
        </is>
      </c>
      <c r="L1349" t="inlineStr">
        <is>
          <t>25/03/2026</t>
        </is>
      </c>
      <c r="M1349" s="30" t="inlineStr">
        <is>
          <t>MANISH KATARIA, VICE CONSUL</t>
        </is>
      </c>
      <c r="N1349" s="30" t="n"/>
    </row>
    <row r="1350">
      <c r="A1350" s="4">
        <f>Sheet1!A1350 &amp; "/" &amp; "2025"</f>
        <v/>
      </c>
      <c r="B1350" s="5">
        <f>Sheet1!E1350</f>
        <v/>
      </c>
      <c r="C1350" s="6">
        <f>UPPER(Sheet1!B1350)</f>
        <v/>
      </c>
      <c r="D1350" s="7">
        <f>IF(Sheet1!F1350="F","FEMALE","MALE")</f>
        <v/>
      </c>
      <c r="E1350" s="6">
        <f>UPPER(Sheet1!G1350)</f>
        <v/>
      </c>
      <c r="F1350" s="6">
        <f>UPPER(Sheet1!H1350)</f>
        <v/>
      </c>
      <c r="G1350" s="5">
        <f>TEXT(Sheet1!C1350,"dd/mm/yyyy") &amp; "," &amp; Sheet1!D1350</f>
        <v/>
      </c>
      <c r="H1350" s="38">
        <f>UPPER(Sheet1!J1350 &amp; "," &amp; Sheet1!K1350 &amp; "," &amp; Sheet1!L1350)</f>
        <v/>
      </c>
      <c r="I1350" s="45">
        <f>Sheet1!I1350</f>
        <v/>
      </c>
      <c r="J1350" s="5">
        <f>Sheet1!M1350 &amp; "," &amp; TEXT(Sheet1!N1350,"dd/mm/yy")</f>
        <v/>
      </c>
      <c r="K1350" s="5" t="inlineStr">
        <is>
          <t>PRINTED</t>
        </is>
      </c>
      <c r="L1350" t="inlineStr">
        <is>
          <t>25/03/2026</t>
        </is>
      </c>
      <c r="M1350" s="30" t="inlineStr">
        <is>
          <t>MANISH KATARIA, VICE CONSUL</t>
        </is>
      </c>
      <c r="N1350" s="30" t="n"/>
    </row>
    <row r="1351">
      <c r="A1351" s="4">
        <f>Sheet1!A1351 &amp; "/" &amp; "2025"</f>
        <v/>
      </c>
      <c r="B1351" s="5">
        <f>Sheet1!E1351</f>
        <v/>
      </c>
      <c r="C1351" s="6">
        <f>UPPER(Sheet1!B1351)</f>
        <v/>
      </c>
      <c r="D1351" s="7">
        <f>IF(Sheet1!F1351="F","FEMALE","MALE")</f>
        <v/>
      </c>
      <c r="E1351" s="6">
        <f>UPPER(Sheet1!G1351)</f>
        <v/>
      </c>
      <c r="F1351" s="6">
        <f>UPPER(Sheet1!H1351)</f>
        <v/>
      </c>
      <c r="G1351" s="5">
        <f>TEXT(Sheet1!C1351,"dd/mm/yyyy") &amp; "," &amp; Sheet1!D1351</f>
        <v/>
      </c>
      <c r="H1351" s="38">
        <f>UPPER(Sheet1!J1351 &amp; "," &amp; Sheet1!K1351 &amp; "," &amp; Sheet1!L1351)</f>
        <v/>
      </c>
      <c r="I1351" s="45">
        <f>Sheet1!I1351</f>
        <v/>
      </c>
      <c r="J1351" s="5">
        <f>Sheet1!M1351 &amp; "," &amp; TEXT(Sheet1!N1351,"dd/mm/yy")</f>
        <v/>
      </c>
      <c r="K1351" s="5" t="inlineStr">
        <is>
          <t>PRINTED</t>
        </is>
      </c>
      <c r="L1351" t="inlineStr">
        <is>
          <t>25/03/2026</t>
        </is>
      </c>
      <c r="M1351" s="30" t="inlineStr">
        <is>
          <t>MANISH KATARIA, VICE CONSUL</t>
        </is>
      </c>
      <c r="N1351" s="30" t="n"/>
    </row>
    <row r="1352">
      <c r="A1352" s="4">
        <f>Sheet1!A1352 &amp; "/" &amp; "2025"</f>
        <v/>
      </c>
      <c r="B1352" s="5">
        <f>Sheet1!E1352</f>
        <v/>
      </c>
      <c r="C1352" s="6">
        <f>UPPER(Sheet1!B1352)</f>
        <v/>
      </c>
      <c r="D1352" s="7">
        <f>IF(Sheet1!F1352="F","FEMALE","MALE")</f>
        <v/>
      </c>
      <c r="E1352" s="6">
        <f>UPPER(Sheet1!G1352)</f>
        <v/>
      </c>
      <c r="F1352" s="6">
        <f>UPPER(Sheet1!H1352)</f>
        <v/>
      </c>
      <c r="G1352" s="5">
        <f>TEXT(Sheet1!C1352,"dd/mm/yyyy") &amp; "," &amp; Sheet1!D1352</f>
        <v/>
      </c>
      <c r="H1352" s="38">
        <f>UPPER(Sheet1!J1352 &amp; "," &amp; Sheet1!K1352 &amp; "," &amp; Sheet1!L1352)</f>
        <v/>
      </c>
      <c r="I1352" s="45">
        <f>Sheet1!I1352</f>
        <v/>
      </c>
      <c r="J1352" s="5">
        <f>Sheet1!M1352 &amp; "," &amp; TEXT(Sheet1!N1352,"dd/mm/yy")</f>
        <v/>
      </c>
      <c r="K1352" s="5" t="inlineStr">
        <is>
          <t>PRINTED</t>
        </is>
      </c>
      <c r="L1352" t="inlineStr">
        <is>
          <t>25/03/2026</t>
        </is>
      </c>
      <c r="M1352" s="30" t="inlineStr">
        <is>
          <t>MANISH KATARIA, VICE CONSUL</t>
        </is>
      </c>
      <c r="N1352" s="30" t="n"/>
    </row>
    <row r="1353">
      <c r="A1353" s="4">
        <f>Sheet1!A1353 &amp; "/" &amp; "2025"</f>
        <v/>
      </c>
      <c r="B1353" s="5">
        <f>Sheet1!E1353</f>
        <v/>
      </c>
      <c r="C1353" s="6">
        <f>UPPER(Sheet1!B1353)</f>
        <v/>
      </c>
      <c r="D1353" s="7">
        <f>IF(Sheet1!F1353="F","FEMALE","MALE")</f>
        <v/>
      </c>
      <c r="E1353" s="6">
        <f>UPPER(Sheet1!G1353)</f>
        <v/>
      </c>
      <c r="F1353" s="6">
        <f>UPPER(Sheet1!H1353)</f>
        <v/>
      </c>
      <c r="G1353" s="5">
        <f>TEXT(Sheet1!C1353,"dd/mm/yyyy") &amp; "," &amp; Sheet1!D1353</f>
        <v/>
      </c>
      <c r="H1353" s="38">
        <f>UPPER(Sheet1!J1353 &amp; "," &amp; Sheet1!K1353 &amp; "," &amp; Sheet1!L1353)</f>
        <v/>
      </c>
      <c r="I1353" s="45">
        <f>Sheet1!I1353</f>
        <v/>
      </c>
      <c r="J1353" s="5">
        <f>Sheet1!M1353 &amp; "," &amp; TEXT(Sheet1!N1353,"dd/mm/yy")</f>
        <v/>
      </c>
      <c r="K1353" s="5" t="inlineStr">
        <is>
          <t>PRINTED</t>
        </is>
      </c>
      <c r="L1353" t="inlineStr">
        <is>
          <t>25/03/2026</t>
        </is>
      </c>
      <c r="M1353" s="30" t="inlineStr">
        <is>
          <t>MANISH KATARIA, VICE CONSUL</t>
        </is>
      </c>
      <c r="N1353" s="30" t="n"/>
    </row>
    <row r="1354">
      <c r="A1354" s="4">
        <f>Sheet1!A1354 &amp; "/" &amp; "2025"</f>
        <v/>
      </c>
      <c r="B1354" s="5">
        <f>Sheet1!E1354</f>
        <v/>
      </c>
      <c r="C1354" s="6">
        <f>UPPER(Sheet1!B1354)</f>
        <v/>
      </c>
      <c r="D1354" s="7">
        <f>IF(Sheet1!F1354="F","FEMALE","MALE")</f>
        <v/>
      </c>
      <c r="E1354" s="6">
        <f>UPPER(Sheet1!G1354)</f>
        <v/>
      </c>
      <c r="F1354" s="6">
        <f>UPPER(Sheet1!H1354)</f>
        <v/>
      </c>
      <c r="G1354" s="5">
        <f>TEXT(Sheet1!C1354,"dd/mm/yyyy") &amp; "," &amp; Sheet1!D1354</f>
        <v/>
      </c>
      <c r="H1354" s="38">
        <f>UPPER(Sheet1!J1354 &amp; "," &amp; Sheet1!K1354 &amp; "," &amp; Sheet1!L1354)</f>
        <v/>
      </c>
      <c r="I1354" s="45">
        <f>Sheet1!I1354</f>
        <v/>
      </c>
      <c r="J1354" s="5">
        <f>Sheet1!M1354 &amp; "," &amp; TEXT(Sheet1!N1354,"dd/mm/yy")</f>
        <v/>
      </c>
      <c r="K1354" s="5" t="inlineStr">
        <is>
          <t>PRINTED</t>
        </is>
      </c>
      <c r="L1354" t="inlineStr">
        <is>
          <t>25/03/2026</t>
        </is>
      </c>
      <c r="M1354" s="30" t="inlineStr">
        <is>
          <t>MANISH KATARIA, VICE CONSUL</t>
        </is>
      </c>
      <c r="N1354" s="30" t="n"/>
    </row>
    <row r="1355">
      <c r="A1355" s="4">
        <f>Sheet1!A1355 &amp; "/" &amp; "2025"</f>
        <v/>
      </c>
      <c r="B1355" s="5">
        <f>Sheet1!E1355</f>
        <v/>
      </c>
      <c r="C1355" s="6">
        <f>UPPER(Sheet1!B1355)</f>
        <v/>
      </c>
      <c r="D1355" s="7">
        <f>IF(Sheet1!F1355="F","FEMALE","MALE")</f>
        <v/>
      </c>
      <c r="E1355" s="6">
        <f>UPPER(Sheet1!G1355)</f>
        <v/>
      </c>
      <c r="F1355" s="6">
        <f>UPPER(Sheet1!H1355)</f>
        <v/>
      </c>
      <c r="G1355" s="5">
        <f>TEXT(Sheet1!C1355,"dd/mm/yyyy") &amp; "," &amp; Sheet1!D1355</f>
        <v/>
      </c>
      <c r="H1355" s="38">
        <f>UPPER(Sheet1!J1355 &amp; "," &amp; Sheet1!K1355 &amp; "," &amp; Sheet1!L1355)</f>
        <v/>
      </c>
      <c r="I1355" s="45">
        <f>Sheet1!I1355</f>
        <v/>
      </c>
      <c r="J1355" s="5">
        <f>Sheet1!M1355 &amp; "," &amp; TEXT(Sheet1!N1355,"dd/mm/yy")</f>
        <v/>
      </c>
      <c r="K1355" s="5" t="inlineStr">
        <is>
          <t>PRINTED</t>
        </is>
      </c>
      <c r="L1355" t="inlineStr">
        <is>
          <t>25/03/2026</t>
        </is>
      </c>
      <c r="M1355" s="30" t="inlineStr">
        <is>
          <t>MANISH KATARIA, VICE CONSUL</t>
        </is>
      </c>
      <c r="N1355" s="30" t="n"/>
    </row>
    <row r="1356">
      <c r="A1356" s="4">
        <f>Sheet1!A1356 &amp; "/" &amp; "2025"</f>
        <v/>
      </c>
      <c r="B1356" s="5">
        <f>Sheet1!E1356</f>
        <v/>
      </c>
      <c r="C1356" s="6">
        <f>UPPER(Sheet1!B1356)</f>
        <v/>
      </c>
      <c r="D1356" s="7">
        <f>IF(Sheet1!F1356="F","FEMALE","MALE")</f>
        <v/>
      </c>
      <c r="E1356" s="6">
        <f>UPPER(Sheet1!G1356)</f>
        <v/>
      </c>
      <c r="F1356" s="6">
        <f>UPPER(Sheet1!H1356)</f>
        <v/>
      </c>
      <c r="G1356" s="5">
        <f>TEXT(Sheet1!C1356,"dd/mm/yyyy") &amp; "," &amp; Sheet1!D1356</f>
        <v/>
      </c>
      <c r="H1356" s="38">
        <f>UPPER(Sheet1!J1356 &amp; "," &amp; Sheet1!K1356 &amp; "," &amp; Sheet1!L1356)</f>
        <v/>
      </c>
      <c r="I1356" s="45">
        <f>Sheet1!I1356</f>
        <v/>
      </c>
      <c r="J1356" s="5">
        <f>Sheet1!M1356 &amp; "," &amp; TEXT(Sheet1!N1356,"dd/mm/yy")</f>
        <v/>
      </c>
      <c r="K1356" s="5" t="inlineStr">
        <is>
          <t>PRINTED</t>
        </is>
      </c>
      <c r="L1356" t="inlineStr">
        <is>
          <t>25/03/2026</t>
        </is>
      </c>
      <c r="M1356" s="30" t="inlineStr">
        <is>
          <t>MANISH KATARIA, VICE CONSUL</t>
        </is>
      </c>
      <c r="N1356" s="30" t="n"/>
    </row>
    <row r="1357">
      <c r="A1357" s="4">
        <f>Sheet1!A1357 &amp; "/" &amp; "2025"</f>
        <v/>
      </c>
      <c r="B1357" s="5">
        <f>Sheet1!E1357</f>
        <v/>
      </c>
      <c r="C1357" s="6">
        <f>UPPER(Sheet1!B1357)</f>
        <v/>
      </c>
      <c r="D1357" s="7">
        <f>IF(Sheet1!F1357="F","FEMALE","MALE")</f>
        <v/>
      </c>
      <c r="E1357" s="6">
        <f>UPPER(Sheet1!G1357)</f>
        <v/>
      </c>
      <c r="F1357" s="6">
        <f>UPPER(Sheet1!H1357)</f>
        <v/>
      </c>
      <c r="G1357" s="5">
        <f>TEXT(Sheet1!C1357,"dd/mm/yyyy") &amp; "," &amp; Sheet1!D1357</f>
        <v/>
      </c>
      <c r="H1357" s="38">
        <f>UPPER(Sheet1!J1357 &amp; "," &amp; Sheet1!K1357 &amp; "," &amp; Sheet1!L1357)</f>
        <v/>
      </c>
      <c r="I1357" s="45">
        <f>Sheet1!I1357</f>
        <v/>
      </c>
      <c r="J1357" s="5">
        <f>Sheet1!M1357 &amp; "," &amp; TEXT(Sheet1!N1357,"dd/mm/yy")</f>
        <v/>
      </c>
      <c r="K1357" s="5" t="inlineStr">
        <is>
          <t>PRINTED</t>
        </is>
      </c>
      <c r="L1357" t="inlineStr">
        <is>
          <t>25/03/2026</t>
        </is>
      </c>
      <c r="M1357" s="30" t="inlineStr">
        <is>
          <t>MANISH KATARIA, VICE CONSUL</t>
        </is>
      </c>
      <c r="N1357" s="30" t="n"/>
    </row>
    <row r="1358">
      <c r="A1358" s="4">
        <f>Sheet1!A1358 &amp; "/" &amp; "2025"</f>
        <v/>
      </c>
      <c r="B1358" s="5">
        <f>Sheet1!E1358</f>
        <v/>
      </c>
      <c r="C1358" s="6">
        <f>UPPER(Sheet1!B1358)</f>
        <v/>
      </c>
      <c r="D1358" s="7">
        <f>IF(Sheet1!F1358="F","FEMALE","MALE")</f>
        <v/>
      </c>
      <c r="E1358" s="6">
        <f>UPPER(Sheet1!G1358)</f>
        <v/>
      </c>
      <c r="F1358" s="6">
        <f>UPPER(Sheet1!H1358)</f>
        <v/>
      </c>
      <c r="G1358" s="5">
        <f>TEXT(Sheet1!C1358,"dd/mm/yyyy") &amp; "," &amp; Sheet1!D1358</f>
        <v/>
      </c>
      <c r="H1358" s="38">
        <f>UPPER(Sheet1!J1358 &amp; "," &amp; Sheet1!K1358 &amp; "," &amp; Sheet1!L1358)</f>
        <v/>
      </c>
      <c r="I1358" s="45">
        <f>Sheet1!I1358</f>
        <v/>
      </c>
      <c r="J1358" s="5">
        <f>Sheet1!M1358 &amp; "," &amp; TEXT(Sheet1!N1358,"dd/mm/yy")</f>
        <v/>
      </c>
      <c r="K1358" s="5" t="inlineStr">
        <is>
          <t>PRINTED</t>
        </is>
      </c>
      <c r="L1358" t="inlineStr">
        <is>
          <t>25/03/2026</t>
        </is>
      </c>
      <c r="M1358" s="30" t="inlineStr">
        <is>
          <t>MANISH KATARIA, VICE CONSUL</t>
        </is>
      </c>
      <c r="N1358" s="30" t="n"/>
    </row>
    <row r="1359">
      <c r="A1359" s="4">
        <f>Sheet1!A1359 &amp; "/" &amp; "2025"</f>
        <v/>
      </c>
      <c r="B1359" s="5">
        <f>Sheet1!E1359</f>
        <v/>
      </c>
      <c r="C1359" s="6">
        <f>UPPER(Sheet1!B1359)</f>
        <v/>
      </c>
      <c r="D1359" s="7">
        <f>IF(Sheet1!F1359="F","FEMALE","MALE")</f>
        <v/>
      </c>
      <c r="E1359" s="6">
        <f>UPPER(Sheet1!G1359)</f>
        <v/>
      </c>
      <c r="F1359" s="6">
        <f>UPPER(Sheet1!H1359)</f>
        <v/>
      </c>
      <c r="G1359" s="5">
        <f>TEXT(Sheet1!C1359,"dd/mm/yyyy") &amp; "," &amp; Sheet1!D1359</f>
        <v/>
      </c>
      <c r="H1359" s="38">
        <f>UPPER(Sheet1!J1359 &amp; "," &amp; Sheet1!K1359 &amp; "," &amp; Sheet1!L1359)</f>
        <v/>
      </c>
      <c r="I1359" s="45">
        <f>Sheet1!I1359</f>
        <v/>
      </c>
      <c r="J1359" s="5">
        <f>Sheet1!M1359 &amp; "," &amp; TEXT(Sheet1!N1359,"dd/mm/yy")</f>
        <v/>
      </c>
      <c r="K1359" s="5" t="inlineStr">
        <is>
          <t>PRINTED</t>
        </is>
      </c>
      <c r="L1359" t="inlineStr">
        <is>
          <t>25/03/2026</t>
        </is>
      </c>
      <c r="M1359" s="30" t="inlineStr">
        <is>
          <t>MANISH KATARIA, VICE CONSUL</t>
        </is>
      </c>
      <c r="N1359" s="30" t="n"/>
    </row>
    <row r="1360">
      <c r="A1360" s="4">
        <f>Sheet1!A1360 &amp; "/" &amp; "2025"</f>
        <v/>
      </c>
      <c r="B1360" s="5">
        <f>Sheet1!E1360</f>
        <v/>
      </c>
      <c r="C1360" s="6">
        <f>UPPER(Sheet1!B1360)</f>
        <v/>
      </c>
      <c r="D1360" s="7">
        <f>IF(Sheet1!F1360="F","FEMALE","MALE")</f>
        <v/>
      </c>
      <c r="E1360" s="6">
        <f>UPPER(Sheet1!G1360)</f>
        <v/>
      </c>
      <c r="F1360" s="6">
        <f>UPPER(Sheet1!H1360)</f>
        <v/>
      </c>
      <c r="G1360" s="5">
        <f>TEXT(Sheet1!C1360,"dd/mm/yyyy") &amp; "," &amp; Sheet1!D1360</f>
        <v/>
      </c>
      <c r="H1360" s="38">
        <f>UPPER(Sheet1!J1360 &amp; "," &amp; Sheet1!K1360 &amp; "," &amp; Sheet1!L1360)</f>
        <v/>
      </c>
      <c r="I1360" s="45">
        <f>Sheet1!I1360</f>
        <v/>
      </c>
      <c r="J1360" s="5">
        <f>Sheet1!M1360 &amp; "," &amp; TEXT(Sheet1!N1360,"dd/mm/yy")</f>
        <v/>
      </c>
      <c r="K1360" s="5" t="inlineStr">
        <is>
          <t>PRINTED</t>
        </is>
      </c>
      <c r="L1360" t="inlineStr">
        <is>
          <t>25/03/2026</t>
        </is>
      </c>
      <c r="M1360" s="30" t="inlineStr">
        <is>
          <t>MANISH KATARIA, VICE CONSUL</t>
        </is>
      </c>
      <c r="N1360" s="30" t="n"/>
    </row>
    <row r="1361">
      <c r="A1361" s="4">
        <f>Sheet1!A1361 &amp; "/" &amp; "2025"</f>
        <v/>
      </c>
      <c r="B1361" s="5">
        <f>Sheet1!E1361</f>
        <v/>
      </c>
      <c r="C1361" s="6">
        <f>UPPER(Sheet1!B1361)</f>
        <v/>
      </c>
      <c r="D1361" s="7">
        <f>IF(Sheet1!F1361="F","FEMALE","MALE")</f>
        <v/>
      </c>
      <c r="E1361" s="6">
        <f>UPPER(Sheet1!G1361)</f>
        <v/>
      </c>
      <c r="F1361" s="6">
        <f>UPPER(Sheet1!H1361)</f>
        <v/>
      </c>
      <c r="G1361" s="5">
        <f>TEXT(Sheet1!C1361,"dd/mm/yyyy") &amp; "," &amp; Sheet1!D1361</f>
        <v/>
      </c>
      <c r="H1361" s="38">
        <f>UPPER(Sheet1!J1361 &amp; "," &amp; Sheet1!K1361 &amp; "," &amp; Sheet1!L1361)</f>
        <v/>
      </c>
      <c r="I1361" s="45">
        <f>Sheet1!I1361</f>
        <v/>
      </c>
      <c r="J1361" s="5">
        <f>Sheet1!M1361 &amp; "," &amp; TEXT(Sheet1!N1361,"dd/mm/yy")</f>
        <v/>
      </c>
      <c r="K1361" s="5" t="inlineStr">
        <is>
          <t>PRINTED</t>
        </is>
      </c>
      <c r="L1361" t="inlineStr">
        <is>
          <t>25/03/2026</t>
        </is>
      </c>
      <c r="M1361" s="30" t="inlineStr">
        <is>
          <t>MANISH KATARIA, VICE CONSUL</t>
        </is>
      </c>
      <c r="N1361" s="30" t="n"/>
    </row>
    <row r="1362">
      <c r="A1362" s="4">
        <f>Sheet1!A1362 &amp; "/" &amp; "2025"</f>
        <v/>
      </c>
      <c r="B1362" s="5">
        <f>Sheet1!E1362</f>
        <v/>
      </c>
      <c r="C1362" s="6">
        <f>UPPER(Sheet1!B1362)</f>
        <v/>
      </c>
      <c r="D1362" s="7">
        <f>IF(Sheet1!F1362="F","FEMALE","MALE")</f>
        <v/>
      </c>
      <c r="E1362" s="6">
        <f>UPPER(Sheet1!G1362)</f>
        <v/>
      </c>
      <c r="F1362" s="6">
        <f>UPPER(Sheet1!H1362)</f>
        <v/>
      </c>
      <c r="G1362" s="5">
        <f>TEXT(Sheet1!C1362,"dd/mm/yyyy") &amp; "," &amp; Sheet1!D1362</f>
        <v/>
      </c>
      <c r="H1362" s="38">
        <f>UPPER(Sheet1!J1362 &amp; "," &amp; Sheet1!K1362 &amp; "," &amp; Sheet1!L1362)</f>
        <v/>
      </c>
      <c r="I1362" s="45">
        <f>Sheet1!I1362</f>
        <v/>
      </c>
      <c r="J1362" s="5">
        <f>Sheet1!M1362 &amp; "," &amp; TEXT(Sheet1!N1362,"dd/mm/yy")</f>
        <v/>
      </c>
      <c r="K1362" s="5" t="inlineStr">
        <is>
          <t>PRINTED</t>
        </is>
      </c>
      <c r="L1362" t="inlineStr">
        <is>
          <t>25/03/2026</t>
        </is>
      </c>
      <c r="M1362" s="30" t="inlineStr">
        <is>
          <t>MANISH KATARIA, VICE CONSUL</t>
        </is>
      </c>
      <c r="N1362" s="30" t="n"/>
    </row>
    <row r="1363">
      <c r="A1363" s="4">
        <f>Sheet1!A1363 &amp; "/" &amp; "2025"</f>
        <v/>
      </c>
      <c r="B1363" s="5">
        <f>Sheet1!E1363</f>
        <v/>
      </c>
      <c r="C1363" s="6">
        <f>UPPER(Sheet1!B1363)</f>
        <v/>
      </c>
      <c r="D1363" s="7">
        <f>IF(Sheet1!F1363="F","FEMALE","MALE")</f>
        <v/>
      </c>
      <c r="E1363" s="6">
        <f>UPPER(Sheet1!G1363)</f>
        <v/>
      </c>
      <c r="F1363" s="6">
        <f>UPPER(Sheet1!H1363)</f>
        <v/>
      </c>
      <c r="G1363" s="5">
        <f>TEXT(Sheet1!C1363,"dd/mm/yyyy") &amp; "," &amp; Sheet1!D1363</f>
        <v/>
      </c>
      <c r="H1363" s="38">
        <f>UPPER(Sheet1!J1363 &amp; "," &amp; Sheet1!K1363 &amp; "," &amp; Sheet1!L1363)</f>
        <v/>
      </c>
      <c r="I1363" s="45">
        <f>Sheet1!I1363</f>
        <v/>
      </c>
      <c r="J1363" s="5">
        <f>Sheet1!M1363 &amp; "," &amp; TEXT(Sheet1!N1363,"dd/mm/yy")</f>
        <v/>
      </c>
      <c r="K1363" s="5" t="inlineStr">
        <is>
          <t>PRINTED</t>
        </is>
      </c>
      <c r="L1363" t="inlineStr">
        <is>
          <t>25/03/2026</t>
        </is>
      </c>
      <c r="M1363" s="30" t="inlineStr">
        <is>
          <t>MANISH KATARIA, VICE CONSUL</t>
        </is>
      </c>
      <c r="N1363" s="30" t="n"/>
    </row>
    <row r="1364">
      <c r="A1364" s="4">
        <f>Sheet1!A1364 &amp; "/" &amp; "2025"</f>
        <v/>
      </c>
      <c r="B1364" s="5">
        <f>Sheet1!E1364</f>
        <v/>
      </c>
      <c r="C1364" s="6">
        <f>UPPER(Sheet1!B1364)</f>
        <v/>
      </c>
      <c r="D1364" s="7">
        <f>IF(Sheet1!F1364="F","FEMALE","MALE")</f>
        <v/>
      </c>
      <c r="E1364" s="6">
        <f>UPPER(Sheet1!G1364)</f>
        <v/>
      </c>
      <c r="F1364" s="6">
        <f>UPPER(Sheet1!H1364)</f>
        <v/>
      </c>
      <c r="G1364" s="5">
        <f>TEXT(Sheet1!C1364,"dd/mm/yyyy") &amp; "," &amp; Sheet1!D1364</f>
        <v/>
      </c>
      <c r="H1364" s="38">
        <f>UPPER(Sheet1!J1364 &amp; "," &amp; Sheet1!K1364 &amp; "," &amp; Sheet1!L1364)</f>
        <v/>
      </c>
      <c r="I1364" s="45">
        <f>Sheet1!I1364</f>
        <v/>
      </c>
      <c r="J1364" s="5">
        <f>Sheet1!M1364 &amp; "," &amp; TEXT(Sheet1!N1364,"dd/mm/yy")</f>
        <v/>
      </c>
      <c r="K1364" s="5" t="inlineStr">
        <is>
          <t>PRINTED</t>
        </is>
      </c>
      <c r="L1364" t="inlineStr">
        <is>
          <t>25/03/2026</t>
        </is>
      </c>
      <c r="M1364" s="30" t="inlineStr">
        <is>
          <t>MANISH KATARIA, VICE CONSUL</t>
        </is>
      </c>
      <c r="N1364" s="30" t="n"/>
    </row>
    <row r="1365">
      <c r="A1365" s="4">
        <f>Sheet1!A1365 &amp; "/" &amp; "2025"</f>
        <v/>
      </c>
      <c r="B1365" s="5">
        <f>Sheet1!E1365</f>
        <v/>
      </c>
      <c r="C1365" s="6">
        <f>UPPER(Sheet1!B1365)</f>
        <v/>
      </c>
      <c r="D1365" s="7">
        <f>IF(Sheet1!F1365="F","FEMALE","MALE")</f>
        <v/>
      </c>
      <c r="E1365" s="6">
        <f>UPPER(Sheet1!G1365)</f>
        <v/>
      </c>
      <c r="F1365" s="6">
        <f>UPPER(Sheet1!H1365)</f>
        <v/>
      </c>
      <c r="G1365" s="5">
        <f>TEXT(Sheet1!C1365,"dd/mm/yyyy") &amp; "," &amp; Sheet1!D1365</f>
        <v/>
      </c>
      <c r="H1365" s="38">
        <f>UPPER(Sheet1!J1365 &amp; "," &amp; Sheet1!K1365 &amp; "," &amp; Sheet1!L1365)</f>
        <v/>
      </c>
      <c r="I1365" s="45">
        <f>Sheet1!I1365</f>
        <v/>
      </c>
      <c r="J1365" s="5">
        <f>Sheet1!M1365 &amp; "," &amp; TEXT(Sheet1!N1365,"dd/mm/yy")</f>
        <v/>
      </c>
      <c r="K1365" s="5" t="inlineStr">
        <is>
          <t>PRINTED</t>
        </is>
      </c>
      <c r="L1365" t="inlineStr">
        <is>
          <t>25/03/2026</t>
        </is>
      </c>
      <c r="M1365" s="30" t="inlineStr">
        <is>
          <t>MANISH KATARIA, VICE CONSUL</t>
        </is>
      </c>
      <c r="N1365" s="30" t="n"/>
    </row>
    <row r="1366">
      <c r="A1366" s="4">
        <f>Sheet1!A1366 &amp; "/" &amp; "2025"</f>
        <v/>
      </c>
      <c r="B1366" s="5">
        <f>Sheet1!E1366</f>
        <v/>
      </c>
      <c r="C1366" s="6">
        <f>UPPER(Sheet1!B1366)</f>
        <v/>
      </c>
      <c r="D1366" s="7">
        <f>IF(Sheet1!F1366="F","FEMALE","MALE")</f>
        <v/>
      </c>
      <c r="E1366" s="6">
        <f>UPPER(Sheet1!G1366)</f>
        <v/>
      </c>
      <c r="F1366" s="6">
        <f>UPPER(Sheet1!H1366)</f>
        <v/>
      </c>
      <c r="G1366" s="5">
        <f>TEXT(Sheet1!C1366,"dd/mm/yyyy") &amp; "," &amp; Sheet1!D1366</f>
        <v/>
      </c>
      <c r="H1366" s="38">
        <f>UPPER(Sheet1!J1366 &amp; "," &amp; Sheet1!K1366 &amp; "," &amp; Sheet1!L1366)</f>
        <v/>
      </c>
      <c r="I1366" s="45">
        <f>Sheet1!I1366</f>
        <v/>
      </c>
      <c r="J1366" s="5">
        <f>Sheet1!M1366 &amp; "," &amp; TEXT(Sheet1!N1366,"dd/mm/yy")</f>
        <v/>
      </c>
      <c r="K1366" s="5" t="inlineStr">
        <is>
          <t>PRINTED</t>
        </is>
      </c>
      <c r="L1366" t="inlineStr">
        <is>
          <t>25/03/2026</t>
        </is>
      </c>
      <c r="M1366" s="30" t="inlineStr">
        <is>
          <t>MANISH KATARIA, VICE CONSUL</t>
        </is>
      </c>
      <c r="N1366" s="30" t="n"/>
    </row>
    <row r="1367">
      <c r="A1367" s="4">
        <f>Sheet1!A1367 &amp; "/" &amp; "2025"</f>
        <v/>
      </c>
      <c r="B1367" s="5">
        <f>Sheet1!E1367</f>
        <v/>
      </c>
      <c r="C1367" s="6">
        <f>UPPER(Sheet1!B1367)</f>
        <v/>
      </c>
      <c r="D1367" s="7">
        <f>IF(Sheet1!F1367="F","FEMALE","MALE")</f>
        <v/>
      </c>
      <c r="E1367" s="6">
        <f>UPPER(Sheet1!G1367)</f>
        <v/>
      </c>
      <c r="F1367" s="6">
        <f>UPPER(Sheet1!H1367)</f>
        <v/>
      </c>
      <c r="G1367" s="5">
        <f>TEXT(Sheet1!C1367,"dd/mm/yyyy") &amp; "," &amp; Sheet1!D1367</f>
        <v/>
      </c>
      <c r="H1367" s="38">
        <f>UPPER(Sheet1!J1367 &amp; "," &amp; Sheet1!K1367 &amp; "," &amp; Sheet1!L1367)</f>
        <v/>
      </c>
      <c r="I1367" s="45">
        <f>Sheet1!I1367</f>
        <v/>
      </c>
      <c r="J1367" s="5">
        <f>Sheet1!M1367 &amp; "," &amp; TEXT(Sheet1!N1367,"dd/mm/yy")</f>
        <v/>
      </c>
      <c r="K1367" s="5" t="inlineStr">
        <is>
          <t>PRINTED</t>
        </is>
      </c>
      <c r="L1367" t="inlineStr">
        <is>
          <t>25/03/2026</t>
        </is>
      </c>
      <c r="M1367" s="30" t="inlineStr">
        <is>
          <t>MANISH KATARIA, VICE CONSUL</t>
        </is>
      </c>
      <c r="N1367" s="30" t="n"/>
    </row>
    <row r="1368">
      <c r="A1368" s="4">
        <f>Sheet1!A1368 &amp; "/" &amp; "2025"</f>
        <v/>
      </c>
      <c r="B1368" s="5">
        <f>Sheet1!E1368</f>
        <v/>
      </c>
      <c r="C1368" s="6">
        <f>UPPER(Sheet1!B1368)</f>
        <v/>
      </c>
      <c r="D1368" s="7">
        <f>IF(Sheet1!F1368="F","FEMALE","MALE")</f>
        <v/>
      </c>
      <c r="E1368" s="6">
        <f>UPPER(Sheet1!G1368)</f>
        <v/>
      </c>
      <c r="F1368" s="6">
        <f>UPPER(Sheet1!H1368)</f>
        <v/>
      </c>
      <c r="G1368" s="5">
        <f>TEXT(Sheet1!C1368,"dd/mm/yyyy") &amp; "," &amp; Sheet1!D1368</f>
        <v/>
      </c>
      <c r="H1368" s="38">
        <f>UPPER(Sheet1!J1368 &amp; "," &amp; Sheet1!K1368 &amp; "," &amp; Sheet1!L1368)</f>
        <v/>
      </c>
      <c r="I1368" s="45">
        <f>Sheet1!I1368</f>
        <v/>
      </c>
      <c r="J1368" s="5">
        <f>Sheet1!M1368 &amp; "," &amp; TEXT(Sheet1!N1368,"dd/mm/yy")</f>
        <v/>
      </c>
      <c r="K1368" s="5" t="inlineStr">
        <is>
          <t>PRINTED</t>
        </is>
      </c>
      <c r="L1368" t="inlineStr">
        <is>
          <t>25/03/2026</t>
        </is>
      </c>
      <c r="M1368" s="30" t="inlineStr">
        <is>
          <t>MANISH KATARIA, VICE CONSUL</t>
        </is>
      </c>
      <c r="N1368" s="30" t="n"/>
    </row>
    <row r="1369">
      <c r="A1369" s="4">
        <f>Sheet1!A1369 &amp; "/" &amp; "2025"</f>
        <v/>
      </c>
      <c r="B1369" s="5">
        <f>Sheet1!E1369</f>
        <v/>
      </c>
      <c r="C1369" s="6">
        <f>UPPER(Sheet1!B1369)</f>
        <v/>
      </c>
      <c r="D1369" s="7">
        <f>IF(Sheet1!F1369="F","FEMALE","MALE")</f>
        <v/>
      </c>
      <c r="E1369" s="6">
        <f>UPPER(Sheet1!G1369)</f>
        <v/>
      </c>
      <c r="F1369" s="6">
        <f>UPPER(Sheet1!H1369)</f>
        <v/>
      </c>
      <c r="G1369" s="5">
        <f>TEXT(Sheet1!C1369,"dd/mm/yyyy") &amp; "," &amp; Sheet1!D1369</f>
        <v/>
      </c>
      <c r="H1369" s="38">
        <f>UPPER(Sheet1!J1369 &amp; "," &amp; Sheet1!K1369 &amp; "," &amp; Sheet1!L1369)</f>
        <v/>
      </c>
      <c r="I1369" s="45">
        <f>Sheet1!I1369</f>
        <v/>
      </c>
      <c r="J1369" s="5">
        <f>Sheet1!M1369 &amp; "," &amp; TEXT(Sheet1!N1369,"dd/mm/yy")</f>
        <v/>
      </c>
      <c r="K1369" s="5" t="inlineStr">
        <is>
          <t>PRINTED</t>
        </is>
      </c>
      <c r="L1369" t="inlineStr">
        <is>
          <t>25/03/2026</t>
        </is>
      </c>
      <c r="M1369" s="30" t="inlineStr">
        <is>
          <t>MANISH KATARIA, VICE CONSUL</t>
        </is>
      </c>
      <c r="N1369" s="30" t="n"/>
    </row>
    <row r="1370">
      <c r="A1370" s="4">
        <f>Sheet1!A1370 &amp; "/" &amp; "2025"</f>
        <v/>
      </c>
      <c r="B1370" s="5">
        <f>Sheet1!E1370</f>
        <v/>
      </c>
      <c r="C1370" s="6">
        <f>UPPER(Sheet1!B1370)</f>
        <v/>
      </c>
      <c r="D1370" s="7">
        <f>IF(Sheet1!F1370="F","FEMALE","MALE")</f>
        <v/>
      </c>
      <c r="E1370" s="6">
        <f>UPPER(Sheet1!G1370)</f>
        <v/>
      </c>
      <c r="F1370" s="6">
        <f>UPPER(Sheet1!H1370)</f>
        <v/>
      </c>
      <c r="G1370" s="5">
        <f>TEXT(Sheet1!C1370,"dd/mm/yyyy") &amp; "," &amp; Sheet1!D1370</f>
        <v/>
      </c>
      <c r="H1370" s="38">
        <f>UPPER(Sheet1!J1370 &amp; "," &amp; Sheet1!K1370 &amp; "," &amp; Sheet1!L1370)</f>
        <v/>
      </c>
      <c r="I1370" s="45">
        <f>Sheet1!I1370</f>
        <v/>
      </c>
      <c r="J1370" s="5">
        <f>Sheet1!M1370 &amp; "," &amp; TEXT(Sheet1!N1370,"dd/mm/yy")</f>
        <v/>
      </c>
      <c r="K1370" s="5" t="inlineStr">
        <is>
          <t>PRINTED</t>
        </is>
      </c>
      <c r="L1370" t="inlineStr">
        <is>
          <t>25/03/2026</t>
        </is>
      </c>
      <c r="M1370" s="30" t="inlineStr">
        <is>
          <t>MANISH KATARIA, VICE CONSUL</t>
        </is>
      </c>
      <c r="N1370" s="30" t="n"/>
    </row>
    <row r="1371">
      <c r="A1371" s="4">
        <f>Sheet1!A1371 &amp; "/" &amp; "2025"</f>
        <v/>
      </c>
      <c r="B1371" s="5">
        <f>Sheet1!E1371</f>
        <v/>
      </c>
      <c r="C1371" s="6">
        <f>UPPER(Sheet1!B1371)</f>
        <v/>
      </c>
      <c r="D1371" s="7">
        <f>IF(Sheet1!F1371="F","FEMALE","MALE")</f>
        <v/>
      </c>
      <c r="E1371" s="6">
        <f>UPPER(Sheet1!G1371)</f>
        <v/>
      </c>
      <c r="F1371" s="6">
        <f>UPPER(Sheet1!H1371)</f>
        <v/>
      </c>
      <c r="G1371" s="5">
        <f>TEXT(Sheet1!C1371,"dd/mm/yyyy") &amp; "," &amp; Sheet1!D1371</f>
        <v/>
      </c>
      <c r="H1371" s="38">
        <f>UPPER(Sheet1!J1371 &amp; "," &amp; Sheet1!K1371 &amp; "," &amp; Sheet1!L1371)</f>
        <v/>
      </c>
      <c r="I1371" s="45">
        <f>Sheet1!I1371</f>
        <v/>
      </c>
      <c r="J1371" s="5">
        <f>Sheet1!M1371 &amp; "," &amp; TEXT(Sheet1!N1371,"dd/mm/yy")</f>
        <v/>
      </c>
      <c r="K1371" s="5" t="inlineStr">
        <is>
          <t>PRINTED</t>
        </is>
      </c>
      <c r="L1371" t="inlineStr">
        <is>
          <t>25/03/2026</t>
        </is>
      </c>
      <c r="M1371" s="30" t="inlineStr">
        <is>
          <t>MANISH KATARIA, VICE CONSUL</t>
        </is>
      </c>
      <c r="N1371" s="30" t="n"/>
    </row>
    <row r="1372">
      <c r="A1372" s="4">
        <f>Sheet1!A1372 &amp; "/" &amp; "2025"</f>
        <v/>
      </c>
      <c r="B1372" s="5">
        <f>Sheet1!E1372</f>
        <v/>
      </c>
      <c r="C1372" s="6">
        <f>UPPER(Sheet1!B1372)</f>
        <v/>
      </c>
      <c r="D1372" s="7">
        <f>IF(Sheet1!F1372="F","FEMALE","MALE")</f>
        <v/>
      </c>
      <c r="E1372" s="6">
        <f>UPPER(Sheet1!G1372)</f>
        <v/>
      </c>
      <c r="F1372" s="6">
        <f>UPPER(Sheet1!H1372)</f>
        <v/>
      </c>
      <c r="G1372" s="5">
        <f>TEXT(Sheet1!C1372,"dd/mm/yyyy") &amp; "," &amp; Sheet1!D1372</f>
        <v/>
      </c>
      <c r="H1372" s="38">
        <f>UPPER(Sheet1!J1372 &amp; "," &amp; Sheet1!K1372 &amp; "," &amp; Sheet1!L1372)</f>
        <v/>
      </c>
      <c r="I1372" s="45">
        <f>Sheet1!I1372</f>
        <v/>
      </c>
      <c r="J1372" s="5">
        <f>Sheet1!M1372 &amp; "," &amp; TEXT(Sheet1!N1372,"dd/mm/yy")</f>
        <v/>
      </c>
      <c r="K1372" s="5" t="inlineStr">
        <is>
          <t>PRINTED</t>
        </is>
      </c>
      <c r="L1372" t="inlineStr">
        <is>
          <t>25/03/2026</t>
        </is>
      </c>
      <c r="M1372" s="30" t="inlineStr">
        <is>
          <t>MANISH KATARIA, VICE CONSUL</t>
        </is>
      </c>
      <c r="N1372" s="30" t="n"/>
    </row>
    <row r="1373">
      <c r="A1373" s="4">
        <f>Sheet1!A1373 &amp; "/" &amp; "2025"</f>
        <v/>
      </c>
      <c r="B1373" s="5">
        <f>Sheet1!E1373</f>
        <v/>
      </c>
      <c r="C1373" s="6">
        <f>UPPER(Sheet1!B1373)</f>
        <v/>
      </c>
      <c r="D1373" s="7">
        <f>IF(Sheet1!F1373="F","FEMALE","MALE")</f>
        <v/>
      </c>
      <c r="E1373" s="6">
        <f>UPPER(Sheet1!G1373)</f>
        <v/>
      </c>
      <c r="F1373" s="6">
        <f>UPPER(Sheet1!H1373)</f>
        <v/>
      </c>
      <c r="G1373" s="5">
        <f>TEXT(Sheet1!C1373,"dd/mm/yyyy") &amp; "," &amp; Sheet1!D1373</f>
        <v/>
      </c>
      <c r="H1373" s="38">
        <f>UPPER(Sheet1!J1373 &amp; "," &amp; Sheet1!K1373 &amp; "," &amp; Sheet1!L1373)</f>
        <v/>
      </c>
      <c r="I1373" s="45">
        <f>Sheet1!I1373</f>
        <v/>
      </c>
      <c r="J1373" s="5">
        <f>Sheet1!M1373 &amp; "," &amp; TEXT(Sheet1!N1373,"dd/mm/yy")</f>
        <v/>
      </c>
      <c r="K1373" s="5" t="inlineStr">
        <is>
          <t>PRINTED</t>
        </is>
      </c>
      <c r="L1373" t="inlineStr">
        <is>
          <t>25/03/2026</t>
        </is>
      </c>
      <c r="M1373" s="30" t="inlineStr">
        <is>
          <t>MANISH KATARIA, VICE CONSUL</t>
        </is>
      </c>
      <c r="N1373" s="30" t="n"/>
    </row>
    <row r="1374">
      <c r="A1374" s="4">
        <f>Sheet1!A1374 &amp; "/" &amp; "2025"</f>
        <v/>
      </c>
      <c r="B1374" s="5">
        <f>Sheet1!E1374</f>
        <v/>
      </c>
      <c r="C1374" s="6">
        <f>UPPER(Sheet1!B1374)</f>
        <v/>
      </c>
      <c r="D1374" s="7">
        <f>IF(Sheet1!F1374="F","FEMALE","MALE")</f>
        <v/>
      </c>
      <c r="E1374" s="6">
        <f>UPPER(Sheet1!G1374)</f>
        <v/>
      </c>
      <c r="F1374" s="6">
        <f>UPPER(Sheet1!H1374)</f>
        <v/>
      </c>
      <c r="G1374" s="5">
        <f>TEXT(Sheet1!C1374,"dd/mm/yyyy") &amp; "," &amp; Sheet1!D1374</f>
        <v/>
      </c>
      <c r="H1374" s="38">
        <f>UPPER(Sheet1!J1374 &amp; "," &amp; Sheet1!K1374 &amp; "," &amp; Sheet1!L1374)</f>
        <v/>
      </c>
      <c r="I1374" s="45">
        <f>Sheet1!I1374</f>
        <v/>
      </c>
      <c r="J1374" s="5">
        <f>Sheet1!M1374 &amp; "," &amp; TEXT(Sheet1!N1374,"dd/mm/yy")</f>
        <v/>
      </c>
      <c r="K1374" s="5" t="inlineStr">
        <is>
          <t>PRINTED</t>
        </is>
      </c>
      <c r="L1374" t="inlineStr">
        <is>
          <t>25/03/2026</t>
        </is>
      </c>
      <c r="M1374" s="30" t="inlineStr">
        <is>
          <t>MANISH KATARIA, VICE CONSUL</t>
        </is>
      </c>
      <c r="N1374" s="30" t="n"/>
    </row>
    <row r="1375">
      <c r="A1375" s="4">
        <f>Sheet1!A1375 &amp; "/" &amp; "2025"</f>
        <v/>
      </c>
      <c r="B1375" s="5">
        <f>Sheet1!E1375</f>
        <v/>
      </c>
      <c r="C1375" s="6">
        <f>UPPER(Sheet1!B1375)</f>
        <v/>
      </c>
      <c r="D1375" s="7">
        <f>IF(Sheet1!F1375="F","FEMALE","MALE")</f>
        <v/>
      </c>
      <c r="E1375" s="6">
        <f>UPPER(Sheet1!G1375)</f>
        <v/>
      </c>
      <c r="F1375" s="6">
        <f>UPPER(Sheet1!H1375)</f>
        <v/>
      </c>
      <c r="G1375" s="5">
        <f>TEXT(Sheet1!C1375,"dd/mm/yyyy") &amp; "," &amp; Sheet1!D1375</f>
        <v/>
      </c>
      <c r="H1375" s="38">
        <f>UPPER(Sheet1!J1375 &amp; "," &amp; Sheet1!K1375 &amp; "," &amp; Sheet1!L1375)</f>
        <v/>
      </c>
      <c r="I1375" s="45">
        <f>Sheet1!I1375</f>
        <v/>
      </c>
      <c r="J1375" s="5">
        <f>Sheet1!M1375 &amp; "," &amp; TEXT(Sheet1!N1375,"dd/mm/yy")</f>
        <v/>
      </c>
      <c r="K1375" s="5" t="inlineStr">
        <is>
          <t>PRINTED</t>
        </is>
      </c>
      <c r="L1375" t="inlineStr">
        <is>
          <t>25/03/2026</t>
        </is>
      </c>
      <c r="M1375" s="30" t="inlineStr">
        <is>
          <t>MANISH KATARIA, VICE CONSUL</t>
        </is>
      </c>
      <c r="N1375" s="30" t="n"/>
    </row>
    <row r="1376">
      <c r="A1376" s="4">
        <f>Sheet1!A1376 &amp; "/" &amp; "2025"</f>
        <v/>
      </c>
      <c r="B1376" s="5">
        <f>Sheet1!E1376</f>
        <v/>
      </c>
      <c r="C1376" s="6">
        <f>UPPER(Sheet1!B1376)</f>
        <v/>
      </c>
      <c r="D1376" s="7">
        <f>IF(Sheet1!F1376="F","FEMALE","MALE")</f>
        <v/>
      </c>
      <c r="E1376" s="6">
        <f>UPPER(Sheet1!G1376)</f>
        <v/>
      </c>
      <c r="F1376" s="6">
        <f>UPPER(Sheet1!H1376)</f>
        <v/>
      </c>
      <c r="G1376" s="5">
        <f>TEXT(Sheet1!C1376,"dd/mm/yyyy") &amp; "," &amp; Sheet1!D1376</f>
        <v/>
      </c>
      <c r="H1376" s="38">
        <f>UPPER(Sheet1!J1376 &amp; "," &amp; Sheet1!K1376 &amp; "," &amp; Sheet1!L1376)</f>
        <v/>
      </c>
      <c r="I1376" s="45">
        <f>Sheet1!I1376</f>
        <v/>
      </c>
      <c r="J1376" s="5">
        <f>Sheet1!M1376 &amp; "," &amp; TEXT(Sheet1!N1376,"dd/mm/yy")</f>
        <v/>
      </c>
      <c r="K1376" s="5" t="inlineStr">
        <is>
          <t>PRINTED</t>
        </is>
      </c>
      <c r="L1376" t="inlineStr">
        <is>
          <t>25/03/2026</t>
        </is>
      </c>
      <c r="M1376" s="30" t="inlineStr">
        <is>
          <t>MANISH KATARIA, VICE CONSUL</t>
        </is>
      </c>
      <c r="N1376" s="30" t="n"/>
    </row>
    <row r="1377">
      <c r="A1377" s="4">
        <f>Sheet1!A1377 &amp; "/" &amp; "2025"</f>
        <v/>
      </c>
      <c r="B1377" s="5">
        <f>Sheet1!E1377</f>
        <v/>
      </c>
      <c r="C1377" s="6">
        <f>UPPER(Sheet1!B1377)</f>
        <v/>
      </c>
      <c r="D1377" s="7">
        <f>IF(Sheet1!F1377="F","FEMALE","MALE")</f>
        <v/>
      </c>
      <c r="E1377" s="6">
        <f>UPPER(Sheet1!G1377)</f>
        <v/>
      </c>
      <c r="F1377" s="6">
        <f>UPPER(Sheet1!H1377)</f>
        <v/>
      </c>
      <c r="G1377" s="5">
        <f>TEXT(Sheet1!C1377,"dd/mm/yyyy") &amp; "," &amp; Sheet1!D1377</f>
        <v/>
      </c>
      <c r="H1377" s="38">
        <f>UPPER(Sheet1!J1377 &amp; "," &amp; Sheet1!K1377 &amp; "," &amp; Sheet1!L1377)</f>
        <v/>
      </c>
      <c r="I1377" s="45">
        <f>Sheet1!I1377</f>
        <v/>
      </c>
      <c r="J1377" s="5">
        <f>Sheet1!M1377 &amp; "," &amp; TEXT(Sheet1!N1377,"dd/mm/yy")</f>
        <v/>
      </c>
      <c r="K1377" s="5" t="inlineStr">
        <is>
          <t>PRINTED</t>
        </is>
      </c>
      <c r="L1377" t="inlineStr">
        <is>
          <t>25/03/2026</t>
        </is>
      </c>
      <c r="M1377" s="30" t="inlineStr">
        <is>
          <t>MANISH KATARIA, VICE CONSUL</t>
        </is>
      </c>
      <c r="N1377" s="30" t="n"/>
    </row>
    <row r="1378">
      <c r="A1378" s="4">
        <f>Sheet1!A1378 &amp; "/" &amp; "2025"</f>
        <v/>
      </c>
      <c r="B1378" s="5">
        <f>Sheet1!E1378</f>
        <v/>
      </c>
      <c r="C1378" s="6">
        <f>UPPER(Sheet1!B1378)</f>
        <v/>
      </c>
      <c r="D1378" s="7">
        <f>IF(Sheet1!F1378="F","FEMALE","MALE")</f>
        <v/>
      </c>
      <c r="E1378" s="6">
        <f>UPPER(Sheet1!G1378)</f>
        <v/>
      </c>
      <c r="F1378" s="6">
        <f>UPPER(Sheet1!H1378)</f>
        <v/>
      </c>
      <c r="G1378" s="5">
        <f>TEXT(Sheet1!C1378,"dd/mm/yyyy") &amp; "," &amp; Sheet1!D1378</f>
        <v/>
      </c>
      <c r="H1378" s="38">
        <f>UPPER(Sheet1!J1378 &amp; "," &amp; Sheet1!K1378 &amp; "," &amp; Sheet1!L1378)</f>
        <v/>
      </c>
      <c r="I1378" s="45">
        <f>Sheet1!I1378</f>
        <v/>
      </c>
      <c r="J1378" s="5">
        <f>Sheet1!M1378 &amp; "," &amp; TEXT(Sheet1!N1378,"dd/mm/yy")</f>
        <v/>
      </c>
      <c r="K1378" s="5" t="inlineStr">
        <is>
          <t>PRINTED</t>
        </is>
      </c>
      <c r="L1378" t="inlineStr">
        <is>
          <t>25/03/2026</t>
        </is>
      </c>
      <c r="M1378" s="30" t="inlineStr">
        <is>
          <t>MANISH KATARIA, VICE CONSUL</t>
        </is>
      </c>
      <c r="N1378" s="30" t="n"/>
    </row>
    <row r="1379">
      <c r="A1379" s="4">
        <f>Sheet1!A1379 &amp; "/" &amp; "2025"</f>
        <v/>
      </c>
      <c r="B1379" s="5">
        <f>Sheet1!E1379</f>
        <v/>
      </c>
      <c r="C1379" s="6">
        <f>UPPER(Sheet1!B1379)</f>
        <v/>
      </c>
      <c r="D1379" s="7">
        <f>IF(Sheet1!F1379="F","FEMALE","MALE")</f>
        <v/>
      </c>
      <c r="E1379" s="6">
        <f>UPPER(Sheet1!G1379)</f>
        <v/>
      </c>
      <c r="F1379" s="6">
        <f>UPPER(Sheet1!H1379)</f>
        <v/>
      </c>
      <c r="G1379" s="5">
        <f>TEXT(Sheet1!C1379,"dd/mm/yyyy") &amp; "," &amp; Sheet1!D1379</f>
        <v/>
      </c>
      <c r="H1379" s="38">
        <f>UPPER(Sheet1!J1379 &amp; "," &amp; Sheet1!K1379 &amp; "," &amp; Sheet1!L1379)</f>
        <v/>
      </c>
      <c r="I1379" s="45">
        <f>Sheet1!I1379</f>
        <v/>
      </c>
      <c r="J1379" s="5">
        <f>Sheet1!M1379 &amp; "," &amp; TEXT(Sheet1!N1379,"dd/mm/yy")</f>
        <v/>
      </c>
      <c r="K1379" s="5" t="inlineStr">
        <is>
          <t>PRINTED</t>
        </is>
      </c>
      <c r="L1379" t="inlineStr">
        <is>
          <t>25/03/2026</t>
        </is>
      </c>
      <c r="M1379" s="30" t="inlineStr">
        <is>
          <t>MANISH KATARIA, VICE CONSUL</t>
        </is>
      </c>
      <c r="N1379" s="30" t="n"/>
    </row>
    <row r="1380">
      <c r="A1380" s="4">
        <f>Sheet1!A1380 &amp; "/" &amp; "2025"</f>
        <v/>
      </c>
      <c r="B1380" s="5">
        <f>Sheet1!E1380</f>
        <v/>
      </c>
      <c r="C1380" s="6">
        <f>UPPER(Sheet1!B1380)</f>
        <v/>
      </c>
      <c r="D1380" s="7">
        <f>IF(Sheet1!F1380="F","FEMALE","MALE")</f>
        <v/>
      </c>
      <c r="E1380" s="6">
        <f>UPPER(Sheet1!G1380)</f>
        <v/>
      </c>
      <c r="F1380" s="6">
        <f>UPPER(Sheet1!H1380)</f>
        <v/>
      </c>
      <c r="G1380" s="5">
        <f>TEXT(Sheet1!C1380,"dd/mm/yyyy") &amp; "," &amp; Sheet1!D1380</f>
        <v/>
      </c>
      <c r="H1380" s="38">
        <f>UPPER(Sheet1!J1380 &amp; "," &amp; Sheet1!K1380 &amp; "," &amp; Sheet1!L1380)</f>
        <v/>
      </c>
      <c r="I1380" s="45">
        <f>Sheet1!I1380</f>
        <v/>
      </c>
      <c r="J1380" s="5">
        <f>Sheet1!M1380 &amp; "," &amp; TEXT(Sheet1!N1380,"dd/mm/yy")</f>
        <v/>
      </c>
      <c r="K1380" s="5" t="inlineStr">
        <is>
          <t>PRINTED</t>
        </is>
      </c>
      <c r="L1380" t="inlineStr">
        <is>
          <t>25/03/2026</t>
        </is>
      </c>
      <c r="M1380" s="30" t="inlineStr">
        <is>
          <t>MANISH KATARIA, VICE CONSUL</t>
        </is>
      </c>
      <c r="N1380" s="30" t="n"/>
    </row>
    <row r="1381">
      <c r="A1381" s="4">
        <f>Sheet1!A1381 &amp; "/" &amp; "2025"</f>
        <v/>
      </c>
      <c r="B1381" s="5">
        <f>Sheet1!E1381</f>
        <v/>
      </c>
      <c r="C1381" s="6">
        <f>UPPER(Sheet1!B1381)</f>
        <v/>
      </c>
      <c r="D1381" s="7">
        <f>IF(Sheet1!F1381="F","FEMALE","MALE")</f>
        <v/>
      </c>
      <c r="E1381" s="6">
        <f>UPPER(Sheet1!G1381)</f>
        <v/>
      </c>
      <c r="F1381" s="6">
        <f>UPPER(Sheet1!H1381)</f>
        <v/>
      </c>
      <c r="G1381" s="5">
        <f>TEXT(Sheet1!C1381,"dd/mm/yyyy") &amp; "," &amp; Sheet1!D1381</f>
        <v/>
      </c>
      <c r="H1381" s="38">
        <f>UPPER(Sheet1!J1381 &amp; "," &amp; Sheet1!K1381 &amp; "," &amp; Sheet1!L1381)</f>
        <v/>
      </c>
      <c r="I1381" s="45">
        <f>Sheet1!I1381</f>
        <v/>
      </c>
      <c r="J1381" s="5">
        <f>Sheet1!M1381 &amp; "," &amp; TEXT(Sheet1!N1381,"dd/mm/yy")</f>
        <v/>
      </c>
      <c r="K1381" s="5" t="inlineStr">
        <is>
          <t>PRINTED</t>
        </is>
      </c>
      <c r="L1381" t="inlineStr">
        <is>
          <t>25/03/2026</t>
        </is>
      </c>
      <c r="M1381" s="30" t="inlineStr">
        <is>
          <t>MANISH KATARIA, VICE CONSUL</t>
        </is>
      </c>
      <c r="N1381" s="30" t="n"/>
    </row>
    <row r="1382">
      <c r="A1382" s="4">
        <f>Sheet1!A1382 &amp; "/" &amp; "2025"</f>
        <v/>
      </c>
      <c r="B1382" s="5">
        <f>Sheet1!E1382</f>
        <v/>
      </c>
      <c r="C1382" s="6">
        <f>UPPER(Sheet1!B1382)</f>
        <v/>
      </c>
      <c r="D1382" s="7">
        <f>IF(Sheet1!F1382="F","FEMALE","MALE")</f>
        <v/>
      </c>
      <c r="E1382" s="6">
        <f>UPPER(Sheet1!G1382)</f>
        <v/>
      </c>
      <c r="F1382" s="6">
        <f>UPPER(Sheet1!H1382)</f>
        <v/>
      </c>
      <c r="G1382" s="5">
        <f>TEXT(Sheet1!C1382,"dd/mm/yyyy") &amp; "," &amp; Sheet1!D1382</f>
        <v/>
      </c>
      <c r="H1382" s="38">
        <f>UPPER(Sheet1!J1382 &amp; "," &amp; Sheet1!K1382 &amp; "," &amp; Sheet1!L1382)</f>
        <v/>
      </c>
      <c r="I1382" s="45">
        <f>Sheet1!I1382</f>
        <v/>
      </c>
      <c r="J1382" s="5">
        <f>Sheet1!M1382 &amp; "," &amp; TEXT(Sheet1!N1382,"dd/mm/yy")</f>
        <v/>
      </c>
      <c r="K1382" s="5" t="inlineStr">
        <is>
          <t>PRINTED</t>
        </is>
      </c>
      <c r="L1382" t="inlineStr">
        <is>
          <t>25/03/2026</t>
        </is>
      </c>
      <c r="M1382" s="30" t="inlineStr">
        <is>
          <t>MANISH KATARIA, VICE CONSUL</t>
        </is>
      </c>
      <c r="N1382" s="30" t="n"/>
    </row>
    <row r="1383">
      <c r="A1383" s="4">
        <f>Sheet1!A1383 &amp; "/" &amp; "2025"</f>
        <v/>
      </c>
      <c r="B1383" s="5">
        <f>Sheet1!E1383</f>
        <v/>
      </c>
      <c r="C1383" s="6">
        <f>UPPER(Sheet1!B1383)</f>
        <v/>
      </c>
      <c r="D1383" s="7">
        <f>IF(Sheet1!F1383="F","FEMALE","MALE")</f>
        <v/>
      </c>
      <c r="E1383" s="6">
        <f>UPPER(Sheet1!G1383)</f>
        <v/>
      </c>
      <c r="F1383" s="6">
        <f>UPPER(Sheet1!H1383)</f>
        <v/>
      </c>
      <c r="G1383" s="5">
        <f>TEXT(Sheet1!C1383,"dd/mm/yyyy") &amp; "," &amp; Sheet1!D1383</f>
        <v/>
      </c>
      <c r="H1383" s="38">
        <f>UPPER(Sheet1!J1383 &amp; "," &amp; Sheet1!K1383 &amp; "," &amp; Sheet1!L1383)</f>
        <v/>
      </c>
      <c r="I1383" s="45">
        <f>Sheet1!I1383</f>
        <v/>
      </c>
      <c r="J1383" s="5">
        <f>Sheet1!M1383 &amp; "," &amp; TEXT(Sheet1!N1383,"dd/mm/yy")</f>
        <v/>
      </c>
      <c r="K1383" s="5" t="inlineStr">
        <is>
          <t>PRINTED</t>
        </is>
      </c>
      <c r="L1383" t="inlineStr">
        <is>
          <t>25/03/2026</t>
        </is>
      </c>
      <c r="M1383" s="30" t="inlineStr">
        <is>
          <t>MANISH KATARIA, VICE CONSUL</t>
        </is>
      </c>
      <c r="N1383" s="30" t="n"/>
    </row>
    <row r="1384">
      <c r="A1384" s="4">
        <f>Sheet1!A1384 &amp; "/" &amp; "2025"</f>
        <v/>
      </c>
      <c r="B1384" s="5">
        <f>Sheet1!E1384</f>
        <v/>
      </c>
      <c r="C1384" s="6">
        <f>UPPER(Sheet1!B1384)</f>
        <v/>
      </c>
      <c r="D1384" s="7">
        <f>IF(Sheet1!F1384="F","FEMALE","MALE")</f>
        <v/>
      </c>
      <c r="E1384" s="6">
        <f>UPPER(Sheet1!G1384)</f>
        <v/>
      </c>
      <c r="F1384" s="6">
        <f>UPPER(Sheet1!H1384)</f>
        <v/>
      </c>
      <c r="G1384" s="5">
        <f>TEXT(Sheet1!C1384,"dd/mm/yyyy") &amp; "," &amp; Sheet1!D1384</f>
        <v/>
      </c>
      <c r="H1384" s="38">
        <f>UPPER(Sheet1!J1384 &amp; "," &amp; Sheet1!K1384 &amp; "," &amp; Sheet1!L1384)</f>
        <v/>
      </c>
      <c r="I1384" s="45">
        <f>Sheet1!I1384</f>
        <v/>
      </c>
      <c r="J1384" s="5">
        <f>Sheet1!M1384 &amp; "," &amp; TEXT(Sheet1!N1384,"dd/mm/yy")</f>
        <v/>
      </c>
      <c r="K1384" s="5" t="inlineStr">
        <is>
          <t>PRINTED</t>
        </is>
      </c>
      <c r="L1384" t="inlineStr">
        <is>
          <t>25/03/2026</t>
        </is>
      </c>
      <c r="M1384" s="30" t="inlineStr">
        <is>
          <t>MANISH KATARIA, VICE CONSUL</t>
        </is>
      </c>
      <c r="N1384" s="30" t="n"/>
    </row>
    <row r="1385">
      <c r="A1385" s="4">
        <f>Sheet1!A1385 &amp; "/" &amp; "2025"</f>
        <v/>
      </c>
      <c r="B1385" s="5">
        <f>Sheet1!E1385</f>
        <v/>
      </c>
      <c r="C1385" s="6">
        <f>UPPER(Sheet1!B1385)</f>
        <v/>
      </c>
      <c r="D1385" s="7">
        <f>IF(Sheet1!F1385="F","FEMALE","MALE")</f>
        <v/>
      </c>
      <c r="E1385" s="6">
        <f>UPPER(Sheet1!G1385)</f>
        <v/>
      </c>
      <c r="F1385" s="6">
        <f>UPPER(Sheet1!H1385)</f>
        <v/>
      </c>
      <c r="G1385" s="5">
        <f>TEXT(Sheet1!C1385,"dd/mm/yyyy") &amp; "," &amp; Sheet1!D1385</f>
        <v/>
      </c>
      <c r="H1385" s="38">
        <f>UPPER(Sheet1!J1385 &amp; "," &amp; Sheet1!K1385 &amp; "," &amp; Sheet1!L1385)</f>
        <v/>
      </c>
      <c r="I1385" s="45">
        <f>Sheet1!I1385</f>
        <v/>
      </c>
      <c r="J1385" s="5">
        <f>Sheet1!M1385 &amp; "," &amp; TEXT(Sheet1!N1385,"dd/mm/yy")</f>
        <v/>
      </c>
      <c r="K1385" s="5" t="inlineStr">
        <is>
          <t>PRINTED</t>
        </is>
      </c>
      <c r="L1385" t="inlineStr">
        <is>
          <t>25/03/2026</t>
        </is>
      </c>
      <c r="M1385" s="30" t="inlineStr">
        <is>
          <t>MANISH KATARIA, VICE CONSUL</t>
        </is>
      </c>
      <c r="N1385" s="30" t="n"/>
    </row>
    <row r="1386">
      <c r="A1386" s="4">
        <f>Sheet1!A1386 &amp; "/" &amp; "2025"</f>
        <v/>
      </c>
      <c r="B1386" s="5">
        <f>Sheet1!E1386</f>
        <v/>
      </c>
      <c r="C1386" s="6">
        <f>UPPER(Sheet1!B1386)</f>
        <v/>
      </c>
      <c r="D1386" s="7">
        <f>IF(Sheet1!F1386="F","FEMALE","MALE")</f>
        <v/>
      </c>
      <c r="E1386" s="6">
        <f>UPPER(Sheet1!G1386)</f>
        <v/>
      </c>
      <c r="F1386" s="6">
        <f>UPPER(Sheet1!H1386)</f>
        <v/>
      </c>
      <c r="G1386" s="5">
        <f>TEXT(Sheet1!C1386,"dd/mm/yyyy") &amp; "," &amp; Sheet1!D1386</f>
        <v/>
      </c>
      <c r="H1386" s="38">
        <f>UPPER(Sheet1!J1386 &amp; "," &amp; Sheet1!K1386 &amp; "," &amp; Sheet1!L1386)</f>
        <v/>
      </c>
      <c r="I1386" s="45">
        <f>Sheet1!I1386</f>
        <v/>
      </c>
      <c r="J1386" s="5">
        <f>Sheet1!M1386 &amp; "," &amp; TEXT(Sheet1!N1386,"dd/mm/yy")</f>
        <v/>
      </c>
      <c r="K1386" s="5" t="inlineStr">
        <is>
          <t>PRINTED</t>
        </is>
      </c>
      <c r="L1386" t="inlineStr">
        <is>
          <t>25/03/2026</t>
        </is>
      </c>
      <c r="M1386" s="30" t="inlineStr">
        <is>
          <t>MANISH KATARIA, VICE CONSUL</t>
        </is>
      </c>
      <c r="N1386" s="30" t="n"/>
    </row>
    <row r="1387">
      <c r="A1387" s="4">
        <f>Sheet1!A1387 &amp; "/" &amp; "2025"</f>
        <v/>
      </c>
      <c r="B1387" s="5">
        <f>Sheet1!E1387</f>
        <v/>
      </c>
      <c r="C1387" s="6">
        <f>UPPER(Sheet1!B1387)</f>
        <v/>
      </c>
      <c r="D1387" s="7">
        <f>IF(Sheet1!F1387="F","FEMALE","MALE")</f>
        <v/>
      </c>
      <c r="E1387" s="6">
        <f>UPPER(Sheet1!G1387)</f>
        <v/>
      </c>
      <c r="F1387" s="6">
        <f>UPPER(Sheet1!H1387)</f>
        <v/>
      </c>
      <c r="G1387" s="5">
        <f>TEXT(Sheet1!C1387,"dd/mm/yyyy") &amp; "," &amp; Sheet1!D1387</f>
        <v/>
      </c>
      <c r="H1387" s="38">
        <f>UPPER(Sheet1!J1387 &amp; "," &amp; Sheet1!K1387 &amp; "," &amp; Sheet1!L1387)</f>
        <v/>
      </c>
      <c r="I1387" s="45">
        <f>Sheet1!I1387</f>
        <v/>
      </c>
      <c r="J1387" s="5">
        <f>Sheet1!M1387 &amp; "," &amp; TEXT(Sheet1!N1387,"dd/mm/yy")</f>
        <v/>
      </c>
      <c r="K1387" s="5" t="inlineStr">
        <is>
          <t>PRINTED</t>
        </is>
      </c>
      <c r="L1387" t="inlineStr">
        <is>
          <t>25/03/2026</t>
        </is>
      </c>
      <c r="M1387" s="30" t="inlineStr">
        <is>
          <t>MANISH KATARIA, VICE CONSUL</t>
        </is>
      </c>
      <c r="N1387" s="30" t="n"/>
    </row>
    <row r="1388">
      <c r="A1388" s="4">
        <f>Sheet1!A1388 &amp; "/" &amp; "2025"</f>
        <v/>
      </c>
      <c r="B1388" s="5">
        <f>Sheet1!E1388</f>
        <v/>
      </c>
      <c r="C1388" s="6">
        <f>UPPER(Sheet1!B1388)</f>
        <v/>
      </c>
      <c r="D1388" s="7">
        <f>IF(Sheet1!F1388="F","FEMALE","MALE")</f>
        <v/>
      </c>
      <c r="E1388" s="6">
        <f>UPPER(Sheet1!G1388)</f>
        <v/>
      </c>
      <c r="F1388" s="6">
        <f>UPPER(Sheet1!H1388)</f>
        <v/>
      </c>
      <c r="G1388" s="5">
        <f>TEXT(Sheet1!C1388,"dd/mm/yyyy") &amp; "," &amp; Sheet1!D1388</f>
        <v/>
      </c>
      <c r="H1388" s="38">
        <f>UPPER(Sheet1!J1388 &amp; "," &amp; Sheet1!K1388 &amp; "," &amp; Sheet1!L1388)</f>
        <v/>
      </c>
      <c r="I1388" s="45">
        <f>Sheet1!I1388</f>
        <v/>
      </c>
      <c r="J1388" s="5">
        <f>Sheet1!M1388 &amp; "," &amp; TEXT(Sheet1!N1388,"dd/mm/yy")</f>
        <v/>
      </c>
      <c r="K1388" s="5" t="inlineStr">
        <is>
          <t>PRINTED</t>
        </is>
      </c>
      <c r="L1388" t="inlineStr">
        <is>
          <t>25/03/2026</t>
        </is>
      </c>
      <c r="M1388" s="30" t="inlineStr">
        <is>
          <t>MANISH KATARIA, VICE CONSUL</t>
        </is>
      </c>
      <c r="N1388" s="30" t="n"/>
    </row>
    <row r="1389">
      <c r="A1389" s="4">
        <f>Sheet1!A1389 &amp; "/" &amp; "2025"</f>
        <v/>
      </c>
      <c r="B1389" s="5">
        <f>Sheet1!E1389</f>
        <v/>
      </c>
      <c r="C1389" s="6">
        <f>UPPER(Sheet1!B1389)</f>
        <v/>
      </c>
      <c r="D1389" s="7">
        <f>IF(Sheet1!F1389="F","FEMALE","MALE")</f>
        <v/>
      </c>
      <c r="E1389" s="6">
        <f>UPPER(Sheet1!G1389)</f>
        <v/>
      </c>
      <c r="F1389" s="6">
        <f>UPPER(Sheet1!H1389)</f>
        <v/>
      </c>
      <c r="G1389" s="5">
        <f>TEXT(Sheet1!C1389,"dd/mm/yyyy") &amp; "," &amp; Sheet1!D1389</f>
        <v/>
      </c>
      <c r="H1389" s="38">
        <f>UPPER(Sheet1!J1389 &amp; "," &amp; Sheet1!K1389 &amp; "," &amp; Sheet1!L1389)</f>
        <v/>
      </c>
      <c r="I1389" s="45">
        <f>Sheet1!I1389</f>
        <v/>
      </c>
      <c r="J1389" s="5">
        <f>Sheet1!M1389 &amp; "," &amp; TEXT(Sheet1!N1389,"dd/mm/yy")</f>
        <v/>
      </c>
      <c r="K1389" s="5" t="inlineStr">
        <is>
          <t>PRINTED</t>
        </is>
      </c>
      <c r="L1389" t="inlineStr">
        <is>
          <t>25/03/2026</t>
        </is>
      </c>
      <c r="M1389" s="30" t="inlineStr">
        <is>
          <t>MANISH KATARIA, VICE CONSUL</t>
        </is>
      </c>
      <c r="N1389" s="30" t="n"/>
    </row>
    <row r="1390">
      <c r="A1390" s="4">
        <f>Sheet1!A1390 &amp; "/" &amp; "2025"</f>
        <v/>
      </c>
      <c r="B1390" s="5">
        <f>Sheet1!E1390</f>
        <v/>
      </c>
      <c r="C1390" s="6">
        <f>UPPER(Sheet1!B1390)</f>
        <v/>
      </c>
      <c r="D1390" s="7">
        <f>IF(Sheet1!F1390="F","FEMALE","MALE")</f>
        <v/>
      </c>
      <c r="E1390" s="6">
        <f>UPPER(Sheet1!G1390)</f>
        <v/>
      </c>
      <c r="F1390" s="6">
        <f>UPPER(Sheet1!H1390)</f>
        <v/>
      </c>
      <c r="G1390" s="5">
        <f>TEXT(Sheet1!C1390,"dd/mm/yyyy") &amp; "," &amp; Sheet1!D1390</f>
        <v/>
      </c>
      <c r="H1390" s="38">
        <f>UPPER(Sheet1!J1390 &amp; "," &amp; Sheet1!K1390 &amp; "," &amp; Sheet1!L1390)</f>
        <v/>
      </c>
      <c r="I1390" s="45">
        <f>Sheet1!I1390</f>
        <v/>
      </c>
      <c r="J1390" s="5">
        <f>Sheet1!M1390 &amp; "," &amp; TEXT(Sheet1!N1390,"dd/mm/yy")</f>
        <v/>
      </c>
      <c r="K1390" s="5" t="inlineStr">
        <is>
          <t>PRINTED</t>
        </is>
      </c>
      <c r="L1390" t="inlineStr">
        <is>
          <t>25/03/2026</t>
        </is>
      </c>
      <c r="M1390" s="30" t="inlineStr">
        <is>
          <t>MANISH KATARIA, VICE CONSUL</t>
        </is>
      </c>
      <c r="N1390" s="30" t="n"/>
    </row>
    <row r="1391">
      <c r="A1391" s="4">
        <f>Sheet1!A1391 &amp; "/" &amp; "2025"</f>
        <v/>
      </c>
      <c r="B1391" s="5">
        <f>Sheet1!E1391</f>
        <v/>
      </c>
      <c r="C1391" s="6">
        <f>UPPER(Sheet1!B1391)</f>
        <v/>
      </c>
      <c r="D1391" s="7">
        <f>IF(Sheet1!F1391="F","FEMALE","MALE")</f>
        <v/>
      </c>
      <c r="E1391" s="6">
        <f>UPPER(Sheet1!G1391)</f>
        <v/>
      </c>
      <c r="F1391" s="6">
        <f>UPPER(Sheet1!H1391)</f>
        <v/>
      </c>
      <c r="G1391" s="5">
        <f>TEXT(Sheet1!C1391,"dd/mm/yyyy") &amp; "," &amp; Sheet1!D1391</f>
        <v/>
      </c>
      <c r="H1391" s="38">
        <f>UPPER(Sheet1!J1391 &amp; "," &amp; Sheet1!K1391 &amp; "," &amp; Sheet1!L1391)</f>
        <v/>
      </c>
      <c r="I1391" s="45">
        <f>Sheet1!I1391</f>
        <v/>
      </c>
      <c r="J1391" s="5">
        <f>Sheet1!M1391 &amp; "," &amp; TEXT(Sheet1!N1391,"dd/mm/yy")</f>
        <v/>
      </c>
      <c r="K1391" s="5" t="inlineStr">
        <is>
          <t>PRINTED</t>
        </is>
      </c>
      <c r="L1391" t="inlineStr">
        <is>
          <t>25/03/2026</t>
        </is>
      </c>
      <c r="M1391" s="30" t="inlineStr">
        <is>
          <t>MANISH KATARIA, VICE CONSUL</t>
        </is>
      </c>
      <c r="N1391" s="30" t="n"/>
    </row>
    <row r="1392">
      <c r="A1392" s="4">
        <f>Sheet1!A1392 &amp; "/" &amp; "2025"</f>
        <v/>
      </c>
      <c r="B1392" s="5">
        <f>Sheet1!E1392</f>
        <v/>
      </c>
      <c r="C1392" s="6">
        <f>UPPER(Sheet1!B1392)</f>
        <v/>
      </c>
      <c r="D1392" s="7">
        <f>IF(Sheet1!F1392="F","FEMALE","MALE")</f>
        <v/>
      </c>
      <c r="E1392" s="6">
        <f>UPPER(Sheet1!G1392)</f>
        <v/>
      </c>
      <c r="F1392" s="6">
        <f>UPPER(Sheet1!H1392)</f>
        <v/>
      </c>
      <c r="G1392" s="5">
        <f>TEXT(Sheet1!C1392,"dd/mm/yyyy") &amp; "," &amp; Sheet1!D1392</f>
        <v/>
      </c>
      <c r="H1392" s="38">
        <f>UPPER(Sheet1!J1392 &amp; "," &amp; Sheet1!K1392 &amp; "," &amp; Sheet1!L1392)</f>
        <v/>
      </c>
      <c r="I1392" s="45">
        <f>Sheet1!I1392</f>
        <v/>
      </c>
      <c r="J1392" s="5">
        <f>Sheet1!M1392 &amp; "," &amp; TEXT(Sheet1!N1392,"dd/mm/yy")</f>
        <v/>
      </c>
      <c r="K1392" s="5" t="inlineStr">
        <is>
          <t>PRINTED</t>
        </is>
      </c>
      <c r="L1392" t="inlineStr">
        <is>
          <t>25/03/2026</t>
        </is>
      </c>
      <c r="M1392" s="30" t="inlineStr">
        <is>
          <t>MANISH KATARIA, VICE CONSUL</t>
        </is>
      </c>
      <c r="N1392" s="30" t="n"/>
    </row>
    <row r="1393">
      <c r="A1393" s="4">
        <f>Sheet1!A1393 &amp; "/" &amp; "2025"</f>
        <v/>
      </c>
      <c r="B1393" s="5">
        <f>Sheet1!E1393</f>
        <v/>
      </c>
      <c r="C1393" s="6">
        <f>UPPER(Sheet1!B1393)</f>
        <v/>
      </c>
      <c r="D1393" s="7">
        <f>IF(Sheet1!F1393="F","FEMALE","MALE")</f>
        <v/>
      </c>
      <c r="E1393" s="6">
        <f>UPPER(Sheet1!G1393)</f>
        <v/>
      </c>
      <c r="F1393" s="6">
        <f>UPPER(Sheet1!H1393)</f>
        <v/>
      </c>
      <c r="G1393" s="5">
        <f>TEXT(Sheet1!C1393,"dd/mm/yyyy") &amp; "," &amp; Sheet1!D1393</f>
        <v/>
      </c>
      <c r="H1393" s="38">
        <f>UPPER(Sheet1!J1393 &amp; "," &amp; Sheet1!K1393 &amp; "," &amp; Sheet1!L1393)</f>
        <v/>
      </c>
      <c r="I1393" s="45">
        <f>Sheet1!I1393</f>
        <v/>
      </c>
      <c r="J1393" s="5">
        <f>Sheet1!M1393 &amp; "," &amp; TEXT(Sheet1!N1393,"dd/mm/yy")</f>
        <v/>
      </c>
      <c r="K1393" s="5" t="inlineStr">
        <is>
          <t>PRINTED</t>
        </is>
      </c>
      <c r="L1393" t="inlineStr">
        <is>
          <t>25/03/2026</t>
        </is>
      </c>
      <c r="M1393" s="30" t="inlineStr">
        <is>
          <t>MANISH KATARIA, VICE CONSUL</t>
        </is>
      </c>
      <c r="N1393" s="30" t="n"/>
    </row>
    <row r="1394">
      <c r="A1394" s="4">
        <f>Sheet1!A1394 &amp; "/" &amp; "2025"</f>
        <v/>
      </c>
      <c r="B1394" s="5">
        <f>Sheet1!E1394</f>
        <v/>
      </c>
      <c r="C1394" s="6">
        <f>UPPER(Sheet1!B1394)</f>
        <v/>
      </c>
      <c r="D1394" s="7">
        <f>IF(Sheet1!F1394="F","FEMALE","MALE")</f>
        <v/>
      </c>
      <c r="E1394" s="6">
        <f>UPPER(Sheet1!G1394)</f>
        <v/>
      </c>
      <c r="F1394" s="6">
        <f>UPPER(Sheet1!H1394)</f>
        <v/>
      </c>
      <c r="G1394" s="5">
        <f>TEXT(Sheet1!C1394,"dd/mm/yyyy") &amp; "," &amp; Sheet1!D1394</f>
        <v/>
      </c>
      <c r="H1394" s="38">
        <f>UPPER(Sheet1!J1394 &amp; "," &amp; Sheet1!K1394 &amp; "," &amp; Sheet1!L1394)</f>
        <v/>
      </c>
      <c r="I1394" s="45">
        <f>Sheet1!I1394</f>
        <v/>
      </c>
      <c r="J1394" s="5">
        <f>Sheet1!M1394 &amp; "," &amp; TEXT(Sheet1!N1394,"dd/mm/yy")</f>
        <v/>
      </c>
      <c r="K1394" s="5" t="inlineStr">
        <is>
          <t>PRINTED</t>
        </is>
      </c>
      <c r="L1394" t="inlineStr">
        <is>
          <t>25/03/2026</t>
        </is>
      </c>
      <c r="M1394" s="30" t="inlineStr">
        <is>
          <t>MANISH KATARIA, VICE CONSUL</t>
        </is>
      </c>
      <c r="N1394" s="30" t="n"/>
    </row>
    <row r="1395">
      <c r="A1395" s="4">
        <f>Sheet1!A1395 &amp; "/" &amp; "2025"</f>
        <v/>
      </c>
      <c r="B1395" s="5">
        <f>Sheet1!E1395</f>
        <v/>
      </c>
      <c r="C1395" s="6">
        <f>UPPER(Sheet1!B1395)</f>
        <v/>
      </c>
      <c r="D1395" s="7">
        <f>IF(Sheet1!F1395="F","FEMALE","MALE")</f>
        <v/>
      </c>
      <c r="E1395" s="6">
        <f>UPPER(Sheet1!G1395)</f>
        <v/>
      </c>
      <c r="F1395" s="6">
        <f>UPPER(Sheet1!H1395)</f>
        <v/>
      </c>
      <c r="G1395" s="5">
        <f>TEXT(Sheet1!C1395,"dd/mm/yyyy") &amp; "," &amp; Sheet1!D1395</f>
        <v/>
      </c>
      <c r="H1395" s="38">
        <f>UPPER(Sheet1!J1395 &amp; "," &amp; Sheet1!K1395 &amp; "," &amp; Sheet1!L1395)</f>
        <v/>
      </c>
      <c r="I1395" s="45">
        <f>Sheet1!I1395</f>
        <v/>
      </c>
      <c r="J1395" s="5">
        <f>Sheet1!M1395 &amp; "," &amp; TEXT(Sheet1!N1395,"dd/mm/yy")</f>
        <v/>
      </c>
      <c r="K1395" s="5" t="inlineStr">
        <is>
          <t>PRINTED</t>
        </is>
      </c>
      <c r="L1395" t="inlineStr">
        <is>
          <t>25/03/2026</t>
        </is>
      </c>
      <c r="M1395" s="30" t="inlineStr">
        <is>
          <t>MANISH KATARIA, VICE CONSUL</t>
        </is>
      </c>
      <c r="N1395" s="30" t="n"/>
    </row>
    <row r="1396">
      <c r="A1396" s="4">
        <f>Sheet1!A1396 &amp; "/" &amp; "2025"</f>
        <v/>
      </c>
      <c r="B1396" s="5">
        <f>Sheet1!E1396</f>
        <v/>
      </c>
      <c r="C1396" s="6">
        <f>UPPER(Sheet1!B1396)</f>
        <v/>
      </c>
      <c r="D1396" s="7">
        <f>IF(Sheet1!F1396="F","FEMALE","MALE")</f>
        <v/>
      </c>
      <c r="E1396" s="6">
        <f>UPPER(Sheet1!G1396)</f>
        <v/>
      </c>
      <c r="F1396" s="6">
        <f>UPPER(Sheet1!H1396)</f>
        <v/>
      </c>
      <c r="G1396" s="5">
        <f>TEXT(Sheet1!C1396,"dd/mm/yyyy") &amp; "," &amp; Sheet1!D1396</f>
        <v/>
      </c>
      <c r="H1396" s="38">
        <f>UPPER(Sheet1!J1396 &amp; "," &amp; Sheet1!K1396 &amp; "," &amp; Sheet1!L1396)</f>
        <v/>
      </c>
      <c r="I1396" s="45">
        <f>Sheet1!I1396</f>
        <v/>
      </c>
      <c r="J1396" s="5">
        <f>Sheet1!M1396 &amp; "," &amp; TEXT(Sheet1!N1396,"dd/mm/yy")</f>
        <v/>
      </c>
      <c r="K1396" s="5" t="inlineStr">
        <is>
          <t>PRINTED</t>
        </is>
      </c>
      <c r="L1396" t="inlineStr">
        <is>
          <t>25/03/2026</t>
        </is>
      </c>
      <c r="M1396" s="30" t="inlineStr">
        <is>
          <t>MANISH KATARIA, VICE CONSUL</t>
        </is>
      </c>
      <c r="N1396" s="30" t="n"/>
    </row>
    <row r="1397">
      <c r="A1397" s="4">
        <f>Sheet1!A1397 &amp; "/" &amp; "2025"</f>
        <v/>
      </c>
      <c r="B1397" s="5">
        <f>Sheet1!E1397</f>
        <v/>
      </c>
      <c r="C1397" s="6">
        <f>UPPER(Sheet1!B1397)</f>
        <v/>
      </c>
      <c r="D1397" s="7">
        <f>IF(Sheet1!F1397="F","FEMALE","MALE")</f>
        <v/>
      </c>
      <c r="E1397" s="6">
        <f>UPPER(Sheet1!G1397)</f>
        <v/>
      </c>
      <c r="F1397" s="6">
        <f>UPPER(Sheet1!H1397)</f>
        <v/>
      </c>
      <c r="G1397" s="5">
        <f>TEXT(Sheet1!C1397,"dd/mm/yyyy") &amp; "," &amp; Sheet1!D1397</f>
        <v/>
      </c>
      <c r="H1397" s="38">
        <f>UPPER(Sheet1!J1397 &amp; "," &amp; Sheet1!K1397 &amp; "," &amp; Sheet1!L1397)</f>
        <v/>
      </c>
      <c r="I1397" s="45">
        <f>Sheet1!I1397</f>
        <v/>
      </c>
      <c r="J1397" s="5">
        <f>Sheet1!M1397 &amp; "," &amp; TEXT(Sheet1!N1397,"dd/mm/yy")</f>
        <v/>
      </c>
      <c r="K1397" s="5" t="inlineStr">
        <is>
          <t>PRINTED</t>
        </is>
      </c>
      <c r="L1397" t="inlineStr">
        <is>
          <t>25/03/2026</t>
        </is>
      </c>
      <c r="M1397" s="30" t="inlineStr">
        <is>
          <t>MANISH KATARIA, VICE CONSUL</t>
        </is>
      </c>
      <c r="N1397" s="30" t="n"/>
    </row>
    <row r="1398">
      <c r="A1398" s="4">
        <f>Sheet1!A1398 &amp; "/" &amp; "2025"</f>
        <v/>
      </c>
      <c r="B1398" s="5">
        <f>Sheet1!E1398</f>
        <v/>
      </c>
      <c r="C1398" s="6">
        <f>UPPER(Sheet1!B1398)</f>
        <v/>
      </c>
      <c r="D1398" s="7">
        <f>IF(Sheet1!F1398="F","FEMALE","MALE")</f>
        <v/>
      </c>
      <c r="E1398" s="6">
        <f>UPPER(Sheet1!G1398)</f>
        <v/>
      </c>
      <c r="F1398" s="6">
        <f>UPPER(Sheet1!H1398)</f>
        <v/>
      </c>
      <c r="G1398" s="5">
        <f>TEXT(Sheet1!C1398,"dd/mm/yyyy") &amp; "," &amp; Sheet1!D1398</f>
        <v/>
      </c>
      <c r="H1398" s="38">
        <f>UPPER(Sheet1!J1398 &amp; "," &amp; Sheet1!K1398 &amp; "," &amp; Sheet1!L1398)</f>
        <v/>
      </c>
      <c r="I1398" s="45">
        <f>Sheet1!I1398</f>
        <v/>
      </c>
      <c r="J1398" s="5">
        <f>Sheet1!M1398 &amp; "," &amp; TEXT(Sheet1!N1398,"dd/mm/yy")</f>
        <v/>
      </c>
      <c r="K1398" s="5" t="inlineStr">
        <is>
          <t>PRINTED</t>
        </is>
      </c>
      <c r="L1398" t="inlineStr">
        <is>
          <t>25/03/2026</t>
        </is>
      </c>
      <c r="M1398" s="30" t="inlineStr">
        <is>
          <t>MANISH KATARIA, VICE CONSUL</t>
        </is>
      </c>
      <c r="N1398" s="30" t="n"/>
    </row>
    <row r="1399">
      <c r="A1399" s="4">
        <f>Sheet1!A1399 &amp; "/" &amp; "2025"</f>
        <v/>
      </c>
      <c r="B1399" s="5">
        <f>Sheet1!E1399</f>
        <v/>
      </c>
      <c r="C1399" s="6">
        <f>UPPER(Sheet1!B1399)</f>
        <v/>
      </c>
      <c r="D1399" s="7">
        <f>IF(Sheet1!F1399="F","FEMALE","MALE")</f>
        <v/>
      </c>
      <c r="E1399" s="6">
        <f>UPPER(Sheet1!G1399)</f>
        <v/>
      </c>
      <c r="F1399" s="6">
        <f>UPPER(Sheet1!H1399)</f>
        <v/>
      </c>
      <c r="G1399" s="5">
        <f>TEXT(Sheet1!C1399,"dd/mm/yyyy") &amp; "," &amp; Sheet1!D1399</f>
        <v/>
      </c>
      <c r="H1399" s="38">
        <f>UPPER(Sheet1!J1399 &amp; "," &amp; Sheet1!K1399 &amp; "," &amp; Sheet1!L1399)</f>
        <v/>
      </c>
      <c r="I1399" s="45">
        <f>Sheet1!I1399</f>
        <v/>
      </c>
      <c r="J1399" s="5">
        <f>Sheet1!M1399 &amp; "," &amp; TEXT(Sheet1!N1399,"dd/mm/yy")</f>
        <v/>
      </c>
      <c r="K1399" s="5" t="inlineStr">
        <is>
          <t>PRINTED</t>
        </is>
      </c>
      <c r="L1399" t="inlineStr">
        <is>
          <t>25/03/2026</t>
        </is>
      </c>
      <c r="M1399" s="30" t="inlineStr">
        <is>
          <t>MANISH KATARIA, VICE CONSUL</t>
        </is>
      </c>
      <c r="N1399" s="30" t="n"/>
    </row>
    <row r="1400">
      <c r="A1400" s="4">
        <f>Sheet1!A1400 &amp; "/" &amp; "2025"</f>
        <v/>
      </c>
      <c r="B1400" s="5">
        <f>Sheet1!E1400</f>
        <v/>
      </c>
      <c r="C1400" s="6">
        <f>UPPER(Sheet1!B1400)</f>
        <v/>
      </c>
      <c r="D1400" s="7">
        <f>IF(Sheet1!F1400="F","FEMALE","MALE")</f>
        <v/>
      </c>
      <c r="E1400" s="6">
        <f>UPPER(Sheet1!G1400)</f>
        <v/>
      </c>
      <c r="F1400" s="6">
        <f>UPPER(Sheet1!H1400)</f>
        <v/>
      </c>
      <c r="G1400" s="5">
        <f>TEXT(Sheet1!C1400,"dd/mm/yyyy") &amp; "," &amp; Sheet1!D1400</f>
        <v/>
      </c>
      <c r="H1400" s="38">
        <f>UPPER(Sheet1!J1400 &amp; "," &amp; Sheet1!K1400 &amp; "," &amp; Sheet1!L1400)</f>
        <v/>
      </c>
      <c r="I1400" s="45">
        <f>Sheet1!I1400</f>
        <v/>
      </c>
      <c r="J1400" s="5">
        <f>Sheet1!M1400 &amp; "," &amp; TEXT(Sheet1!N1400,"dd/mm/yy")</f>
        <v/>
      </c>
      <c r="K1400" s="5" t="inlineStr">
        <is>
          <t>PRINTED</t>
        </is>
      </c>
      <c r="L1400" t="inlineStr">
        <is>
          <t>25/03/2026</t>
        </is>
      </c>
      <c r="M1400" s="30" t="inlineStr">
        <is>
          <t>MANISH KATARIA, VICE CONSUL</t>
        </is>
      </c>
      <c r="N1400" s="30" t="n"/>
    </row>
    <row r="1401">
      <c r="A1401" s="4">
        <f>Sheet1!A1401 &amp; "/" &amp; "2025"</f>
        <v/>
      </c>
      <c r="B1401" s="5">
        <f>Sheet1!E1401</f>
        <v/>
      </c>
      <c r="C1401" s="6">
        <f>UPPER(Sheet1!B1401)</f>
        <v/>
      </c>
      <c r="D1401" s="7">
        <f>IF(Sheet1!F1401="F","FEMALE","MALE")</f>
        <v/>
      </c>
      <c r="E1401" s="6">
        <f>UPPER(Sheet1!G1401)</f>
        <v/>
      </c>
      <c r="F1401" s="6">
        <f>UPPER(Sheet1!H1401)</f>
        <v/>
      </c>
      <c r="G1401" s="5">
        <f>TEXT(Sheet1!C1401,"dd/mm/yyyy") &amp; "," &amp; Sheet1!D1401</f>
        <v/>
      </c>
      <c r="H1401" s="38">
        <f>UPPER(Sheet1!J1401 &amp; "," &amp; Sheet1!K1401 &amp; "," &amp; Sheet1!L1401)</f>
        <v/>
      </c>
      <c r="I1401" s="45">
        <f>Sheet1!I1401</f>
        <v/>
      </c>
      <c r="J1401" s="5">
        <f>Sheet1!M1401 &amp; "," &amp; TEXT(Sheet1!N1401,"dd/mm/yy")</f>
        <v/>
      </c>
      <c r="K1401" s="5" t="inlineStr">
        <is>
          <t>PRINTED</t>
        </is>
      </c>
      <c r="L1401" t="inlineStr">
        <is>
          <t>25/03/2026</t>
        </is>
      </c>
      <c r="M1401" s="30" t="inlineStr">
        <is>
          <t>MANISH KATARIA, VICE CONSUL</t>
        </is>
      </c>
      <c r="N1401" s="30" t="n"/>
    </row>
    <row r="1402">
      <c r="A1402" s="4">
        <f>Sheet1!A1402 &amp; "/" &amp; "2025"</f>
        <v/>
      </c>
      <c r="B1402" s="5">
        <f>Sheet1!E1402</f>
        <v/>
      </c>
      <c r="C1402" s="6">
        <f>UPPER(Sheet1!B1402)</f>
        <v/>
      </c>
      <c r="D1402" s="7">
        <f>IF(Sheet1!F1402="F","FEMALE","MALE")</f>
        <v/>
      </c>
      <c r="E1402" s="6">
        <f>UPPER(Sheet1!G1402)</f>
        <v/>
      </c>
      <c r="F1402" s="6">
        <f>UPPER(Sheet1!H1402)</f>
        <v/>
      </c>
      <c r="G1402" s="5">
        <f>TEXT(Sheet1!C1402,"dd/mm/yyyy") &amp; "," &amp; Sheet1!D1402</f>
        <v/>
      </c>
      <c r="H1402" s="38">
        <f>UPPER(Sheet1!J1402 &amp; "," &amp; Sheet1!K1402 &amp; "," &amp; Sheet1!L1402)</f>
        <v/>
      </c>
      <c r="I1402" s="45">
        <f>Sheet1!I1402</f>
        <v/>
      </c>
      <c r="J1402" s="5">
        <f>Sheet1!M1402 &amp; "," &amp; TEXT(Sheet1!N1402,"dd/mm/yy")</f>
        <v/>
      </c>
      <c r="K1402" s="5" t="inlineStr">
        <is>
          <t>PRINTED</t>
        </is>
      </c>
      <c r="L1402" t="inlineStr">
        <is>
          <t>25/03/2026</t>
        </is>
      </c>
      <c r="M1402" s="30" t="inlineStr">
        <is>
          <t>MANISH KATARIA, VICE CONSUL</t>
        </is>
      </c>
      <c r="N1402" s="30" t="n"/>
    </row>
    <row r="1403">
      <c r="A1403" s="4">
        <f>Sheet1!A1403 &amp; "/" &amp; "2025"</f>
        <v/>
      </c>
      <c r="B1403" s="5">
        <f>Sheet1!E1403</f>
        <v/>
      </c>
      <c r="C1403" s="6">
        <f>UPPER(Sheet1!B1403)</f>
        <v/>
      </c>
      <c r="D1403" s="7">
        <f>IF(Sheet1!F1403="F","FEMALE","MALE")</f>
        <v/>
      </c>
      <c r="E1403" s="6">
        <f>UPPER(Sheet1!G1403)</f>
        <v/>
      </c>
      <c r="F1403" s="6">
        <f>UPPER(Sheet1!H1403)</f>
        <v/>
      </c>
      <c r="G1403" s="5">
        <f>TEXT(Sheet1!C1403,"dd/mm/yyyy") &amp; "," &amp; Sheet1!D1403</f>
        <v/>
      </c>
      <c r="H1403" s="38">
        <f>UPPER(Sheet1!J1403 &amp; "," &amp; Sheet1!K1403 &amp; "," &amp; Sheet1!L1403)</f>
        <v/>
      </c>
      <c r="I1403" s="45">
        <f>Sheet1!I1403</f>
        <v/>
      </c>
      <c r="J1403" s="5">
        <f>Sheet1!M1403 &amp; "," &amp; TEXT(Sheet1!N1403,"dd/mm/yy")</f>
        <v/>
      </c>
      <c r="K1403" s="5" t="inlineStr">
        <is>
          <t>PRINTED</t>
        </is>
      </c>
      <c r="L1403" t="inlineStr">
        <is>
          <t>25/03/2026</t>
        </is>
      </c>
      <c r="M1403" s="30" t="inlineStr">
        <is>
          <t>MANISH KATARIA, VICE CONSUL</t>
        </is>
      </c>
      <c r="N1403" s="30" t="n"/>
    </row>
    <row r="1404">
      <c r="A1404" s="4">
        <f>Sheet1!A1404 &amp; "/" &amp; "2025"</f>
        <v/>
      </c>
      <c r="B1404" s="5">
        <f>Sheet1!E1404</f>
        <v/>
      </c>
      <c r="C1404" s="6">
        <f>UPPER(Sheet1!B1404)</f>
        <v/>
      </c>
      <c r="D1404" s="7">
        <f>IF(Sheet1!F1404="F","FEMALE","MALE")</f>
        <v/>
      </c>
      <c r="E1404" s="6">
        <f>UPPER(Sheet1!G1404)</f>
        <v/>
      </c>
      <c r="F1404" s="6">
        <f>UPPER(Sheet1!H1404)</f>
        <v/>
      </c>
      <c r="G1404" s="5">
        <f>TEXT(Sheet1!C1404,"dd/mm/yyyy") &amp; "," &amp; Sheet1!D1404</f>
        <v/>
      </c>
      <c r="H1404" s="38">
        <f>UPPER(Sheet1!J1404 &amp; "," &amp; Sheet1!K1404 &amp; "," &amp; Sheet1!L1404)</f>
        <v/>
      </c>
      <c r="I1404" s="45">
        <f>Sheet1!I1404</f>
        <v/>
      </c>
      <c r="J1404" s="5">
        <f>Sheet1!M1404 &amp; "," &amp; TEXT(Sheet1!N1404,"dd/mm/yy")</f>
        <v/>
      </c>
      <c r="K1404" s="5" t="inlineStr">
        <is>
          <t>PRINTED</t>
        </is>
      </c>
      <c r="L1404" t="inlineStr">
        <is>
          <t>25/03/2026</t>
        </is>
      </c>
      <c r="M1404" s="30" t="inlineStr">
        <is>
          <t>MANISH KATARIA, VICE CONSUL</t>
        </is>
      </c>
      <c r="N1404" s="30" t="n"/>
    </row>
    <row r="1405">
      <c r="A1405" s="4">
        <f>Sheet1!A1405 &amp; "/" &amp; "2025"</f>
        <v/>
      </c>
      <c r="B1405" s="5">
        <f>Sheet1!E1405</f>
        <v/>
      </c>
      <c r="C1405" s="6">
        <f>UPPER(Sheet1!B1405)</f>
        <v/>
      </c>
      <c r="D1405" s="7">
        <f>IF(Sheet1!F1405="F","FEMALE","MALE")</f>
        <v/>
      </c>
      <c r="E1405" s="6">
        <f>UPPER(Sheet1!G1405)</f>
        <v/>
      </c>
      <c r="F1405" s="6">
        <f>UPPER(Sheet1!H1405)</f>
        <v/>
      </c>
      <c r="G1405" s="5">
        <f>TEXT(Sheet1!C1405,"dd/mm/yyyy") &amp; "," &amp; Sheet1!D1405</f>
        <v/>
      </c>
      <c r="H1405" s="38">
        <f>UPPER(Sheet1!J1405 &amp; "," &amp; Sheet1!K1405 &amp; "," &amp; Sheet1!L1405)</f>
        <v/>
      </c>
      <c r="I1405" s="45">
        <f>Sheet1!I1405</f>
        <v/>
      </c>
      <c r="J1405" s="5">
        <f>Sheet1!M1405 &amp; "," &amp; TEXT(Sheet1!N1405,"dd/mm/yy")</f>
        <v/>
      </c>
      <c r="K1405" s="5" t="inlineStr">
        <is>
          <t>PRINTED</t>
        </is>
      </c>
      <c r="L1405" t="inlineStr">
        <is>
          <t>25/03/2026</t>
        </is>
      </c>
      <c r="M1405" s="30" t="inlineStr">
        <is>
          <t>MANISH KATARIA, VICE CONSUL</t>
        </is>
      </c>
      <c r="N1405" s="30" t="n"/>
    </row>
    <row r="1406">
      <c r="A1406" s="4">
        <f>Sheet1!A1406 &amp; "/" &amp; "2025"</f>
        <v/>
      </c>
      <c r="B1406" s="5">
        <f>Sheet1!E1406</f>
        <v/>
      </c>
      <c r="C1406" s="6">
        <f>UPPER(Sheet1!B1406)</f>
        <v/>
      </c>
      <c r="D1406" s="7">
        <f>IF(Sheet1!F1406="F","FEMALE","MALE")</f>
        <v/>
      </c>
      <c r="E1406" s="6">
        <f>UPPER(Sheet1!G1406)</f>
        <v/>
      </c>
      <c r="F1406" s="6">
        <f>UPPER(Sheet1!H1406)</f>
        <v/>
      </c>
      <c r="G1406" s="5">
        <f>TEXT(Sheet1!C1406,"dd/mm/yyyy") &amp; "," &amp; Sheet1!D1406</f>
        <v/>
      </c>
      <c r="H1406" s="38">
        <f>UPPER(Sheet1!J1406 &amp; "," &amp; Sheet1!K1406 &amp; "," &amp; Sheet1!L1406)</f>
        <v/>
      </c>
      <c r="I1406" s="45">
        <f>Sheet1!I1406</f>
        <v/>
      </c>
      <c r="J1406" s="5">
        <f>Sheet1!M1406 &amp; "," &amp; TEXT(Sheet1!N1406,"dd/mm/yy")</f>
        <v/>
      </c>
      <c r="K1406" s="5" t="inlineStr">
        <is>
          <t>PRINTED</t>
        </is>
      </c>
      <c r="L1406" t="inlineStr">
        <is>
          <t>25/03/2026</t>
        </is>
      </c>
      <c r="M1406" s="30" t="inlineStr">
        <is>
          <t>MANISH KATARIA, VICE CONSUL</t>
        </is>
      </c>
      <c r="N1406" s="30" t="n"/>
    </row>
    <row r="1407">
      <c r="A1407" s="4">
        <f>Sheet1!A1407 &amp; "/" &amp; "2025"</f>
        <v/>
      </c>
      <c r="B1407" s="5">
        <f>Sheet1!E1407</f>
        <v/>
      </c>
      <c r="C1407" s="6">
        <f>UPPER(Sheet1!B1407)</f>
        <v/>
      </c>
      <c r="D1407" s="7">
        <f>IF(Sheet1!F1407="F","FEMALE","MALE")</f>
        <v/>
      </c>
      <c r="E1407" s="6">
        <f>UPPER(Sheet1!G1407)</f>
        <v/>
      </c>
      <c r="F1407" s="6">
        <f>UPPER(Sheet1!H1407)</f>
        <v/>
      </c>
      <c r="G1407" s="5">
        <f>TEXT(Sheet1!C1407,"dd/mm/yyyy") &amp; "," &amp; Sheet1!D1407</f>
        <v/>
      </c>
      <c r="H1407" s="38">
        <f>UPPER(Sheet1!J1407 &amp; "," &amp; Sheet1!K1407 &amp; "," &amp; Sheet1!L1407)</f>
        <v/>
      </c>
      <c r="I1407" s="45">
        <f>Sheet1!I1407</f>
        <v/>
      </c>
      <c r="J1407" s="5">
        <f>Sheet1!M1407 &amp; "," &amp; TEXT(Sheet1!N1407,"dd/mm/yy")</f>
        <v/>
      </c>
      <c r="K1407" s="5" t="inlineStr">
        <is>
          <t>PRINTED</t>
        </is>
      </c>
      <c r="L1407" t="inlineStr">
        <is>
          <t>25/03/2026</t>
        </is>
      </c>
      <c r="M1407" s="30" t="inlineStr">
        <is>
          <t>MANISH KATARIA, VICE CONSUL</t>
        </is>
      </c>
      <c r="N1407" s="30" t="n"/>
    </row>
    <row r="1408">
      <c r="A1408" s="4">
        <f>Sheet1!A1408 &amp; "/" &amp; "2025"</f>
        <v/>
      </c>
      <c r="B1408" s="5">
        <f>Sheet1!E1408</f>
        <v/>
      </c>
      <c r="C1408" s="6">
        <f>UPPER(Sheet1!B1408)</f>
        <v/>
      </c>
      <c r="D1408" s="7">
        <f>IF(Sheet1!F1408="F","FEMALE","MALE")</f>
        <v/>
      </c>
      <c r="E1408" s="6">
        <f>UPPER(Sheet1!G1408)</f>
        <v/>
      </c>
      <c r="F1408" s="6">
        <f>UPPER(Sheet1!H1408)</f>
        <v/>
      </c>
      <c r="G1408" s="5">
        <f>TEXT(Sheet1!C1408,"dd/mm/yyyy") &amp; "," &amp; Sheet1!D1408</f>
        <v/>
      </c>
      <c r="H1408" s="38">
        <f>UPPER(Sheet1!J1408 &amp; "," &amp; Sheet1!K1408 &amp; "," &amp; Sheet1!L1408)</f>
        <v/>
      </c>
      <c r="I1408" s="45">
        <f>Sheet1!I1408</f>
        <v/>
      </c>
      <c r="J1408" s="5">
        <f>Sheet1!M1408 &amp; "," &amp; TEXT(Sheet1!N1408,"dd/mm/yy")</f>
        <v/>
      </c>
      <c r="K1408" s="5" t="inlineStr">
        <is>
          <t>PRINTED</t>
        </is>
      </c>
      <c r="L1408" t="inlineStr">
        <is>
          <t>25/03/2026</t>
        </is>
      </c>
      <c r="M1408" s="30" t="inlineStr">
        <is>
          <t>MANISH KATARIA, VICE CONSUL</t>
        </is>
      </c>
      <c r="N1408" s="30" t="n"/>
    </row>
    <row r="1409">
      <c r="A1409" s="4">
        <f>Sheet1!A1409 &amp; "/" &amp; "2025"</f>
        <v/>
      </c>
      <c r="B1409" s="5">
        <f>Sheet1!E1409</f>
        <v/>
      </c>
      <c r="C1409" s="6">
        <f>UPPER(Sheet1!B1409)</f>
        <v/>
      </c>
      <c r="D1409" s="7">
        <f>IF(Sheet1!F1409="F","FEMALE","MALE")</f>
        <v/>
      </c>
      <c r="E1409" s="6">
        <f>UPPER(Sheet1!G1409)</f>
        <v/>
      </c>
      <c r="F1409" s="6">
        <f>UPPER(Sheet1!H1409)</f>
        <v/>
      </c>
      <c r="G1409" s="5">
        <f>TEXT(Sheet1!C1409,"dd/mm/yyyy") &amp; "," &amp; Sheet1!D1409</f>
        <v/>
      </c>
      <c r="H1409" s="38">
        <f>UPPER(Sheet1!J1409 &amp; "," &amp; Sheet1!K1409 &amp; "," &amp; Sheet1!L1409)</f>
        <v/>
      </c>
      <c r="I1409" s="45">
        <f>Sheet1!I1409</f>
        <v/>
      </c>
      <c r="J1409" s="5">
        <f>Sheet1!M1409 &amp; "," &amp; TEXT(Sheet1!N1409,"dd/mm/yy")</f>
        <v/>
      </c>
      <c r="K1409" s="5" t="inlineStr">
        <is>
          <t>PRINTED</t>
        </is>
      </c>
      <c r="L1409" t="inlineStr">
        <is>
          <t>25/03/2026</t>
        </is>
      </c>
      <c r="M1409" s="30" t="inlineStr">
        <is>
          <t>MANISH KATARIA, VICE CONSUL</t>
        </is>
      </c>
      <c r="N1409" s="30" t="n"/>
    </row>
    <row r="1410">
      <c r="A1410" s="4">
        <f>Sheet1!A1410 &amp; "/" &amp; "2025"</f>
        <v/>
      </c>
      <c r="B1410" s="5">
        <f>Sheet1!E1410</f>
        <v/>
      </c>
      <c r="C1410" s="6">
        <f>UPPER(Sheet1!B1410)</f>
        <v/>
      </c>
      <c r="D1410" s="7">
        <f>IF(Sheet1!F1410="F","FEMALE","MALE")</f>
        <v/>
      </c>
      <c r="E1410" s="6">
        <f>UPPER(Sheet1!G1410)</f>
        <v/>
      </c>
      <c r="F1410" s="6">
        <f>UPPER(Sheet1!H1410)</f>
        <v/>
      </c>
      <c r="G1410" s="5">
        <f>TEXT(Sheet1!C1410,"dd/mm/yyyy") &amp; "," &amp; Sheet1!D1410</f>
        <v/>
      </c>
      <c r="H1410" s="38">
        <f>UPPER(Sheet1!J1410 &amp; "," &amp; Sheet1!K1410 &amp; "," &amp; Sheet1!L1410)</f>
        <v/>
      </c>
      <c r="I1410" s="45">
        <f>Sheet1!I1410</f>
        <v/>
      </c>
      <c r="J1410" s="5">
        <f>Sheet1!M1410 &amp; "," &amp; TEXT(Sheet1!N1410,"dd/mm/yy")</f>
        <v/>
      </c>
      <c r="K1410" s="5" t="inlineStr">
        <is>
          <t>PRINTED</t>
        </is>
      </c>
      <c r="L1410" t="inlineStr">
        <is>
          <t>25/03/2026</t>
        </is>
      </c>
      <c r="M1410" s="30" t="inlineStr">
        <is>
          <t>MANISH KATARIA, VICE CONSUL</t>
        </is>
      </c>
      <c r="N1410" s="30" t="n"/>
    </row>
    <row r="1411">
      <c r="A1411" s="4">
        <f>Sheet1!A1411 &amp; "/" &amp; "2025"</f>
        <v/>
      </c>
      <c r="B1411" s="5">
        <f>Sheet1!E1411</f>
        <v/>
      </c>
      <c r="C1411" s="6">
        <f>UPPER(Sheet1!B1411)</f>
        <v/>
      </c>
      <c r="D1411" s="7">
        <f>IF(Sheet1!F1411="F","FEMALE","MALE")</f>
        <v/>
      </c>
      <c r="E1411" s="6">
        <f>UPPER(Sheet1!G1411)</f>
        <v/>
      </c>
      <c r="F1411" s="6">
        <f>UPPER(Sheet1!H1411)</f>
        <v/>
      </c>
      <c r="G1411" s="5">
        <f>TEXT(Sheet1!C1411,"dd/mm/yyyy") &amp; "," &amp; Sheet1!D1411</f>
        <v/>
      </c>
      <c r="H1411" s="38">
        <f>UPPER(Sheet1!J1411 &amp; "," &amp; Sheet1!K1411 &amp; "," &amp; Sheet1!L1411)</f>
        <v/>
      </c>
      <c r="I1411" s="45">
        <f>Sheet1!I1411</f>
        <v/>
      </c>
      <c r="J1411" s="5">
        <f>Sheet1!M1411 &amp; "," &amp; TEXT(Sheet1!N1411,"dd/mm/yy")</f>
        <v/>
      </c>
      <c r="K1411" s="5" t="inlineStr">
        <is>
          <t>PRINTED</t>
        </is>
      </c>
      <c r="L1411" t="inlineStr">
        <is>
          <t>25/03/2026</t>
        </is>
      </c>
      <c r="M1411" s="30" t="inlineStr">
        <is>
          <t>MANISH KATARIA, VICE CONSUL</t>
        </is>
      </c>
      <c r="N1411" s="30" t="n"/>
    </row>
    <row r="1412">
      <c r="A1412" s="4">
        <f>Sheet1!A1412 &amp; "/" &amp; "2025"</f>
        <v/>
      </c>
      <c r="B1412" s="5">
        <f>Sheet1!E1412</f>
        <v/>
      </c>
      <c r="C1412" s="6">
        <f>UPPER(Sheet1!B1412)</f>
        <v/>
      </c>
      <c r="D1412" s="7">
        <f>IF(Sheet1!F1412="F","FEMALE","MALE")</f>
        <v/>
      </c>
      <c r="E1412" s="6">
        <f>UPPER(Sheet1!G1412)</f>
        <v/>
      </c>
      <c r="F1412" s="6">
        <f>UPPER(Sheet1!H1412)</f>
        <v/>
      </c>
      <c r="G1412" s="5">
        <f>TEXT(Sheet1!C1412,"dd/mm/yyyy") &amp; "," &amp; Sheet1!D1412</f>
        <v/>
      </c>
      <c r="H1412" s="38">
        <f>UPPER(Sheet1!J1412 &amp; "," &amp; Sheet1!K1412 &amp; "," &amp; Sheet1!L1412)</f>
        <v/>
      </c>
      <c r="I1412" s="45">
        <f>Sheet1!I1412</f>
        <v/>
      </c>
      <c r="J1412" s="5">
        <f>Sheet1!M1412 &amp; "," &amp; TEXT(Sheet1!N1412,"dd/mm/yy")</f>
        <v/>
      </c>
      <c r="K1412" s="5" t="inlineStr">
        <is>
          <t>PRINTED</t>
        </is>
      </c>
      <c r="L1412" t="inlineStr">
        <is>
          <t>25/03/2026</t>
        </is>
      </c>
      <c r="M1412" s="30" t="inlineStr">
        <is>
          <t>MANISH KATARIA, VICE CONSUL</t>
        </is>
      </c>
      <c r="N1412" s="30" t="n"/>
    </row>
    <row r="1413">
      <c r="A1413" s="4">
        <f>Sheet1!A1413 &amp; "/" &amp; "2025"</f>
        <v/>
      </c>
      <c r="B1413" s="5">
        <f>Sheet1!E1413</f>
        <v/>
      </c>
      <c r="C1413" s="6">
        <f>UPPER(Sheet1!B1413)</f>
        <v/>
      </c>
      <c r="D1413" s="7">
        <f>IF(Sheet1!F1413="F","FEMALE","MALE")</f>
        <v/>
      </c>
      <c r="E1413" s="6">
        <f>UPPER(Sheet1!G1413)</f>
        <v/>
      </c>
      <c r="F1413" s="6">
        <f>UPPER(Sheet1!H1413)</f>
        <v/>
      </c>
      <c r="G1413" s="5">
        <f>TEXT(Sheet1!C1413,"dd/mm/yyyy") &amp; "," &amp; Sheet1!D1413</f>
        <v/>
      </c>
      <c r="H1413" s="38">
        <f>UPPER(Sheet1!J1413 &amp; "," &amp; Sheet1!K1413 &amp; "," &amp; Sheet1!L1413)</f>
        <v/>
      </c>
      <c r="I1413" s="45">
        <f>Sheet1!I1413</f>
        <v/>
      </c>
      <c r="J1413" s="5">
        <f>Sheet1!M1413 &amp; "," &amp; TEXT(Sheet1!N1413,"dd/mm/yy")</f>
        <v/>
      </c>
      <c r="K1413" s="5" t="inlineStr">
        <is>
          <t>PRINTED</t>
        </is>
      </c>
      <c r="L1413" t="inlineStr">
        <is>
          <t>25/03/2026</t>
        </is>
      </c>
      <c r="M1413" s="30" t="inlineStr">
        <is>
          <t>MANISH KATARIA, VICE CONSUL</t>
        </is>
      </c>
      <c r="N1413" s="30" t="n"/>
    </row>
    <row r="1414">
      <c r="A1414" s="4">
        <f>Sheet1!A1414 &amp; "/" &amp; "2025"</f>
        <v/>
      </c>
      <c r="B1414" s="5">
        <f>Sheet1!E1414</f>
        <v/>
      </c>
      <c r="C1414" s="6">
        <f>UPPER(Sheet1!B1414)</f>
        <v/>
      </c>
      <c r="D1414" s="7">
        <f>IF(Sheet1!F1414="F","FEMALE","MALE")</f>
        <v/>
      </c>
      <c r="E1414" s="6">
        <f>UPPER(Sheet1!G1414)</f>
        <v/>
      </c>
      <c r="F1414" s="6">
        <f>UPPER(Sheet1!H1414)</f>
        <v/>
      </c>
      <c r="G1414" s="5">
        <f>TEXT(Sheet1!C1414,"dd/mm/yyyy") &amp; "," &amp; Sheet1!D1414</f>
        <v/>
      </c>
      <c r="H1414" s="38">
        <f>UPPER(Sheet1!J1414 &amp; "," &amp; Sheet1!K1414 &amp; "," &amp; Sheet1!L1414)</f>
        <v/>
      </c>
      <c r="I1414" s="45">
        <f>Sheet1!I1414</f>
        <v/>
      </c>
      <c r="J1414" s="5">
        <f>Sheet1!M1414 &amp; "," &amp; TEXT(Sheet1!N1414,"dd/mm/yy")</f>
        <v/>
      </c>
      <c r="K1414" s="5" t="inlineStr">
        <is>
          <t>PRINTED</t>
        </is>
      </c>
      <c r="L1414" t="inlineStr">
        <is>
          <t>25/03/2026</t>
        </is>
      </c>
      <c r="M1414" s="30" t="inlineStr">
        <is>
          <t>MANISH KATARIA, VICE CONSUL</t>
        </is>
      </c>
      <c r="N1414" s="30" t="n"/>
    </row>
    <row r="1415">
      <c r="A1415" s="4">
        <f>Sheet1!A1415 &amp; "/" &amp; "2025"</f>
        <v/>
      </c>
      <c r="B1415" s="5">
        <f>Sheet1!E1415</f>
        <v/>
      </c>
      <c r="C1415" s="6">
        <f>UPPER(Sheet1!B1415)</f>
        <v/>
      </c>
      <c r="D1415" s="7">
        <f>IF(Sheet1!F1415="F","FEMALE","MALE")</f>
        <v/>
      </c>
      <c r="E1415" s="6">
        <f>UPPER(Sheet1!G1415)</f>
        <v/>
      </c>
      <c r="F1415" s="6">
        <f>UPPER(Sheet1!H1415)</f>
        <v/>
      </c>
      <c r="G1415" s="5">
        <f>TEXT(Sheet1!C1415,"dd/mm/yyyy") &amp; "," &amp; Sheet1!D1415</f>
        <v/>
      </c>
      <c r="H1415" s="38">
        <f>UPPER(Sheet1!J1415 &amp; "," &amp; Sheet1!K1415 &amp; "," &amp; Sheet1!L1415)</f>
        <v/>
      </c>
      <c r="I1415" s="45">
        <f>Sheet1!I1415</f>
        <v/>
      </c>
      <c r="J1415" s="5">
        <f>Sheet1!M1415 &amp; "," &amp; TEXT(Sheet1!N1415,"dd/mm/yy")</f>
        <v/>
      </c>
      <c r="K1415" s="5" t="inlineStr">
        <is>
          <t>PRINTED</t>
        </is>
      </c>
      <c r="L1415" t="inlineStr">
        <is>
          <t>25/03/2026</t>
        </is>
      </c>
      <c r="M1415" s="30" t="inlineStr">
        <is>
          <t>MANISH KATARIA, VICE CONSUL</t>
        </is>
      </c>
      <c r="N1415" s="30" t="n"/>
    </row>
    <row r="1416">
      <c r="A1416" s="4">
        <f>Sheet1!A1416 &amp; "/" &amp; "2025"</f>
        <v/>
      </c>
      <c r="B1416" s="5">
        <f>Sheet1!E1416</f>
        <v/>
      </c>
      <c r="C1416" s="6">
        <f>UPPER(Sheet1!B1416)</f>
        <v/>
      </c>
      <c r="D1416" s="7">
        <f>IF(Sheet1!F1416="F","FEMALE","MALE")</f>
        <v/>
      </c>
      <c r="E1416" s="6">
        <f>UPPER(Sheet1!G1416)</f>
        <v/>
      </c>
      <c r="F1416" s="6">
        <f>UPPER(Sheet1!H1416)</f>
        <v/>
      </c>
      <c r="G1416" s="5">
        <f>TEXT(Sheet1!C1416,"dd/mm/yyyy") &amp; "," &amp; Sheet1!D1416</f>
        <v/>
      </c>
      <c r="H1416" s="38">
        <f>UPPER(Sheet1!J1416 &amp; "," &amp; Sheet1!K1416 &amp; "," &amp; Sheet1!L1416)</f>
        <v/>
      </c>
      <c r="I1416" s="45">
        <f>Sheet1!I1416</f>
        <v/>
      </c>
      <c r="J1416" s="5">
        <f>Sheet1!M1416 &amp; "," &amp; TEXT(Sheet1!N1416,"dd/mm/yy")</f>
        <v/>
      </c>
      <c r="K1416" s="5" t="inlineStr">
        <is>
          <t>PRINTED</t>
        </is>
      </c>
      <c r="L1416" t="inlineStr">
        <is>
          <t>25/03/2026</t>
        </is>
      </c>
      <c r="M1416" s="30" t="inlineStr">
        <is>
          <t>MANISH KATARIA, VICE CONSUL</t>
        </is>
      </c>
      <c r="N1416" s="30" t="n"/>
    </row>
    <row r="1417">
      <c r="A1417" s="4">
        <f>Sheet1!A1417 &amp; "/" &amp; "2025"</f>
        <v/>
      </c>
      <c r="B1417" s="5">
        <f>Sheet1!E1417</f>
        <v/>
      </c>
      <c r="C1417" s="6">
        <f>UPPER(Sheet1!B1417)</f>
        <v/>
      </c>
      <c r="D1417" s="7">
        <f>IF(Sheet1!F1417="F","FEMALE","MALE")</f>
        <v/>
      </c>
      <c r="E1417" s="6">
        <f>UPPER(Sheet1!G1417)</f>
        <v/>
      </c>
      <c r="F1417" s="6">
        <f>UPPER(Sheet1!H1417)</f>
        <v/>
      </c>
      <c r="G1417" s="5">
        <f>TEXT(Sheet1!C1417,"dd/mm/yyyy") &amp; "," &amp; Sheet1!D1417</f>
        <v/>
      </c>
      <c r="H1417" s="38">
        <f>UPPER(Sheet1!J1417 &amp; "," &amp; Sheet1!K1417 &amp; "," &amp; Sheet1!L1417)</f>
        <v/>
      </c>
      <c r="I1417" s="45">
        <f>Sheet1!I1417</f>
        <v/>
      </c>
      <c r="J1417" s="5">
        <f>Sheet1!M1417 &amp; "," &amp; TEXT(Sheet1!N1417,"dd/mm/yy")</f>
        <v/>
      </c>
      <c r="K1417" s="5" t="inlineStr">
        <is>
          <t>PRINTED</t>
        </is>
      </c>
      <c r="L1417" t="inlineStr">
        <is>
          <t>25/03/2026</t>
        </is>
      </c>
      <c r="M1417" s="30" t="inlineStr">
        <is>
          <t>MANISH KATARIA, VICE CONSUL</t>
        </is>
      </c>
      <c r="N1417" s="30" t="n"/>
    </row>
    <row r="1418">
      <c r="A1418" s="4">
        <f>Sheet1!A1418 &amp; "/" &amp; "2025"</f>
        <v/>
      </c>
      <c r="B1418" s="5">
        <f>Sheet1!E1418</f>
        <v/>
      </c>
      <c r="C1418" s="6">
        <f>UPPER(Sheet1!B1418)</f>
        <v/>
      </c>
      <c r="D1418" s="7">
        <f>IF(Sheet1!F1418="F","FEMALE","MALE")</f>
        <v/>
      </c>
      <c r="E1418" s="6">
        <f>UPPER(Sheet1!G1418)</f>
        <v/>
      </c>
      <c r="F1418" s="6">
        <f>UPPER(Sheet1!H1418)</f>
        <v/>
      </c>
      <c r="G1418" s="5">
        <f>TEXT(Sheet1!C1418,"dd/mm/yyyy") &amp; "," &amp; Sheet1!D1418</f>
        <v/>
      </c>
      <c r="H1418" s="38">
        <f>UPPER(Sheet1!J1418 &amp; "," &amp; Sheet1!K1418 &amp; "," &amp; Sheet1!L1418)</f>
        <v/>
      </c>
      <c r="I1418" s="45">
        <f>Sheet1!I1418</f>
        <v/>
      </c>
      <c r="J1418" s="5">
        <f>Sheet1!M1418 &amp; "," &amp; TEXT(Sheet1!N1418,"dd/mm/yy")</f>
        <v/>
      </c>
      <c r="K1418" s="5" t="inlineStr">
        <is>
          <t>PRINTED</t>
        </is>
      </c>
      <c r="L1418" t="inlineStr">
        <is>
          <t>25/03/2026</t>
        </is>
      </c>
      <c r="M1418" s="30" t="inlineStr">
        <is>
          <t>MANISH KATARIA, VICE CONSUL</t>
        </is>
      </c>
      <c r="N1418" s="30" t="n"/>
    </row>
    <row r="1419">
      <c r="A1419" s="4">
        <f>Sheet1!A1419 &amp; "/" &amp; "2025"</f>
        <v/>
      </c>
      <c r="B1419" s="5">
        <f>Sheet1!E1419</f>
        <v/>
      </c>
      <c r="C1419" s="6">
        <f>UPPER(Sheet1!B1419)</f>
        <v/>
      </c>
      <c r="D1419" s="7">
        <f>IF(Sheet1!F1419="F","FEMALE","MALE")</f>
        <v/>
      </c>
      <c r="E1419" s="6">
        <f>UPPER(Sheet1!G1419)</f>
        <v/>
      </c>
      <c r="F1419" s="6">
        <f>UPPER(Sheet1!H1419)</f>
        <v/>
      </c>
      <c r="G1419" s="5">
        <f>TEXT(Sheet1!C1419,"dd/mm/yyyy") &amp; "," &amp; Sheet1!D1419</f>
        <v/>
      </c>
      <c r="H1419" s="38">
        <f>UPPER(Sheet1!J1419 &amp; "," &amp; Sheet1!K1419 &amp; "," &amp; Sheet1!L1419)</f>
        <v/>
      </c>
      <c r="I1419" s="45">
        <f>Sheet1!I1419</f>
        <v/>
      </c>
      <c r="J1419" s="5">
        <f>Sheet1!M1419 &amp; "," &amp; TEXT(Sheet1!N1419,"dd/mm/yy")</f>
        <v/>
      </c>
      <c r="K1419" s="5" t="inlineStr">
        <is>
          <t>PRINTED</t>
        </is>
      </c>
      <c r="L1419" t="inlineStr">
        <is>
          <t>25/03/2026</t>
        </is>
      </c>
      <c r="M1419" s="30" t="inlineStr">
        <is>
          <t>MANISH KATARIA, VICE CONSUL</t>
        </is>
      </c>
      <c r="N1419" s="30" t="n"/>
    </row>
    <row r="1420">
      <c r="A1420" s="4">
        <f>Sheet1!A1420 &amp; "/" &amp; "2025"</f>
        <v/>
      </c>
      <c r="B1420" s="5">
        <f>Sheet1!E1420</f>
        <v/>
      </c>
      <c r="C1420" s="6">
        <f>UPPER(Sheet1!B1420)</f>
        <v/>
      </c>
      <c r="D1420" s="7">
        <f>IF(Sheet1!F1420="F","FEMALE","MALE")</f>
        <v/>
      </c>
      <c r="E1420" s="6">
        <f>UPPER(Sheet1!G1420)</f>
        <v/>
      </c>
      <c r="F1420" s="6">
        <f>UPPER(Sheet1!H1420)</f>
        <v/>
      </c>
      <c r="G1420" s="5">
        <f>TEXT(Sheet1!C1420,"dd/mm/yyyy") &amp; "," &amp; Sheet1!D1420</f>
        <v/>
      </c>
      <c r="H1420" s="38">
        <f>UPPER(Sheet1!J1420 &amp; "," &amp; Sheet1!K1420 &amp; "," &amp; Sheet1!L1420)</f>
        <v/>
      </c>
      <c r="I1420" s="45">
        <f>Sheet1!I1420</f>
        <v/>
      </c>
      <c r="J1420" s="5">
        <f>Sheet1!M1420 &amp; "," &amp; TEXT(Sheet1!N1420,"dd/mm/yy")</f>
        <v/>
      </c>
      <c r="K1420" s="5" t="inlineStr">
        <is>
          <t>PRINTED</t>
        </is>
      </c>
      <c r="L1420" t="inlineStr">
        <is>
          <t>25/03/2026</t>
        </is>
      </c>
      <c r="M1420" s="30" t="inlineStr">
        <is>
          <t>MANISH KATARIA, VICE CONSUL</t>
        </is>
      </c>
      <c r="N1420" s="30" t="n"/>
    </row>
    <row r="1421">
      <c r="A1421" s="4">
        <f>Sheet1!A1421 &amp; "/" &amp; "2025"</f>
        <v/>
      </c>
      <c r="B1421" s="5">
        <f>Sheet1!E1421</f>
        <v/>
      </c>
      <c r="C1421" s="6">
        <f>UPPER(Sheet1!B1421)</f>
        <v/>
      </c>
      <c r="D1421" s="7">
        <f>IF(Sheet1!F1421="F","FEMALE","MALE")</f>
        <v/>
      </c>
      <c r="E1421" s="6">
        <f>UPPER(Sheet1!G1421)</f>
        <v/>
      </c>
      <c r="F1421" s="6">
        <f>UPPER(Sheet1!H1421)</f>
        <v/>
      </c>
      <c r="G1421" s="5">
        <f>TEXT(Sheet1!C1421,"dd/mm/yyyy") &amp; "," &amp; Sheet1!D1421</f>
        <v/>
      </c>
      <c r="H1421" s="38">
        <f>UPPER(Sheet1!J1421 &amp; "," &amp; Sheet1!K1421 &amp; "," &amp; Sheet1!L1421)</f>
        <v/>
      </c>
      <c r="I1421" s="45">
        <f>Sheet1!I1421</f>
        <v/>
      </c>
      <c r="J1421" s="5">
        <f>Sheet1!M1421 &amp; "," &amp; TEXT(Sheet1!N1421,"dd/mm/yy")</f>
        <v/>
      </c>
      <c r="K1421" s="5" t="inlineStr">
        <is>
          <t>PRINTED</t>
        </is>
      </c>
      <c r="L1421" t="inlineStr">
        <is>
          <t>25/03/2026</t>
        </is>
      </c>
      <c r="M1421" s="30" t="inlineStr">
        <is>
          <t>MANISH KATARIA, VICE CONSUL</t>
        </is>
      </c>
      <c r="N1421" s="30" t="n"/>
    </row>
    <row r="1422">
      <c r="A1422" s="4">
        <f>Sheet1!A1422 &amp; "/" &amp; "2025"</f>
        <v/>
      </c>
      <c r="B1422" s="5">
        <f>Sheet1!E1422</f>
        <v/>
      </c>
      <c r="C1422" s="6">
        <f>UPPER(Sheet1!B1422)</f>
        <v/>
      </c>
      <c r="D1422" s="7">
        <f>IF(Sheet1!F1422="F","FEMALE","MALE")</f>
        <v/>
      </c>
      <c r="E1422" s="6">
        <f>UPPER(Sheet1!G1422)</f>
        <v/>
      </c>
      <c r="F1422" s="6">
        <f>UPPER(Sheet1!H1422)</f>
        <v/>
      </c>
      <c r="G1422" s="5">
        <f>TEXT(Sheet1!C1422,"dd/mm/yyyy") &amp; "," &amp; Sheet1!D1422</f>
        <v/>
      </c>
      <c r="H1422" s="38">
        <f>UPPER(Sheet1!J1422 &amp; "," &amp; Sheet1!K1422 &amp; "," &amp; Sheet1!L1422)</f>
        <v/>
      </c>
      <c r="I1422" s="45">
        <f>Sheet1!I1422</f>
        <v/>
      </c>
      <c r="J1422" s="5">
        <f>Sheet1!M1422 &amp; "," &amp; TEXT(Sheet1!N1422,"dd/mm/yy")</f>
        <v/>
      </c>
      <c r="K1422" s="5" t="inlineStr">
        <is>
          <t>PRINTED</t>
        </is>
      </c>
      <c r="L1422" t="inlineStr">
        <is>
          <t>25/03/2026</t>
        </is>
      </c>
      <c r="M1422" s="30" t="inlineStr">
        <is>
          <t>MANISH KATARIA, VICE CONSUL</t>
        </is>
      </c>
      <c r="N1422" s="30" t="n"/>
    </row>
    <row r="1423">
      <c r="A1423" s="4">
        <f>Sheet1!A1423 &amp; "/" &amp; "2025"</f>
        <v/>
      </c>
      <c r="B1423" s="5">
        <f>Sheet1!E1423</f>
        <v/>
      </c>
      <c r="C1423" s="6">
        <f>UPPER(Sheet1!B1423)</f>
        <v/>
      </c>
      <c r="D1423" s="7">
        <f>IF(Sheet1!F1423="F","FEMALE","MALE")</f>
        <v/>
      </c>
      <c r="E1423" s="6">
        <f>UPPER(Sheet1!G1423)</f>
        <v/>
      </c>
      <c r="F1423" s="6">
        <f>UPPER(Sheet1!H1423)</f>
        <v/>
      </c>
      <c r="G1423" s="5">
        <f>TEXT(Sheet1!C1423,"dd/mm/yyyy") &amp; "," &amp; Sheet1!D1423</f>
        <v/>
      </c>
      <c r="H1423" s="38">
        <f>UPPER(Sheet1!J1423 &amp; "," &amp; Sheet1!K1423 &amp; "," &amp; Sheet1!L1423)</f>
        <v/>
      </c>
      <c r="I1423" s="45">
        <f>Sheet1!I1423</f>
        <v/>
      </c>
      <c r="J1423" s="5">
        <f>Sheet1!M1423 &amp; "," &amp; TEXT(Sheet1!N1423,"dd/mm/yy")</f>
        <v/>
      </c>
      <c r="K1423" s="5" t="inlineStr">
        <is>
          <t>PRINTED</t>
        </is>
      </c>
      <c r="L1423" t="inlineStr">
        <is>
          <t>25/03/2026</t>
        </is>
      </c>
      <c r="M1423" s="30" t="inlineStr">
        <is>
          <t>MANISH KATARIA, VICE CONSUL</t>
        </is>
      </c>
      <c r="N1423" s="30" t="n"/>
    </row>
    <row r="1424">
      <c r="A1424" s="4">
        <f>Sheet1!A1424 &amp; "/" &amp; "2025"</f>
        <v/>
      </c>
      <c r="B1424" s="5">
        <f>Sheet1!E1424</f>
        <v/>
      </c>
      <c r="C1424" s="6">
        <f>UPPER(Sheet1!B1424)</f>
        <v/>
      </c>
      <c r="D1424" s="7">
        <f>IF(Sheet1!F1424="F","FEMALE","MALE")</f>
        <v/>
      </c>
      <c r="E1424" s="6">
        <f>UPPER(Sheet1!G1424)</f>
        <v/>
      </c>
      <c r="F1424" s="6">
        <f>UPPER(Sheet1!H1424)</f>
        <v/>
      </c>
      <c r="G1424" s="5">
        <f>TEXT(Sheet1!C1424,"dd/mm/yyyy") &amp; "," &amp; Sheet1!D1424</f>
        <v/>
      </c>
      <c r="H1424" s="38">
        <f>UPPER(Sheet1!J1424 &amp; "," &amp; Sheet1!K1424 &amp; "," &amp; Sheet1!L1424)</f>
        <v/>
      </c>
      <c r="I1424" s="45">
        <f>Sheet1!I1424</f>
        <v/>
      </c>
      <c r="J1424" s="5">
        <f>Sheet1!M1424 &amp; "," &amp; TEXT(Sheet1!N1424,"dd/mm/yy")</f>
        <v/>
      </c>
      <c r="K1424" s="5" t="inlineStr">
        <is>
          <t>PRINTED</t>
        </is>
      </c>
      <c r="L1424" t="inlineStr">
        <is>
          <t>25/03/2026</t>
        </is>
      </c>
      <c r="M1424" s="30" t="inlineStr">
        <is>
          <t>MANISH KATARIA, VICE CONSUL</t>
        </is>
      </c>
      <c r="N1424" s="30" t="n"/>
    </row>
    <row r="1425">
      <c r="A1425" s="4">
        <f>Sheet1!A1425 &amp; "/" &amp; "2025"</f>
        <v/>
      </c>
      <c r="B1425" s="5">
        <f>Sheet1!E1425</f>
        <v/>
      </c>
      <c r="C1425" s="6">
        <f>UPPER(Sheet1!B1425)</f>
        <v/>
      </c>
      <c r="D1425" s="7">
        <f>IF(Sheet1!F1425="F","FEMALE","MALE")</f>
        <v/>
      </c>
      <c r="E1425" s="6">
        <f>UPPER(Sheet1!G1425)</f>
        <v/>
      </c>
      <c r="F1425" s="6">
        <f>UPPER(Sheet1!H1425)</f>
        <v/>
      </c>
      <c r="G1425" s="5">
        <f>TEXT(Sheet1!C1425,"dd/mm/yyyy") &amp; "," &amp; Sheet1!D1425</f>
        <v/>
      </c>
      <c r="H1425" s="38">
        <f>UPPER(Sheet1!J1425 &amp; "," &amp; Sheet1!K1425 &amp; "," &amp; Sheet1!L1425)</f>
        <v/>
      </c>
      <c r="I1425" s="45">
        <f>Sheet1!I1425</f>
        <v/>
      </c>
      <c r="J1425" s="5">
        <f>Sheet1!M1425 &amp; "," &amp; TEXT(Sheet1!N1425,"dd/mm/yy")</f>
        <v/>
      </c>
      <c r="K1425" s="5" t="inlineStr">
        <is>
          <t>PRINTED</t>
        </is>
      </c>
      <c r="L1425" t="inlineStr">
        <is>
          <t>25/03/2026</t>
        </is>
      </c>
      <c r="M1425" s="30" t="inlineStr">
        <is>
          <t>MANISH KATARIA, VICE CONSUL</t>
        </is>
      </c>
      <c r="N1425" s="30" t="n"/>
    </row>
    <row r="1426">
      <c r="A1426" s="4">
        <f>Sheet1!A1426 &amp; "/" &amp; "2025"</f>
        <v/>
      </c>
      <c r="B1426" s="5">
        <f>Sheet1!E1426</f>
        <v/>
      </c>
      <c r="C1426" s="6">
        <f>UPPER(Sheet1!B1426)</f>
        <v/>
      </c>
      <c r="D1426" s="7">
        <f>IF(Sheet1!F1426="F","FEMALE","MALE")</f>
        <v/>
      </c>
      <c r="E1426" s="6">
        <f>UPPER(Sheet1!G1426)</f>
        <v/>
      </c>
      <c r="F1426" s="6">
        <f>UPPER(Sheet1!H1426)</f>
        <v/>
      </c>
      <c r="G1426" s="5">
        <f>TEXT(Sheet1!C1426,"dd/mm/yyyy") &amp; "," &amp; Sheet1!D1426</f>
        <v/>
      </c>
      <c r="H1426" s="38">
        <f>UPPER(Sheet1!J1426 &amp; "," &amp; Sheet1!K1426 &amp; "," &amp; Sheet1!L1426)</f>
        <v/>
      </c>
      <c r="I1426" s="45">
        <f>Sheet1!I1426</f>
        <v/>
      </c>
      <c r="J1426" s="5">
        <f>Sheet1!M1426 &amp; "," &amp; TEXT(Sheet1!N1426,"dd/mm/yy")</f>
        <v/>
      </c>
      <c r="K1426" s="5" t="inlineStr">
        <is>
          <t>PRINTED</t>
        </is>
      </c>
      <c r="L1426" t="inlineStr">
        <is>
          <t>25/03/2026</t>
        </is>
      </c>
      <c r="M1426" s="30" t="inlineStr">
        <is>
          <t>MANISH KATARIA, VICE CONSUL</t>
        </is>
      </c>
      <c r="N1426" s="30" t="n"/>
    </row>
    <row r="1427">
      <c r="A1427" s="4">
        <f>Sheet1!A1427 &amp; "/" &amp; "2025"</f>
        <v/>
      </c>
      <c r="B1427" s="5">
        <f>Sheet1!E1427</f>
        <v/>
      </c>
      <c r="C1427" s="6">
        <f>UPPER(Sheet1!B1427)</f>
        <v/>
      </c>
      <c r="D1427" s="7">
        <f>IF(Sheet1!F1427="F","FEMALE","MALE")</f>
        <v/>
      </c>
      <c r="E1427" s="6">
        <f>UPPER(Sheet1!G1427)</f>
        <v/>
      </c>
      <c r="F1427" s="6">
        <f>UPPER(Sheet1!H1427)</f>
        <v/>
      </c>
      <c r="G1427" s="5">
        <f>TEXT(Sheet1!C1427,"dd/mm/yyyy") &amp; "," &amp; Sheet1!D1427</f>
        <v/>
      </c>
      <c r="H1427" s="38">
        <f>UPPER(Sheet1!J1427 &amp; "," &amp; Sheet1!K1427 &amp; "," &amp; Sheet1!L1427)</f>
        <v/>
      </c>
      <c r="I1427" s="45">
        <f>Sheet1!I1427</f>
        <v/>
      </c>
      <c r="J1427" s="5">
        <f>Sheet1!M1427 &amp; "," &amp; TEXT(Sheet1!N1427,"dd/mm/yy")</f>
        <v/>
      </c>
      <c r="K1427" s="5" t="inlineStr">
        <is>
          <t>PRINTED</t>
        </is>
      </c>
      <c r="L1427" t="inlineStr">
        <is>
          <t>25/03/2026</t>
        </is>
      </c>
      <c r="M1427" s="30" t="inlineStr">
        <is>
          <t>MANISH KATARIA, VICE CONSUL</t>
        </is>
      </c>
      <c r="N1427" s="30" t="n"/>
    </row>
    <row r="1428">
      <c r="A1428" s="4">
        <f>Sheet1!A1428 &amp; "/" &amp; "2025"</f>
        <v/>
      </c>
      <c r="B1428" s="5">
        <f>Sheet1!E1428</f>
        <v/>
      </c>
      <c r="C1428" s="6">
        <f>UPPER(Sheet1!B1428)</f>
        <v/>
      </c>
      <c r="D1428" s="7">
        <f>IF(Sheet1!F1428="F","FEMALE","MALE")</f>
        <v/>
      </c>
      <c r="E1428" s="6">
        <f>UPPER(Sheet1!G1428)</f>
        <v/>
      </c>
      <c r="F1428" s="6">
        <f>UPPER(Sheet1!H1428)</f>
        <v/>
      </c>
      <c r="G1428" s="5">
        <f>TEXT(Sheet1!C1428,"dd/mm/yyyy") &amp; "," &amp; Sheet1!D1428</f>
        <v/>
      </c>
      <c r="H1428" s="38">
        <f>UPPER(Sheet1!J1428 &amp; "," &amp; Sheet1!K1428 &amp; "," &amp; Sheet1!L1428)</f>
        <v/>
      </c>
      <c r="I1428" s="45">
        <f>Sheet1!I1428</f>
        <v/>
      </c>
      <c r="J1428" s="5">
        <f>Sheet1!M1428 &amp; "," &amp; TEXT(Sheet1!N1428,"dd/mm/yy")</f>
        <v/>
      </c>
      <c r="K1428" s="5" t="inlineStr">
        <is>
          <t>PRINTED</t>
        </is>
      </c>
      <c r="L1428" t="inlineStr">
        <is>
          <t>25/03/2026</t>
        </is>
      </c>
      <c r="M1428" s="30" t="inlineStr">
        <is>
          <t>MANISH KATARIA, VICE CONSUL</t>
        </is>
      </c>
      <c r="N1428" s="30" t="n"/>
    </row>
    <row r="1429">
      <c r="A1429" s="4">
        <f>Sheet1!A1429 &amp; "/" &amp; "2025"</f>
        <v/>
      </c>
      <c r="B1429" s="5">
        <f>Sheet1!E1429</f>
        <v/>
      </c>
      <c r="C1429" s="6">
        <f>UPPER(Sheet1!B1429)</f>
        <v/>
      </c>
      <c r="D1429" s="7">
        <f>IF(Sheet1!F1429="F","FEMALE","MALE")</f>
        <v/>
      </c>
      <c r="E1429" s="6">
        <f>UPPER(Sheet1!G1429)</f>
        <v/>
      </c>
      <c r="F1429" s="6">
        <f>UPPER(Sheet1!H1429)</f>
        <v/>
      </c>
      <c r="G1429" s="5">
        <f>TEXT(Sheet1!C1429,"dd/mm/yyyy") &amp; "," &amp; Sheet1!D1429</f>
        <v/>
      </c>
      <c r="H1429" s="38">
        <f>UPPER(Sheet1!J1429 &amp; "," &amp; Sheet1!K1429 &amp; "," &amp; Sheet1!L1429)</f>
        <v/>
      </c>
      <c r="I1429" s="45">
        <f>Sheet1!I1429</f>
        <v/>
      </c>
      <c r="J1429" s="5">
        <f>Sheet1!M1429 &amp; "," &amp; TEXT(Sheet1!N1429,"dd/mm/yy")</f>
        <v/>
      </c>
      <c r="K1429" s="5" t="inlineStr">
        <is>
          <t>PRINTED</t>
        </is>
      </c>
      <c r="L1429" t="inlineStr">
        <is>
          <t>25/03/2026</t>
        </is>
      </c>
      <c r="M1429" s="30" t="inlineStr">
        <is>
          <t>MANISH KATARIA, VICE CONSUL</t>
        </is>
      </c>
      <c r="N1429" s="30" t="n"/>
    </row>
    <row r="1430">
      <c r="A1430" s="4">
        <f>Sheet1!A1430 &amp; "/" &amp; "2025"</f>
        <v/>
      </c>
      <c r="B1430" s="5">
        <f>Sheet1!E1430</f>
        <v/>
      </c>
      <c r="C1430" s="6">
        <f>UPPER(Sheet1!B1430)</f>
        <v/>
      </c>
      <c r="D1430" s="7">
        <f>IF(Sheet1!F1430="F","FEMALE","MALE")</f>
        <v/>
      </c>
      <c r="E1430" s="6">
        <f>UPPER(Sheet1!G1430)</f>
        <v/>
      </c>
      <c r="F1430" s="6">
        <f>UPPER(Sheet1!H1430)</f>
        <v/>
      </c>
      <c r="G1430" s="5">
        <f>TEXT(Sheet1!C1430,"dd/mm/yyyy") &amp; "," &amp; Sheet1!D1430</f>
        <v/>
      </c>
      <c r="H1430" s="38">
        <f>UPPER(Sheet1!J1430 &amp; "," &amp; Sheet1!K1430 &amp; "," &amp; Sheet1!L1430)</f>
        <v/>
      </c>
      <c r="I1430" s="45">
        <f>Sheet1!I1430</f>
        <v/>
      </c>
      <c r="J1430" s="5">
        <f>Sheet1!M1430 &amp; "," &amp; TEXT(Sheet1!N1430,"dd/mm/yy")</f>
        <v/>
      </c>
      <c r="K1430" s="5" t="inlineStr">
        <is>
          <t>PRINTED</t>
        </is>
      </c>
      <c r="L1430" t="inlineStr">
        <is>
          <t>25/03/2026</t>
        </is>
      </c>
      <c r="M1430" s="30" t="inlineStr">
        <is>
          <t>MANISH KATARIA, VICE CONSUL</t>
        </is>
      </c>
      <c r="N1430" s="30" t="n"/>
    </row>
    <row r="1431">
      <c r="A1431" s="4">
        <f>Sheet1!A1431 &amp; "/" &amp; "2025"</f>
        <v/>
      </c>
      <c r="B1431" s="5">
        <f>Sheet1!E1431</f>
        <v/>
      </c>
      <c r="C1431" s="6">
        <f>UPPER(Sheet1!B1431)</f>
        <v/>
      </c>
      <c r="D1431" s="7">
        <f>IF(Sheet1!F1431="F","FEMALE","MALE")</f>
        <v/>
      </c>
      <c r="E1431" s="6">
        <f>UPPER(Sheet1!G1431)</f>
        <v/>
      </c>
      <c r="F1431" s="6">
        <f>UPPER(Sheet1!H1431)</f>
        <v/>
      </c>
      <c r="G1431" s="5">
        <f>TEXT(Sheet1!C1431,"dd/mm/yyyy") &amp; "," &amp; Sheet1!D1431</f>
        <v/>
      </c>
      <c r="H1431" s="38">
        <f>UPPER(Sheet1!J1431 &amp; "," &amp; Sheet1!K1431 &amp; "," &amp; Sheet1!L1431)</f>
        <v/>
      </c>
      <c r="I1431" s="45">
        <f>Sheet1!I1431</f>
        <v/>
      </c>
      <c r="J1431" s="5">
        <f>Sheet1!M1431 &amp; "," &amp; TEXT(Sheet1!N1431,"dd/mm/yy")</f>
        <v/>
      </c>
      <c r="K1431" s="5" t="inlineStr">
        <is>
          <t>PRINTED</t>
        </is>
      </c>
      <c r="L1431" t="inlineStr">
        <is>
          <t>25/03/2026</t>
        </is>
      </c>
      <c r="M1431" s="30" t="inlineStr">
        <is>
          <t>MANISH KATARIA, VICE CONSUL</t>
        </is>
      </c>
      <c r="N1431" s="30" t="n"/>
    </row>
    <row r="1432">
      <c r="A1432" s="4">
        <f>Sheet1!A1432 &amp; "/" &amp; "2025"</f>
        <v/>
      </c>
      <c r="B1432" s="5">
        <f>Sheet1!E1432</f>
        <v/>
      </c>
      <c r="C1432" s="6">
        <f>UPPER(Sheet1!B1432)</f>
        <v/>
      </c>
      <c r="D1432" s="7">
        <f>IF(Sheet1!F1432="F","FEMALE","MALE")</f>
        <v/>
      </c>
      <c r="E1432" s="6">
        <f>UPPER(Sheet1!G1432)</f>
        <v/>
      </c>
      <c r="F1432" s="6">
        <f>UPPER(Sheet1!H1432)</f>
        <v/>
      </c>
      <c r="G1432" s="5">
        <f>TEXT(Sheet1!C1432,"dd/mm/yyyy") &amp; "," &amp; Sheet1!D1432</f>
        <v/>
      </c>
      <c r="H1432" s="38">
        <f>UPPER(Sheet1!J1432 &amp; "," &amp; Sheet1!K1432 &amp; "," &amp; Sheet1!L1432)</f>
        <v/>
      </c>
      <c r="I1432" s="45">
        <f>Sheet1!I1432</f>
        <v/>
      </c>
      <c r="J1432" s="5">
        <f>Sheet1!M1432 &amp; "," &amp; TEXT(Sheet1!N1432,"dd/mm/yy")</f>
        <v/>
      </c>
      <c r="K1432" s="5" t="inlineStr">
        <is>
          <t>PRINTED</t>
        </is>
      </c>
      <c r="L1432" t="inlineStr">
        <is>
          <t>25/03/2026</t>
        </is>
      </c>
      <c r="M1432" s="30" t="inlineStr">
        <is>
          <t>MANISH KATARIA, VICE CONSUL</t>
        </is>
      </c>
      <c r="N1432" s="30" t="n"/>
    </row>
    <row r="1433">
      <c r="A1433" s="4">
        <f>Sheet1!A1433 &amp; "/" &amp; "2025"</f>
        <v/>
      </c>
      <c r="B1433" s="5">
        <f>Sheet1!E1433</f>
        <v/>
      </c>
      <c r="C1433" s="6">
        <f>UPPER(Sheet1!B1433)</f>
        <v/>
      </c>
      <c r="D1433" s="7">
        <f>IF(Sheet1!F1433="F","FEMALE","MALE")</f>
        <v/>
      </c>
      <c r="E1433" s="6">
        <f>UPPER(Sheet1!G1433)</f>
        <v/>
      </c>
      <c r="F1433" s="6">
        <f>UPPER(Sheet1!H1433)</f>
        <v/>
      </c>
      <c r="G1433" s="5">
        <f>TEXT(Sheet1!C1433,"dd/mm/yyyy") &amp; "," &amp; Sheet1!D1433</f>
        <v/>
      </c>
      <c r="H1433" s="38">
        <f>UPPER(Sheet1!J1433 &amp; "," &amp; Sheet1!K1433 &amp; "," &amp; Sheet1!L1433)</f>
        <v/>
      </c>
      <c r="I1433" s="45">
        <f>Sheet1!I1433</f>
        <v/>
      </c>
      <c r="J1433" s="5">
        <f>Sheet1!M1433 &amp; "," &amp; TEXT(Sheet1!N1433,"dd/mm/yy")</f>
        <v/>
      </c>
      <c r="K1433" s="5" t="inlineStr">
        <is>
          <t>PRINTED</t>
        </is>
      </c>
      <c r="L1433" t="inlineStr">
        <is>
          <t>25/03/2026</t>
        </is>
      </c>
      <c r="M1433" s="30" t="inlineStr">
        <is>
          <t>MANISH KATARIA, VICE CONSUL</t>
        </is>
      </c>
      <c r="N1433" s="30" t="n"/>
    </row>
    <row r="1434">
      <c r="A1434" s="4">
        <f>Sheet1!A1434 &amp; "/" &amp; "2025"</f>
        <v/>
      </c>
      <c r="B1434" s="5">
        <f>Sheet1!E1434</f>
        <v/>
      </c>
      <c r="C1434" s="6">
        <f>UPPER(Sheet1!B1434)</f>
        <v/>
      </c>
      <c r="D1434" s="7">
        <f>IF(Sheet1!F1434="F","FEMALE","MALE")</f>
        <v/>
      </c>
      <c r="E1434" s="6">
        <f>UPPER(Sheet1!G1434)</f>
        <v/>
      </c>
      <c r="F1434" s="6">
        <f>UPPER(Sheet1!H1434)</f>
        <v/>
      </c>
      <c r="G1434" s="5">
        <f>TEXT(Sheet1!C1434,"dd/mm/yyyy") &amp; "," &amp; Sheet1!D1434</f>
        <v/>
      </c>
      <c r="H1434" s="38">
        <f>UPPER(Sheet1!J1434 &amp; "," &amp; Sheet1!K1434 &amp; "," &amp; Sheet1!L1434)</f>
        <v/>
      </c>
      <c r="I1434" s="45">
        <f>Sheet1!I1434</f>
        <v/>
      </c>
      <c r="J1434" s="5">
        <f>Sheet1!M1434 &amp; "," &amp; TEXT(Sheet1!N1434,"dd/mm/yy")</f>
        <v/>
      </c>
      <c r="K1434" s="5" t="inlineStr">
        <is>
          <t>PRINTED</t>
        </is>
      </c>
      <c r="L1434" t="inlineStr">
        <is>
          <t>25/03/2026</t>
        </is>
      </c>
      <c r="M1434" s="30" t="inlineStr">
        <is>
          <t>MANISH KATARIA, VICE CONSUL</t>
        </is>
      </c>
      <c r="N1434" s="30" t="n"/>
    </row>
    <row r="1435">
      <c r="A1435" s="4">
        <f>Sheet1!A1435 &amp; "/" &amp; "2025"</f>
        <v/>
      </c>
      <c r="B1435" s="5">
        <f>Sheet1!E1435</f>
        <v/>
      </c>
      <c r="C1435" s="6">
        <f>UPPER(Sheet1!B1435)</f>
        <v/>
      </c>
      <c r="D1435" s="7">
        <f>IF(Sheet1!F1435="F","FEMALE","MALE")</f>
        <v/>
      </c>
      <c r="E1435" s="6">
        <f>UPPER(Sheet1!G1435)</f>
        <v/>
      </c>
      <c r="F1435" s="6">
        <f>UPPER(Sheet1!H1435)</f>
        <v/>
      </c>
      <c r="G1435" s="5">
        <f>TEXT(Sheet1!C1435,"dd/mm/yyyy") &amp; "," &amp; Sheet1!D1435</f>
        <v/>
      </c>
      <c r="H1435" s="38">
        <f>UPPER(Sheet1!J1435 &amp; "," &amp; Sheet1!K1435 &amp; "," &amp; Sheet1!L1435)</f>
        <v/>
      </c>
      <c r="I1435" s="45">
        <f>Sheet1!I1435</f>
        <v/>
      </c>
      <c r="J1435" s="5">
        <f>Sheet1!M1435 &amp; "," &amp; TEXT(Sheet1!N1435,"dd/mm/yy")</f>
        <v/>
      </c>
      <c r="K1435" s="5" t="inlineStr">
        <is>
          <t>PRINTED</t>
        </is>
      </c>
      <c r="L1435" t="inlineStr">
        <is>
          <t>25/03/2026</t>
        </is>
      </c>
      <c r="M1435" s="30" t="inlineStr">
        <is>
          <t>MANISH KATARIA, VICE CONSUL</t>
        </is>
      </c>
      <c r="N1435" s="30" t="n"/>
    </row>
    <row r="1436">
      <c r="A1436" s="4">
        <f>Sheet1!A1436 &amp; "/" &amp; "2025"</f>
        <v/>
      </c>
      <c r="B1436" s="5">
        <f>Sheet1!E1436</f>
        <v/>
      </c>
      <c r="C1436" s="6">
        <f>UPPER(Sheet1!B1436)</f>
        <v/>
      </c>
      <c r="D1436" s="7">
        <f>IF(Sheet1!F1436="F","FEMALE","MALE")</f>
        <v/>
      </c>
      <c r="E1436" s="6">
        <f>UPPER(Sheet1!G1436)</f>
        <v/>
      </c>
      <c r="F1436" s="6">
        <f>UPPER(Sheet1!H1436)</f>
        <v/>
      </c>
      <c r="G1436" s="5">
        <f>TEXT(Sheet1!C1436,"dd/mm/yyyy") &amp; "," &amp; Sheet1!D1436</f>
        <v/>
      </c>
      <c r="H1436" s="38">
        <f>UPPER(Sheet1!J1436 &amp; "," &amp; Sheet1!K1436 &amp; "," &amp; Sheet1!L1436)</f>
        <v/>
      </c>
      <c r="I1436" s="45">
        <f>Sheet1!I1436</f>
        <v/>
      </c>
      <c r="J1436" s="5">
        <f>Sheet1!M1436 &amp; "," &amp; TEXT(Sheet1!N1436,"dd/mm/yy")</f>
        <v/>
      </c>
      <c r="K1436" s="5" t="inlineStr">
        <is>
          <t>PRINTED</t>
        </is>
      </c>
      <c r="L1436" t="inlineStr">
        <is>
          <t>25/03/2026</t>
        </is>
      </c>
      <c r="M1436" s="30" t="inlineStr">
        <is>
          <t>MANISH KATARIA, VICE CONSUL</t>
        </is>
      </c>
      <c r="N1436" s="30" t="n"/>
    </row>
    <row r="1437">
      <c r="A1437" s="4">
        <f>Sheet1!A1437 &amp; "/" &amp; "2025"</f>
        <v/>
      </c>
      <c r="B1437" s="5">
        <f>Sheet1!E1437</f>
        <v/>
      </c>
      <c r="C1437" s="6">
        <f>UPPER(Sheet1!B1437)</f>
        <v/>
      </c>
      <c r="D1437" s="7">
        <f>IF(Sheet1!F1437="F","FEMALE","MALE")</f>
        <v/>
      </c>
      <c r="E1437" s="6">
        <f>UPPER(Sheet1!G1437)</f>
        <v/>
      </c>
      <c r="F1437" s="6">
        <f>UPPER(Sheet1!H1437)</f>
        <v/>
      </c>
      <c r="G1437" s="5">
        <f>TEXT(Sheet1!C1437,"dd/mm/yyyy") &amp; "," &amp; Sheet1!D1437</f>
        <v/>
      </c>
      <c r="H1437" s="38">
        <f>UPPER(Sheet1!J1437 &amp; "," &amp; Sheet1!K1437 &amp; "," &amp; Sheet1!L1437)</f>
        <v/>
      </c>
      <c r="I1437" s="45">
        <f>Sheet1!I1437</f>
        <v/>
      </c>
      <c r="J1437" s="5">
        <f>Sheet1!M1437 &amp; "," &amp; TEXT(Sheet1!N1437,"dd/mm/yy")</f>
        <v/>
      </c>
      <c r="K1437" s="5" t="inlineStr">
        <is>
          <t>PRINTED</t>
        </is>
      </c>
      <c r="L1437" t="inlineStr">
        <is>
          <t>25/03/2026</t>
        </is>
      </c>
      <c r="M1437" s="30" t="inlineStr">
        <is>
          <t>MANISH KATARIA, VICE CONSUL</t>
        </is>
      </c>
      <c r="N1437" s="30" t="n"/>
    </row>
    <row r="1438">
      <c r="A1438" s="4">
        <f>Sheet1!A1438 &amp; "/" &amp; "2025"</f>
        <v/>
      </c>
      <c r="B1438" s="5">
        <f>Sheet1!E1438</f>
        <v/>
      </c>
      <c r="C1438" s="6">
        <f>UPPER(Sheet1!B1438)</f>
        <v/>
      </c>
      <c r="D1438" s="7">
        <f>IF(Sheet1!F1438="F","FEMALE","MALE")</f>
        <v/>
      </c>
      <c r="E1438" s="6">
        <f>UPPER(Sheet1!G1438)</f>
        <v/>
      </c>
      <c r="F1438" s="6">
        <f>UPPER(Sheet1!H1438)</f>
        <v/>
      </c>
      <c r="G1438" s="5">
        <f>TEXT(Sheet1!C1438,"dd/mm/yyyy") &amp; "," &amp; Sheet1!D1438</f>
        <v/>
      </c>
      <c r="H1438" s="38">
        <f>UPPER(Sheet1!J1438 &amp; "," &amp; Sheet1!K1438 &amp; "," &amp; Sheet1!L1438)</f>
        <v/>
      </c>
      <c r="I1438" s="45">
        <f>Sheet1!I1438</f>
        <v/>
      </c>
      <c r="J1438" s="5">
        <f>Sheet1!M1438 &amp; "," &amp; TEXT(Sheet1!N1438,"dd/mm/yy")</f>
        <v/>
      </c>
      <c r="K1438" s="5" t="inlineStr">
        <is>
          <t>PRINTED</t>
        </is>
      </c>
      <c r="L1438" t="inlineStr">
        <is>
          <t>25/03/2026</t>
        </is>
      </c>
      <c r="M1438" s="30" t="inlineStr">
        <is>
          <t>MANISH KATARIA, VICE CONSUL</t>
        </is>
      </c>
      <c r="N1438" s="30" t="n"/>
    </row>
    <row r="1439">
      <c r="A1439" s="4">
        <f>Sheet1!A1439 &amp; "/" &amp; "2025"</f>
        <v/>
      </c>
      <c r="B1439" s="5">
        <f>Sheet1!E1439</f>
        <v/>
      </c>
      <c r="C1439" s="6">
        <f>UPPER(Sheet1!B1439)</f>
        <v/>
      </c>
      <c r="D1439" s="7">
        <f>IF(Sheet1!F1439="F","FEMALE","MALE")</f>
        <v/>
      </c>
      <c r="E1439" s="6">
        <f>UPPER(Sheet1!G1439)</f>
        <v/>
      </c>
      <c r="F1439" s="6">
        <f>UPPER(Sheet1!H1439)</f>
        <v/>
      </c>
      <c r="G1439" s="5">
        <f>TEXT(Sheet1!C1439,"dd/mm/yyyy") &amp; "," &amp; Sheet1!D1439</f>
        <v/>
      </c>
      <c r="H1439" s="38">
        <f>UPPER(Sheet1!J1439 &amp; "," &amp; Sheet1!K1439 &amp; "," &amp; Sheet1!L1439)</f>
        <v/>
      </c>
      <c r="I1439" s="45">
        <f>Sheet1!I1439</f>
        <v/>
      </c>
      <c r="J1439" s="5">
        <f>Sheet1!M1439 &amp; "," &amp; TEXT(Sheet1!N1439,"dd/mm/yy")</f>
        <v/>
      </c>
      <c r="K1439" s="5" t="inlineStr">
        <is>
          <t>PRINTED</t>
        </is>
      </c>
      <c r="L1439" t="inlineStr">
        <is>
          <t>25/03/2026</t>
        </is>
      </c>
      <c r="M1439" s="30" t="inlineStr">
        <is>
          <t>MANISH KATARIA, VICE CONSUL</t>
        </is>
      </c>
      <c r="N1439" s="30" t="n"/>
    </row>
    <row r="1440">
      <c r="A1440" s="4">
        <f>Sheet1!A1440 &amp; "/" &amp; "2025"</f>
        <v/>
      </c>
      <c r="B1440" s="5">
        <f>Sheet1!E1440</f>
        <v/>
      </c>
      <c r="C1440" s="6">
        <f>UPPER(Sheet1!B1440)</f>
        <v/>
      </c>
      <c r="D1440" s="7">
        <f>IF(Sheet1!F1440="F","FEMALE","MALE")</f>
        <v/>
      </c>
      <c r="E1440" s="6">
        <f>UPPER(Sheet1!G1440)</f>
        <v/>
      </c>
      <c r="F1440" s="6">
        <f>UPPER(Sheet1!H1440)</f>
        <v/>
      </c>
      <c r="G1440" s="5">
        <f>TEXT(Sheet1!C1440,"dd/mm/yyyy") &amp; "," &amp; Sheet1!D1440</f>
        <v/>
      </c>
      <c r="H1440" s="38">
        <f>UPPER(Sheet1!J1440 &amp; "," &amp; Sheet1!K1440 &amp; "," &amp; Sheet1!L1440)</f>
        <v/>
      </c>
      <c r="I1440" s="45">
        <f>Sheet1!I1440</f>
        <v/>
      </c>
      <c r="J1440" s="5">
        <f>Sheet1!M1440 &amp; "," &amp; TEXT(Sheet1!N1440,"dd/mm/yy")</f>
        <v/>
      </c>
      <c r="K1440" s="5" t="inlineStr">
        <is>
          <t>PRINTED</t>
        </is>
      </c>
      <c r="L1440" t="inlineStr">
        <is>
          <t>25/03/2026</t>
        </is>
      </c>
      <c r="M1440" s="30" t="inlineStr">
        <is>
          <t>MANISH KATARIA, VICE CONSUL</t>
        </is>
      </c>
      <c r="N1440" s="30" t="n"/>
    </row>
    <row r="1441">
      <c r="A1441" s="4">
        <f>Sheet1!A1441 &amp; "/" &amp; "2025"</f>
        <v/>
      </c>
      <c r="B1441" s="5">
        <f>Sheet1!E1441</f>
        <v/>
      </c>
      <c r="C1441" s="6">
        <f>UPPER(Sheet1!B1441)</f>
        <v/>
      </c>
      <c r="D1441" s="7">
        <f>IF(Sheet1!F1441="F","FEMALE","MALE")</f>
        <v/>
      </c>
      <c r="E1441" s="6">
        <f>UPPER(Sheet1!G1441)</f>
        <v/>
      </c>
      <c r="F1441" s="6">
        <f>UPPER(Sheet1!H1441)</f>
        <v/>
      </c>
      <c r="G1441" s="5">
        <f>TEXT(Sheet1!C1441,"dd/mm/yyyy") &amp; "," &amp; Sheet1!D1441</f>
        <v/>
      </c>
      <c r="H1441" s="38">
        <f>UPPER(Sheet1!J1441 &amp; "," &amp; Sheet1!K1441 &amp; "," &amp; Sheet1!L1441)</f>
        <v/>
      </c>
      <c r="I1441" s="45">
        <f>Sheet1!I1441</f>
        <v/>
      </c>
      <c r="J1441" s="5">
        <f>Sheet1!M1441 &amp; "," &amp; TEXT(Sheet1!N1441,"dd/mm/yy")</f>
        <v/>
      </c>
      <c r="K1441" s="5" t="inlineStr">
        <is>
          <t>PRINTED</t>
        </is>
      </c>
      <c r="L1441" t="inlineStr">
        <is>
          <t>25/03/2026</t>
        </is>
      </c>
      <c r="M1441" s="30" t="inlineStr">
        <is>
          <t>MANISH KATARIA, VICE CONSUL</t>
        </is>
      </c>
      <c r="N1441" s="30" t="n"/>
    </row>
  </sheetData>
  <conditionalFormatting sqref="A1:A1441">
    <cfRule type="colorScale" priority="22">
      <colorScale>
        <cfvo type="min"/>
        <cfvo type="max"/>
        <color rgb="FFFF7128"/>
        <color rgb="FFFFEF9C"/>
      </colorScale>
    </cfRule>
  </conditionalFormatting>
  <conditionalFormatting sqref="A2:A1441">
    <cfRule type="expression" priority="1" dxfId="1">
      <formula>$K2="IN PROCESS"</formula>
    </cfRule>
    <cfRule type="expression" priority="2" dxfId="0">
      <formula>$K2="PRINTED"</formula>
    </cfRule>
  </conditionalFormatting>
  <pageMargins left="0.7" right="0.7" top="0.75" bottom="0.75" header="0.3" footer="0.3"/>
  <pageSetup orientation="portrait" paperSize="9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8"/>
  <sheetViews>
    <sheetView zoomScale="80" zoomScaleNormal="80" workbookViewId="0">
      <selection activeCell="E27" sqref="E27"/>
    </sheetView>
  </sheetViews>
  <sheetFormatPr baseColWidth="8" defaultRowHeight="14.5"/>
  <cols>
    <col width="9.08984375" customWidth="1" min="1" max="1"/>
    <col width="14.36328125" customWidth="1" min="2" max="2"/>
  </cols>
  <sheetData>
    <row r="1">
      <c r="A1" t="inlineStr">
        <is>
          <t>Version</t>
        </is>
      </c>
      <c r="B1" t="inlineStr">
        <is>
          <t>DocuMate (In secs)</t>
        </is>
      </c>
      <c r="C1" t="inlineStr">
        <is>
          <t>Manual (In Secs)</t>
        </is>
      </c>
      <c r="D1" t="inlineStr">
        <is>
          <t>Files</t>
        </is>
      </c>
      <c r="E1" t="inlineStr">
        <is>
          <t>Efficiency (%)</t>
        </is>
      </c>
      <c r="F1" t="inlineStr">
        <is>
          <t>Speed (Mach)</t>
        </is>
      </c>
    </row>
    <row r="2">
      <c r="A2" t="inlineStr">
        <is>
          <t>V2</t>
        </is>
      </c>
      <c r="B2" t="n">
        <v>9.960000000000001</v>
      </c>
      <c r="C2">
        <f>315*Table3[[#This Row],[Files]]</f>
        <v/>
      </c>
      <c r="D2" t="n">
        <v>108</v>
      </c>
      <c r="E2">
        <f>((Table3[[#This Row],[Manual (In Secs)]]-Table3[[#This Row],[DocuMate (In secs)]])/Table3[[#This Row],[Manual (In Secs)]])*100</f>
        <v/>
      </c>
      <c r="F2">
        <f>Table3[[#This Row],[Manual (In Secs)]]/Table3[[#This Row],[DocuMate (In secs)]]</f>
        <v/>
      </c>
    </row>
    <row r="3">
      <c r="A3" t="inlineStr">
        <is>
          <t>O</t>
        </is>
      </c>
      <c r="B3" t="n">
        <v>16.1</v>
      </c>
      <c r="C3">
        <f>315*Table3[[#This Row],[Files]]</f>
        <v/>
      </c>
      <c r="D3" t="n">
        <v>108</v>
      </c>
      <c r="E3">
        <f>((Table3[[#This Row],[Manual (In Secs)]]-Table3[[#This Row],[DocuMate (In secs)]])/Table3[[#This Row],[Manual (In Secs)]])*100</f>
        <v/>
      </c>
      <c r="F3">
        <f>Table3[[#This Row],[Manual (In Secs)]]/Table3[[#This Row],[DocuMate (In secs)]]</f>
        <v/>
      </c>
    </row>
    <row r="4">
      <c r="A4" t="inlineStr">
        <is>
          <t>Z</t>
        </is>
      </c>
      <c r="B4" t="n">
        <v>23.06</v>
      </c>
      <c r="C4">
        <f>315*Table3[[#This Row],[Files]]</f>
        <v/>
      </c>
      <c r="D4" t="n">
        <v>108</v>
      </c>
      <c r="E4">
        <f>((Table3[[#This Row],[Manual (In Secs)]]-Table3[[#This Row],[DocuMate (In secs)]])/Table3[[#This Row],[Manual (In Secs)]])*100</f>
        <v/>
      </c>
      <c r="F4">
        <f>Table3[[#This Row],[Manual (In Secs)]]/Table3[[#This Row],[DocuMate (In secs)]]</f>
        <v/>
      </c>
    </row>
    <row r="5">
      <c r="A5" t="inlineStr">
        <is>
          <t>X</t>
        </is>
      </c>
      <c r="B5" t="n">
        <v>27.82</v>
      </c>
      <c r="C5">
        <f>315*Table3[[#This Row],[Files]]</f>
        <v/>
      </c>
      <c r="D5" t="n">
        <v>108</v>
      </c>
      <c r="E5">
        <f>((Table3[[#This Row],[Manual (In Secs)]]-Table3[[#This Row],[DocuMate (In secs)]])/Table3[[#This Row],[Manual (In Secs)]])*100</f>
        <v/>
      </c>
      <c r="F5">
        <f>Table3[[#This Row],[Manual (In Secs)]]/Table3[[#This Row],[DocuMate (In secs)]]</f>
        <v/>
      </c>
    </row>
    <row r="6">
      <c r="A6" t="inlineStr">
        <is>
          <t>V3</t>
        </is>
      </c>
      <c r="B6" t="n">
        <v>28.6</v>
      </c>
      <c r="C6">
        <f>315*Table3[[#This Row],[Files]]</f>
        <v/>
      </c>
      <c r="D6" t="n">
        <v>108</v>
      </c>
      <c r="E6">
        <f>((Table3[[#This Row],[Manual (In Secs)]]-Table3[[#This Row],[DocuMate (In secs)]])/Table3[[#This Row],[Manual (In Secs)]])*100</f>
        <v/>
      </c>
      <c r="F6">
        <f>Table3[[#This Row],[Manual (In Secs)]]/Table3[[#This Row],[DocuMate (In secs)]]</f>
        <v/>
      </c>
    </row>
    <row r="7">
      <c r="A7" t="inlineStr">
        <is>
          <t>Y</t>
        </is>
      </c>
      <c r="B7" t="n">
        <v>37.85</v>
      </c>
      <c r="C7">
        <f>315*Table3[[#This Row],[Files]]</f>
        <v/>
      </c>
      <c r="D7" t="n">
        <v>108</v>
      </c>
      <c r="E7">
        <f>((Table3[[#This Row],[Manual (In Secs)]]-Table3[[#This Row],[DocuMate (In secs)]])/Table3[[#This Row],[Manual (In Secs)]])*100</f>
        <v/>
      </c>
      <c r="F7">
        <f>Table3[[#This Row],[Manual (In Secs)]]/Table3[[#This Row],[DocuMate (In secs)]]</f>
        <v/>
      </c>
    </row>
    <row r="8">
      <c r="A8" t="inlineStr">
        <is>
          <t>V1</t>
        </is>
      </c>
      <c r="B8" t="n">
        <v>50.6</v>
      </c>
      <c r="C8">
        <f>315*Table3[[#This Row],[Files]]</f>
        <v/>
      </c>
      <c r="D8" t="n">
        <v>108</v>
      </c>
      <c r="E8">
        <f>((Table3[[#This Row],[Manual (In Secs)]]-Table3[[#This Row],[DocuMate (In secs)]])/Table3[[#This Row],[Manual (In Secs)]])*100</f>
        <v/>
      </c>
      <c r="F8">
        <f>Table3[[#This Row],[Manual (In Secs)]]/Table3[[#This Row],[DocuMate (In secs)]]</f>
        <v/>
      </c>
    </row>
  </sheetData>
  <pageMargins left="0.7" right="0.7" top="0.75" bottom="0.75" header="0.3" footer="0.3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Cgi Melbourne1</dc:creator>
  <dcterms:created xmlns:dcterms="http://purl.org/dc/terms/" xmlns:xsi="http://www.w3.org/2001/XMLSchema-instance" xsi:type="dcterms:W3CDTF">2025-09-25T01:32:20Z</dcterms:created>
  <dcterms:modified xmlns:dcterms="http://purl.org/dc/terms/" xmlns:xsi="http://www.w3.org/2001/XMLSchema-instance" xsi:type="dcterms:W3CDTF">2026-09-13T05:28:59Z</dcterms:modified>
  <cp:lastModifiedBy>Angad Dharmashri Kadam</cp:lastModifiedBy>
</cp:coreProperties>
</file>